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mydrive.merck.com/personal/jerebm_merck_com/Documents/"/>
    </mc:Choice>
  </mc:AlternateContent>
  <xr:revisionPtr revIDLastSave="25" documentId="8_{D0129F1C-8EC1-4C8B-A4D4-5E188AD0DD70}" xr6:coauthVersionLast="47" xr6:coauthVersionMax="47" xr10:uidLastSave="{A5513347-0AD4-470B-BEB6-A7229504093E}"/>
  <bookViews>
    <workbookView xWindow="-110" yWindow="-110" windowWidth="19420" windowHeight="11500" xr2:uid="{7C1465C6-5FE9-4685-8D2C-B8A101E8BAAF}"/>
  </bookViews>
  <sheets>
    <sheet name="2026-2027 Season" sheetId="1" r:id="rId1"/>
    <sheet name="Week by Week Scores" sheetId="2" r:id="rId2"/>
    <sheet name="Opponent Week by Week Scores" sheetId="7" r:id="rId3"/>
    <sheet name="Game by Game Scores" sheetId="3" r:id="rId4"/>
    <sheet name="Opponent Game by Game Scores" sheetId="8" r:id="rId5"/>
    <sheet name="Handicap" sheetId="4" r:id="rId6"/>
    <sheet name="Opponents Average" sheetId="9" r:id="rId7"/>
    <sheet name="Eric Stat" sheetId="26" r:id="rId8"/>
    <sheet name="Misc" sheetId="10" r:id="rId9"/>
    <sheet name="Strikes" sheetId="18" r:id="rId10"/>
    <sheet name="Spares" sheetId="19" r:id="rId11"/>
    <sheet name="Splits" sheetId="20" r:id="rId12"/>
    <sheet name="10,7 Pins %" sheetId="21" r:id="rId13"/>
    <sheet name="Team Totals" sheetId="11" r:id="rId14"/>
    <sheet name="Points" sheetId="5" r:id="rId15"/>
    <sheet name="Over Average Percent" sheetId="13" r:id="rId16"/>
    <sheet name="Card Game" sheetId="14" r:id="rId17"/>
    <sheet name="FramebyFrame" sheetId="22" r:id="rId18"/>
    <sheet name="FramebyFrame Totals" sheetId="23" r:id="rId19"/>
    <sheet name="LEFT RIGHT Stats" sheetId="24" r:id="rId20"/>
    <sheet name="Lane Stats" sheetId="25" r:id="rId21"/>
    <sheet name="WeeklyDues" sheetId="15" r:id="rId22"/>
    <sheet name="Ron" sheetId="16" r:id="rId23"/>
    <sheet name="Winnings" sheetId="17" r:id="rId24"/>
  </sheets>
  <definedNames>
    <definedName name="_xlnm._FilterDatabase" localSheetId="0" hidden="1">'2026-2027 Season'!$A$21:$G$26</definedName>
    <definedName name="Database_MISC">Misc!$A$1:$K$7</definedName>
    <definedName name="Database_Opponent_Games">'Opponent Game by Game Scores'!$A$4:$G$112</definedName>
    <definedName name="Database_Opponent_Games_Handicap">'Opponent Game by Game Scores'!$J$4:$P$112</definedName>
    <definedName name="Database_Q1">Misc!$A$15:$F$20</definedName>
    <definedName name="Database_Q2">Misc!$A$26:$F$31</definedName>
    <definedName name="Database_Q3">Misc!$A$37:$F$42</definedName>
    <definedName name="Database_Q4">Misc!$A$48:$G$53</definedName>
    <definedName name="Database_Team_Games" localSheetId="7">'Eric Stat'!$A$4:$F$4</definedName>
    <definedName name="Database_Team_Games">'Game by Game Scores'!$A$4:$G$112</definedName>
    <definedName name="Database_Team_Games_Handicap" localSheetId="7">'Eric Stat'!#REF!</definedName>
    <definedName name="Database_Team_Games_Handicap">'Game by Game Scores'!$J$4:$P$112</definedName>
    <definedName name="Team_Games" localSheetId="7">'Eric Stat'!$A$4:$A$4</definedName>
    <definedName name="Team_Games">'Game by Game Scores'!$A$4:$A$112</definedName>
    <definedName name="Team_Games_Handicap" localSheetId="7">'Eric Stat'!#REF!</definedName>
    <definedName name="Team_Games_Handicap">'Game by Game Scores'!$J$4:$J$112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21" l="1"/>
  <c r="G2" i="20"/>
  <c r="G2" i="18" a="1"/>
  <c r="G2" i="18" s="1"/>
  <c r="H8" i="1"/>
  <c r="G8" i="1"/>
  <c r="F8" i="1"/>
  <c r="O42" i="1"/>
  <c r="O41" i="1"/>
  <c r="O38" i="1"/>
  <c r="O39" i="1"/>
  <c r="O40" i="1"/>
  <c r="E8" i="1"/>
  <c r="E7" i="1"/>
  <c r="E6" i="1"/>
  <c r="E5" i="1"/>
  <c r="E4" i="1"/>
  <c r="E3" i="1"/>
  <c r="D8" i="1" l="1"/>
  <c r="C8" i="1"/>
  <c r="F11" i="26"/>
  <c r="F5" i="26"/>
  <c r="F2" i="18" a="1"/>
  <c r="F2" i="18" s="1"/>
  <c r="E2" i="18" a="1"/>
  <c r="E2" i="18" s="1"/>
  <c r="D2" i="18" a="1"/>
  <c r="D2" i="18" s="1"/>
  <c r="C2" i="18" a="1"/>
  <c r="C2" i="18" s="1"/>
  <c r="B2" i="18" a="1"/>
  <c r="B2" i="18" s="1"/>
  <c r="O6" i="19"/>
  <c r="G6" i="19"/>
  <c r="N6" i="19"/>
  <c r="M6" i="19"/>
  <c r="L6" i="19"/>
  <c r="K6" i="19"/>
  <c r="J6" i="19"/>
  <c r="F6" i="19"/>
  <c r="E6" i="19"/>
  <c r="D6" i="19"/>
  <c r="C6" i="19"/>
  <c r="B6" i="19"/>
  <c r="F2" i="20"/>
  <c r="E2" i="20"/>
  <c r="D2" i="20"/>
  <c r="C2" i="20"/>
  <c r="B2" i="20"/>
  <c r="F2" i="21"/>
  <c r="E2" i="21"/>
  <c r="D2" i="21"/>
  <c r="C2" i="21"/>
  <c r="B2" i="21"/>
  <c r="P52" i="25"/>
  <c r="P50" i="25"/>
  <c r="P48" i="25"/>
  <c r="P46" i="25"/>
  <c r="P44" i="25"/>
  <c r="P42" i="25"/>
  <c r="P40" i="25"/>
  <c r="P38" i="25"/>
  <c r="P36" i="25"/>
  <c r="P34" i="25"/>
  <c r="P32" i="25"/>
  <c r="P30" i="25"/>
  <c r="P28" i="25"/>
  <c r="P26" i="25"/>
  <c r="P24" i="25"/>
  <c r="P22" i="25"/>
  <c r="P20" i="25"/>
  <c r="P18" i="25"/>
  <c r="P16" i="25"/>
  <c r="P14" i="25"/>
  <c r="P12" i="25"/>
  <c r="P10" i="25"/>
  <c r="P8" i="25"/>
  <c r="P6" i="25"/>
  <c r="P4" i="25"/>
  <c r="P2" i="25"/>
  <c r="O2" i="25"/>
  <c r="O52" i="25"/>
  <c r="O50" i="25"/>
  <c r="O48" i="25"/>
  <c r="O46" i="25"/>
  <c r="O44" i="25"/>
  <c r="O42" i="25"/>
  <c r="O40" i="25"/>
  <c r="O38" i="25"/>
  <c r="O36" i="25"/>
  <c r="O34" i="25"/>
  <c r="O32" i="25"/>
  <c r="O30" i="25"/>
  <c r="O28" i="25"/>
  <c r="O26" i="25"/>
  <c r="O24" i="25"/>
  <c r="O22" i="25"/>
  <c r="O20" i="25"/>
  <c r="O18" i="25"/>
  <c r="O16" i="25"/>
  <c r="O14" i="25"/>
  <c r="O12" i="25"/>
  <c r="O10" i="25"/>
  <c r="O8" i="25"/>
  <c r="O6" i="25"/>
  <c r="O4" i="25"/>
  <c r="N52" i="25"/>
  <c r="N50" i="25"/>
  <c r="N48" i="25"/>
  <c r="N46" i="25"/>
  <c r="N44" i="25"/>
  <c r="N42" i="25"/>
  <c r="N40" i="25"/>
  <c r="N38" i="25"/>
  <c r="N36" i="25"/>
  <c r="N34" i="25"/>
  <c r="N32" i="25"/>
  <c r="N30" i="25"/>
  <c r="N28" i="25"/>
  <c r="N26" i="25"/>
  <c r="N24" i="25"/>
  <c r="N22" i="25"/>
  <c r="N20" i="25"/>
  <c r="N18" i="25"/>
  <c r="N16" i="25"/>
  <c r="N14" i="25"/>
  <c r="N12" i="25"/>
  <c r="N10" i="25"/>
  <c r="N8" i="25"/>
  <c r="N6" i="25"/>
  <c r="N4" i="25"/>
  <c r="M52" i="25"/>
  <c r="M50" i="25"/>
  <c r="M48" i="25"/>
  <c r="M46" i="25"/>
  <c r="M44" i="25"/>
  <c r="M42" i="25"/>
  <c r="M40" i="25"/>
  <c r="M38" i="25"/>
  <c r="M36" i="25"/>
  <c r="M34" i="25"/>
  <c r="M32" i="25"/>
  <c r="M30" i="25"/>
  <c r="M28" i="25"/>
  <c r="M26" i="25"/>
  <c r="M24" i="25"/>
  <c r="M22" i="25"/>
  <c r="M20" i="25"/>
  <c r="M18" i="25"/>
  <c r="M16" i="25"/>
  <c r="M14" i="25"/>
  <c r="M12" i="25"/>
  <c r="M10" i="25"/>
  <c r="M8" i="25"/>
  <c r="M6" i="25"/>
  <c r="M4" i="25"/>
  <c r="M2" i="25"/>
  <c r="L52" i="25"/>
  <c r="L50" i="25"/>
  <c r="L48" i="25"/>
  <c r="L46" i="25"/>
  <c r="L44" i="25"/>
  <c r="L42" i="25"/>
  <c r="L40" i="25"/>
  <c r="L38" i="25"/>
  <c r="L36" i="25"/>
  <c r="L34" i="25"/>
  <c r="L32" i="25"/>
  <c r="L30" i="25"/>
  <c r="L28" i="25"/>
  <c r="L26" i="25"/>
  <c r="L24" i="25"/>
  <c r="L22" i="25"/>
  <c r="L20" i="25"/>
  <c r="L18" i="25"/>
  <c r="L16" i="25"/>
  <c r="L14" i="25"/>
  <c r="L12" i="25"/>
  <c r="L10" i="25"/>
  <c r="L8" i="25"/>
  <c r="L6" i="25"/>
  <c r="L4" i="25"/>
  <c r="K52" i="25"/>
  <c r="K50" i="25"/>
  <c r="K48" i="25"/>
  <c r="K46" i="25"/>
  <c r="K44" i="25"/>
  <c r="K42" i="25"/>
  <c r="K40" i="25"/>
  <c r="K38" i="25"/>
  <c r="K36" i="25"/>
  <c r="K34" i="25"/>
  <c r="K32" i="25"/>
  <c r="K30" i="25"/>
  <c r="K28" i="25"/>
  <c r="K26" i="25"/>
  <c r="K24" i="25"/>
  <c r="K22" i="25"/>
  <c r="K20" i="25"/>
  <c r="K18" i="25"/>
  <c r="K16" i="25"/>
  <c r="K14" i="25"/>
  <c r="K12" i="25"/>
  <c r="K10" i="25"/>
  <c r="K8" i="25"/>
  <c r="K6" i="25"/>
  <c r="K4" i="25"/>
  <c r="N2" i="25"/>
  <c r="L2" i="25"/>
  <c r="K2" i="25"/>
  <c r="P4" i="24"/>
  <c r="O4" i="24"/>
  <c r="N4" i="24"/>
  <c r="M4" i="24"/>
  <c r="L4" i="24"/>
  <c r="K4" i="24"/>
  <c r="K2" i="24"/>
  <c r="L2" i="24"/>
  <c r="M2" i="24"/>
  <c r="N2" i="24"/>
  <c r="O2" i="24"/>
  <c r="P2" i="24"/>
  <c r="M11" i="23"/>
  <c r="T22" i="23"/>
  <c r="S22" i="23"/>
  <c r="R22" i="23"/>
  <c r="Q22" i="23"/>
  <c r="P22" i="23"/>
  <c r="O22" i="23"/>
  <c r="N22" i="23"/>
  <c r="M22" i="23"/>
  <c r="L22" i="23"/>
  <c r="K22" i="23"/>
  <c r="P3" i="23"/>
  <c r="P4" i="23"/>
  <c r="P5" i="23"/>
  <c r="P6" i="23"/>
  <c r="P7" i="23"/>
  <c r="P8" i="23"/>
  <c r="P9" i="23"/>
  <c r="P10" i="23"/>
  <c r="P11" i="23"/>
  <c r="P2" i="23"/>
  <c r="I9" i="16"/>
  <c r="I10" i="16"/>
  <c r="I8" i="16"/>
  <c r="H9" i="16"/>
  <c r="H10" i="16"/>
  <c r="H8" i="16"/>
  <c r="E11" i="26"/>
  <c r="C11" i="26"/>
  <c r="D11" i="26"/>
  <c r="B11" i="26"/>
  <c r="E5" i="26"/>
  <c r="C5" i="26"/>
  <c r="D5" i="26"/>
  <c r="B5" i="26"/>
  <c r="L7" i="1"/>
  <c r="L6" i="1"/>
  <c r="L5" i="1"/>
  <c r="L4" i="1"/>
  <c r="L3" i="1"/>
  <c r="F63" i="25"/>
  <c r="E63" i="25"/>
  <c r="D63" i="25"/>
  <c r="C63" i="25"/>
  <c r="B63" i="25"/>
  <c r="F53" i="25"/>
  <c r="D53" i="25"/>
  <c r="C53" i="25"/>
  <c r="B53" i="25"/>
  <c r="F43" i="25"/>
  <c r="E43" i="25"/>
  <c r="D43" i="25"/>
  <c r="C43" i="25"/>
  <c r="B43" i="25"/>
  <c r="F31" i="25"/>
  <c r="E31" i="25"/>
  <c r="D31" i="25"/>
  <c r="C31" i="25"/>
  <c r="B31" i="25"/>
  <c r="F21" i="25"/>
  <c r="E21" i="25"/>
  <c r="C21" i="25"/>
  <c r="B21" i="25"/>
  <c r="F11" i="25"/>
  <c r="D11" i="25"/>
  <c r="C11" i="25"/>
  <c r="B11" i="25"/>
  <c r="F63" i="24"/>
  <c r="E63" i="24"/>
  <c r="D63" i="24"/>
  <c r="C63" i="24"/>
  <c r="B63" i="24"/>
  <c r="F53" i="24"/>
  <c r="D53" i="24"/>
  <c r="C53" i="24"/>
  <c r="B53" i="24"/>
  <c r="F43" i="24"/>
  <c r="E43" i="24"/>
  <c r="D43" i="24"/>
  <c r="C43" i="24"/>
  <c r="B43" i="24"/>
  <c r="F31" i="24"/>
  <c r="E31" i="24"/>
  <c r="D31" i="24"/>
  <c r="C31" i="24"/>
  <c r="B31" i="24"/>
  <c r="F21" i="24"/>
  <c r="E21" i="24"/>
  <c r="C21" i="24"/>
  <c r="B21" i="24"/>
  <c r="F11" i="24"/>
  <c r="D11" i="24"/>
  <c r="C11" i="24"/>
  <c r="B11" i="24"/>
  <c r="N49" i="1" l="1"/>
  <c r="N45" i="1"/>
  <c r="N48" i="1"/>
  <c r="N11" i="23" l="1"/>
  <c r="T20" i="23" s="1"/>
  <c r="K48" i="1" s="1"/>
  <c r="O11" i="23"/>
  <c r="T21" i="23" s="1"/>
  <c r="K49" i="1" s="1"/>
  <c r="M3" i="23"/>
  <c r="L19" i="23" s="1"/>
  <c r="N3" i="23"/>
  <c r="L20" i="23" s="1"/>
  <c r="O3" i="23"/>
  <c r="L21" i="23" s="1"/>
  <c r="M4" i="23"/>
  <c r="M19" i="23" s="1"/>
  <c r="N4" i="23"/>
  <c r="M20" i="23" s="1"/>
  <c r="O4" i="23"/>
  <c r="M21" i="23" s="1"/>
  <c r="M5" i="23"/>
  <c r="N19" i="23" s="1"/>
  <c r="N5" i="23"/>
  <c r="N20" i="23" s="1"/>
  <c r="O5" i="23"/>
  <c r="N21" i="23" s="1"/>
  <c r="M6" i="23"/>
  <c r="O19" i="23" s="1"/>
  <c r="N6" i="23"/>
  <c r="O20" i="23" s="1"/>
  <c r="O6" i="23"/>
  <c r="O21" i="23" s="1"/>
  <c r="M7" i="23"/>
  <c r="P19" i="23" s="1"/>
  <c r="N7" i="23"/>
  <c r="P20" i="23" s="1"/>
  <c r="O7" i="23"/>
  <c r="P21" i="23" s="1"/>
  <c r="M8" i="23"/>
  <c r="Q19" i="23" s="1"/>
  <c r="N8" i="23"/>
  <c r="Q20" i="23" s="1"/>
  <c r="O8" i="23"/>
  <c r="Q21" i="23" s="1"/>
  <c r="M9" i="23"/>
  <c r="R19" i="23" s="1"/>
  <c r="N9" i="23"/>
  <c r="R20" i="23" s="1"/>
  <c r="O9" i="23"/>
  <c r="R21" i="23" s="1"/>
  <c r="M10" i="23"/>
  <c r="S19" i="23" s="1"/>
  <c r="N10" i="23"/>
  <c r="S20" i="23" s="1"/>
  <c r="O10" i="23"/>
  <c r="S21" i="23" s="1"/>
  <c r="T19" i="23"/>
  <c r="K47" i="1" s="1"/>
  <c r="O2" i="23"/>
  <c r="K21" i="23" s="1"/>
  <c r="N2" i="23"/>
  <c r="K20" i="23" s="1"/>
  <c r="M2" i="23"/>
  <c r="K19" i="23" s="1"/>
  <c r="L2" i="23"/>
  <c r="K18" i="23" s="1"/>
  <c r="L3" i="23"/>
  <c r="L18" i="23" s="1"/>
  <c r="L4" i="23"/>
  <c r="M18" i="23" s="1"/>
  <c r="L5" i="23"/>
  <c r="N18" i="23" s="1"/>
  <c r="L6" i="23"/>
  <c r="O18" i="23" s="1"/>
  <c r="L7" i="23"/>
  <c r="P18" i="23" s="1"/>
  <c r="L8" i="23"/>
  <c r="Q18" i="23" s="1"/>
  <c r="L9" i="23"/>
  <c r="R18" i="23" s="1"/>
  <c r="L10" i="23"/>
  <c r="S18" i="23" s="1"/>
  <c r="L11" i="23"/>
  <c r="T18" i="23" s="1"/>
  <c r="K46" i="1" s="1"/>
  <c r="K2" i="23"/>
  <c r="K17" i="23" s="1"/>
  <c r="J45" i="1" s="1"/>
  <c r="K3" i="23"/>
  <c r="L17" i="23" s="1"/>
  <c r="K4" i="23"/>
  <c r="M17" i="23" s="1"/>
  <c r="K5" i="23"/>
  <c r="N17" i="23" s="1"/>
  <c r="K6" i="23"/>
  <c r="O17" i="23" s="1"/>
  <c r="K7" i="23"/>
  <c r="P17" i="23" s="1"/>
  <c r="K8" i="23"/>
  <c r="Q17" i="23" s="1"/>
  <c r="K9" i="23"/>
  <c r="R17" i="23" s="1"/>
  <c r="K10" i="23"/>
  <c r="S17" i="23" s="1"/>
  <c r="K11" i="23"/>
  <c r="T17" i="23" s="1"/>
  <c r="K45" i="1" s="1"/>
  <c r="N46" i="1"/>
  <c r="N47" i="1"/>
  <c r="K38" i="1"/>
  <c r="J42" i="1"/>
  <c r="L42" i="1" s="1"/>
  <c r="J38" i="1"/>
  <c r="L38" i="1" s="1"/>
  <c r="J39" i="1"/>
  <c r="L39" i="1" s="1"/>
  <c r="J40" i="1"/>
  <c r="L40" i="1" s="1"/>
  <c r="J41" i="1"/>
  <c r="L41" i="1" s="1"/>
  <c r="M39" i="1"/>
  <c r="K40" i="1"/>
  <c r="N38" i="1"/>
  <c r="N40" i="1"/>
  <c r="N39" i="1"/>
  <c r="N42" i="1"/>
  <c r="N41" i="1"/>
  <c r="M42" i="1"/>
  <c r="M41" i="1"/>
  <c r="K42" i="1"/>
  <c r="K41" i="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B3" i="11"/>
  <c r="D3" i="11" s="1"/>
  <c r="B4" i="11"/>
  <c r="D4" i="11" s="1"/>
  <c r="B5" i="11"/>
  <c r="D5" i="11" s="1"/>
  <c r="B6" i="11"/>
  <c r="D6" i="11" s="1"/>
  <c r="B7" i="11"/>
  <c r="D7" i="11" s="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106" i="11"/>
  <c r="B107" i="11"/>
  <c r="B108" i="11"/>
  <c r="B109" i="11"/>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31" i="7" s="1"/>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L5" i="8"/>
  <c r="M5" i="8"/>
  <c r="N5" i="8"/>
  <c r="O5" i="8"/>
  <c r="L6" i="8"/>
  <c r="M6" i="8"/>
  <c r="N6" i="8"/>
  <c r="O6" i="8"/>
  <c r="L7" i="8"/>
  <c r="M7" i="8"/>
  <c r="N7" i="8"/>
  <c r="O7" i="8"/>
  <c r="L8" i="8"/>
  <c r="M8" i="8"/>
  <c r="N8" i="8"/>
  <c r="O8" i="8"/>
  <c r="L9" i="8"/>
  <c r="M9" i="8"/>
  <c r="N9" i="8"/>
  <c r="O9" i="8"/>
  <c r="L10" i="8"/>
  <c r="M10" i="8"/>
  <c r="N10" i="8"/>
  <c r="O10" i="8"/>
  <c r="L11" i="8"/>
  <c r="M11" i="8"/>
  <c r="N11" i="8"/>
  <c r="L12" i="8"/>
  <c r="M12" i="8"/>
  <c r="N12" i="8"/>
  <c r="L13" i="8"/>
  <c r="M13" i="8"/>
  <c r="N13" i="8"/>
  <c r="L14" i="8"/>
  <c r="M14" i="8"/>
  <c r="N14" i="8"/>
  <c r="O14" i="8"/>
  <c r="L15" i="8"/>
  <c r="M15" i="8"/>
  <c r="N15" i="8"/>
  <c r="O15" i="8"/>
  <c r="L16" i="8"/>
  <c r="M16" i="8"/>
  <c r="N16" i="8"/>
  <c r="O16" i="8"/>
  <c r="L17" i="8"/>
  <c r="M17" i="8"/>
  <c r="N17" i="8"/>
  <c r="O17" i="8"/>
  <c r="L18" i="8"/>
  <c r="M18" i="8"/>
  <c r="N18" i="8"/>
  <c r="O18" i="8"/>
  <c r="L19" i="8"/>
  <c r="M19" i="8"/>
  <c r="N19" i="8"/>
  <c r="O19" i="8"/>
  <c r="L20" i="8"/>
  <c r="M20" i="8"/>
  <c r="N20" i="8"/>
  <c r="O20" i="8"/>
  <c r="L21" i="8"/>
  <c r="M21" i="8"/>
  <c r="N21" i="8"/>
  <c r="O21" i="8"/>
  <c r="L22" i="8"/>
  <c r="M22" i="8"/>
  <c r="N22" i="8"/>
  <c r="O22" i="8"/>
  <c r="L23" i="8"/>
  <c r="M23" i="8"/>
  <c r="N23" i="8"/>
  <c r="O23" i="8"/>
  <c r="L24" i="8"/>
  <c r="M24" i="8"/>
  <c r="N24" i="8"/>
  <c r="O24" i="8"/>
  <c r="L25" i="8"/>
  <c r="M25" i="8"/>
  <c r="N25" i="8"/>
  <c r="O25" i="8"/>
  <c r="L26" i="8"/>
  <c r="M26" i="8"/>
  <c r="N26" i="8"/>
  <c r="O26" i="8"/>
  <c r="L27" i="8"/>
  <c r="M27" i="8"/>
  <c r="N27" i="8"/>
  <c r="O27" i="8"/>
  <c r="L28" i="8"/>
  <c r="M28" i="8"/>
  <c r="N28" i="8"/>
  <c r="O28" i="8"/>
  <c r="L29" i="8"/>
  <c r="M29" i="8"/>
  <c r="N29" i="8"/>
  <c r="O29" i="8"/>
  <c r="L30" i="8"/>
  <c r="M30" i="8"/>
  <c r="N30" i="8"/>
  <c r="O30" i="8"/>
  <c r="L31" i="8"/>
  <c r="M31" i="8"/>
  <c r="N31" i="8"/>
  <c r="O31" i="8"/>
  <c r="L32" i="8"/>
  <c r="M32" i="8"/>
  <c r="N32" i="8"/>
  <c r="O32" i="8"/>
  <c r="L33" i="8"/>
  <c r="M33" i="8"/>
  <c r="N33" i="8"/>
  <c r="O33" i="8"/>
  <c r="L34" i="8"/>
  <c r="M34" i="8"/>
  <c r="N34" i="8"/>
  <c r="O34" i="8"/>
  <c r="L35" i="8"/>
  <c r="M35" i="8"/>
  <c r="N35" i="8"/>
  <c r="O35" i="8"/>
  <c r="L36" i="8"/>
  <c r="M36" i="8"/>
  <c r="N36" i="8"/>
  <c r="O36" i="8"/>
  <c r="L37" i="8"/>
  <c r="M37" i="8"/>
  <c r="N37" i="8"/>
  <c r="O37" i="8"/>
  <c r="L38" i="8"/>
  <c r="M38" i="8"/>
  <c r="N38" i="8"/>
  <c r="O38" i="8"/>
  <c r="L39" i="8"/>
  <c r="M39" i="8"/>
  <c r="N39" i="8"/>
  <c r="O39" i="8"/>
  <c r="L40" i="8"/>
  <c r="M40" i="8"/>
  <c r="N40" i="8"/>
  <c r="O40" i="8"/>
  <c r="L41" i="8"/>
  <c r="M41" i="8"/>
  <c r="N41" i="8"/>
  <c r="O41" i="8"/>
  <c r="L42" i="8"/>
  <c r="M42" i="8"/>
  <c r="N42" i="8"/>
  <c r="O42" i="8"/>
  <c r="L43" i="8"/>
  <c r="M43" i="8"/>
  <c r="N43" i="8"/>
  <c r="O43" i="8"/>
  <c r="L44" i="8"/>
  <c r="M44" i="8"/>
  <c r="N44" i="8"/>
  <c r="O44" i="8"/>
  <c r="L45" i="8"/>
  <c r="M45" i="8"/>
  <c r="N45" i="8"/>
  <c r="O45" i="8"/>
  <c r="L46" i="8"/>
  <c r="M46" i="8"/>
  <c r="N46" i="8"/>
  <c r="O46" i="8"/>
  <c r="L47" i="8"/>
  <c r="M47" i="8"/>
  <c r="N47" i="8"/>
  <c r="O47" i="8"/>
  <c r="L48" i="8"/>
  <c r="M48" i="8"/>
  <c r="N48" i="8"/>
  <c r="O48" i="8"/>
  <c r="L49" i="8"/>
  <c r="M49" i="8"/>
  <c r="N49" i="8"/>
  <c r="O49" i="8"/>
  <c r="L50" i="8"/>
  <c r="M50" i="8"/>
  <c r="N50" i="8"/>
  <c r="O50" i="8"/>
  <c r="L51" i="8"/>
  <c r="M51" i="8"/>
  <c r="N51" i="8"/>
  <c r="O51" i="8"/>
  <c r="L52" i="8"/>
  <c r="M52" i="8"/>
  <c r="N52" i="8"/>
  <c r="O52" i="8"/>
  <c r="L53" i="8"/>
  <c r="M53" i="8"/>
  <c r="N53" i="8"/>
  <c r="O53" i="8"/>
  <c r="L54" i="8"/>
  <c r="M54" i="8"/>
  <c r="N54" i="8"/>
  <c r="O54" i="8"/>
  <c r="L55" i="8"/>
  <c r="M55" i="8"/>
  <c r="N55" i="8"/>
  <c r="O55" i="8"/>
  <c r="L56" i="8"/>
  <c r="M56" i="8"/>
  <c r="N56" i="8"/>
  <c r="O56" i="8"/>
  <c r="L57" i="8"/>
  <c r="M57" i="8"/>
  <c r="N57" i="8"/>
  <c r="O57" i="8"/>
  <c r="L58" i="8"/>
  <c r="M58" i="8"/>
  <c r="N58" i="8"/>
  <c r="O58" i="8"/>
  <c r="L59" i="8"/>
  <c r="M59" i="8"/>
  <c r="N59" i="8"/>
  <c r="O59" i="8"/>
  <c r="L60" i="8"/>
  <c r="M60" i="8"/>
  <c r="N60" i="8"/>
  <c r="O60" i="8"/>
  <c r="L61" i="8"/>
  <c r="M61" i="8"/>
  <c r="N61" i="8"/>
  <c r="O61" i="8"/>
  <c r="L62" i="8"/>
  <c r="M62" i="8"/>
  <c r="N62" i="8"/>
  <c r="O62" i="8"/>
  <c r="L63" i="8"/>
  <c r="M63" i="8"/>
  <c r="N63" i="8"/>
  <c r="O63" i="8"/>
  <c r="L64" i="8"/>
  <c r="M64" i="8"/>
  <c r="N64" i="8"/>
  <c r="O64" i="8"/>
  <c r="L65" i="8"/>
  <c r="M65" i="8"/>
  <c r="N65" i="8"/>
  <c r="O65" i="8"/>
  <c r="L66" i="8"/>
  <c r="M66" i="8"/>
  <c r="N66" i="8"/>
  <c r="O66" i="8"/>
  <c r="L67" i="8"/>
  <c r="M67" i="8"/>
  <c r="M25" i="7" s="1"/>
  <c r="N67" i="8"/>
  <c r="N25" i="7" s="1"/>
  <c r="O67" i="8"/>
  <c r="O25" i="7" s="1"/>
  <c r="L68" i="8"/>
  <c r="M68" i="8"/>
  <c r="N68" i="8"/>
  <c r="O68" i="8"/>
  <c r="L69" i="8"/>
  <c r="M69" i="8"/>
  <c r="N69" i="8"/>
  <c r="O69" i="8"/>
  <c r="L70" i="8"/>
  <c r="M70" i="8"/>
  <c r="N70" i="8"/>
  <c r="N26" i="7" s="1"/>
  <c r="O70" i="8"/>
  <c r="L71" i="8"/>
  <c r="M71" i="8"/>
  <c r="N71" i="8"/>
  <c r="O71" i="8"/>
  <c r="L72" i="8"/>
  <c r="M72" i="8"/>
  <c r="N72" i="8"/>
  <c r="O72" i="8"/>
  <c r="L73" i="8"/>
  <c r="M73" i="8"/>
  <c r="N73" i="8"/>
  <c r="O73" i="8"/>
  <c r="L74" i="8"/>
  <c r="M74" i="8"/>
  <c r="N74" i="8"/>
  <c r="O74" i="8"/>
  <c r="L75" i="8"/>
  <c r="M75" i="8"/>
  <c r="N75" i="8"/>
  <c r="O75" i="8"/>
  <c r="L76" i="8"/>
  <c r="M76" i="8"/>
  <c r="N76" i="8"/>
  <c r="O76" i="8"/>
  <c r="L77" i="8"/>
  <c r="M77" i="8"/>
  <c r="N77" i="8"/>
  <c r="O77" i="8"/>
  <c r="L78" i="8"/>
  <c r="M78" i="8"/>
  <c r="N78" i="8"/>
  <c r="O78" i="8"/>
  <c r="L79" i="8"/>
  <c r="M79" i="8"/>
  <c r="N79" i="8"/>
  <c r="O79" i="8"/>
  <c r="L80" i="8"/>
  <c r="M80" i="8"/>
  <c r="N80" i="8"/>
  <c r="O80" i="8"/>
  <c r="L81" i="8"/>
  <c r="M81" i="8"/>
  <c r="N81" i="8"/>
  <c r="O81" i="8"/>
  <c r="L82" i="8"/>
  <c r="M82" i="8"/>
  <c r="N82" i="8"/>
  <c r="O82" i="8"/>
  <c r="L83" i="8"/>
  <c r="M83" i="8"/>
  <c r="N83" i="8"/>
  <c r="O83" i="8"/>
  <c r="L84" i="8"/>
  <c r="M84" i="8"/>
  <c r="N84" i="8"/>
  <c r="O84" i="8"/>
  <c r="L85" i="8"/>
  <c r="M85" i="8"/>
  <c r="N85" i="8"/>
  <c r="O85" i="8"/>
  <c r="L86" i="8"/>
  <c r="M86" i="8"/>
  <c r="N86" i="8"/>
  <c r="O86" i="8"/>
  <c r="L87" i="8"/>
  <c r="M87" i="8"/>
  <c r="N87" i="8"/>
  <c r="O87" i="8"/>
  <c r="L88" i="8"/>
  <c r="M88" i="8"/>
  <c r="N88" i="8"/>
  <c r="O88" i="8"/>
  <c r="L89" i="8"/>
  <c r="M89" i="8"/>
  <c r="N89" i="8"/>
  <c r="O89" i="8"/>
  <c r="L90" i="8"/>
  <c r="M90" i="8"/>
  <c r="N90" i="8"/>
  <c r="O90" i="8"/>
  <c r="L91" i="8"/>
  <c r="M91" i="8"/>
  <c r="N91" i="8"/>
  <c r="O91" i="8"/>
  <c r="L92" i="8"/>
  <c r="M92" i="8"/>
  <c r="N92" i="8"/>
  <c r="O92" i="8"/>
  <c r="L93" i="8"/>
  <c r="M93" i="8"/>
  <c r="N93" i="8"/>
  <c r="O93" i="8"/>
  <c r="L94" i="8"/>
  <c r="M94" i="8"/>
  <c r="N94" i="8"/>
  <c r="O94" i="8"/>
  <c r="L95" i="8"/>
  <c r="M95" i="8"/>
  <c r="N95" i="8"/>
  <c r="O95" i="8"/>
  <c r="L96" i="8"/>
  <c r="M96" i="8"/>
  <c r="N96" i="8"/>
  <c r="O96" i="8"/>
  <c r="L97" i="8"/>
  <c r="M97" i="8"/>
  <c r="N97" i="8"/>
  <c r="O97" i="8"/>
  <c r="L98" i="8"/>
  <c r="M98" i="8"/>
  <c r="N98" i="8"/>
  <c r="O98" i="8"/>
  <c r="L99" i="8"/>
  <c r="M99" i="8"/>
  <c r="N99" i="8"/>
  <c r="O99" i="8"/>
  <c r="L100" i="8"/>
  <c r="M100" i="8"/>
  <c r="N100" i="8"/>
  <c r="O100" i="8"/>
  <c r="L101" i="8"/>
  <c r="M101" i="8"/>
  <c r="N101" i="8"/>
  <c r="O101" i="8"/>
  <c r="L102" i="8"/>
  <c r="M102" i="8"/>
  <c r="N102" i="8"/>
  <c r="O102" i="8"/>
  <c r="L103" i="8"/>
  <c r="M103" i="8"/>
  <c r="N103" i="8"/>
  <c r="O103" i="8"/>
  <c r="L104" i="8"/>
  <c r="M104" i="8"/>
  <c r="N104" i="8"/>
  <c r="O104" i="8"/>
  <c r="L105" i="8"/>
  <c r="M105" i="8"/>
  <c r="N105" i="8"/>
  <c r="O105" i="8"/>
  <c r="L106" i="8"/>
  <c r="M106" i="8"/>
  <c r="N106" i="8"/>
  <c r="O106" i="8"/>
  <c r="O38" i="7" s="1"/>
  <c r="L107" i="8"/>
  <c r="M107" i="8"/>
  <c r="N107" i="8"/>
  <c r="O107" i="8"/>
  <c r="L108" i="8"/>
  <c r="M108" i="8"/>
  <c r="N108" i="8"/>
  <c r="O108" i="8"/>
  <c r="L109" i="8"/>
  <c r="M109" i="8"/>
  <c r="N109" i="8"/>
  <c r="N39" i="7" s="1"/>
  <c r="O109" i="8"/>
  <c r="L110" i="8"/>
  <c r="M110" i="8"/>
  <c r="N110" i="8"/>
  <c r="O110" i="8"/>
  <c r="L111" i="8"/>
  <c r="M111" i="8"/>
  <c r="N111" i="8"/>
  <c r="O111" i="8"/>
  <c r="L112" i="8"/>
  <c r="M112" i="8"/>
  <c r="N112" i="8"/>
  <c r="O112" i="8"/>
  <c r="K98" i="8"/>
  <c r="K99" i="8"/>
  <c r="K100" i="8"/>
  <c r="K59" i="8"/>
  <c r="K60" i="8"/>
  <c r="K61" i="8"/>
  <c r="K50" i="8"/>
  <c r="K51" i="8"/>
  <c r="K52" i="8"/>
  <c r="L5" i="3"/>
  <c r="M5" i="3"/>
  <c r="N5" i="3"/>
  <c r="O5" i="3"/>
  <c r="L6" i="3"/>
  <c r="M6" i="3"/>
  <c r="N6" i="3"/>
  <c r="O6" i="3"/>
  <c r="L7" i="3"/>
  <c r="M7" i="3"/>
  <c r="N7" i="3"/>
  <c r="O7" i="3"/>
  <c r="L8" i="3"/>
  <c r="M8" i="3"/>
  <c r="N8" i="3"/>
  <c r="O8" i="3"/>
  <c r="L9" i="3"/>
  <c r="M9" i="3"/>
  <c r="N9" i="3"/>
  <c r="O9" i="3"/>
  <c r="L10" i="3"/>
  <c r="M10" i="3"/>
  <c r="N10" i="3"/>
  <c r="O10" i="3"/>
  <c r="L11" i="3"/>
  <c r="M11" i="3"/>
  <c r="N11" i="3"/>
  <c r="P11" i="3"/>
  <c r="L12" i="3"/>
  <c r="M12" i="3"/>
  <c r="N12" i="3"/>
  <c r="P12" i="3"/>
  <c r="L13" i="3"/>
  <c r="M13" i="3"/>
  <c r="N13" i="3"/>
  <c r="P13" i="3"/>
  <c r="L14" i="3"/>
  <c r="M14" i="3"/>
  <c r="N14" i="3"/>
  <c r="O14" i="3"/>
  <c r="P14" i="3"/>
  <c r="L15" i="3"/>
  <c r="M15" i="3"/>
  <c r="N15" i="3"/>
  <c r="O15" i="3"/>
  <c r="P15" i="3"/>
  <c r="L16" i="3"/>
  <c r="M16" i="3"/>
  <c r="N16" i="3"/>
  <c r="O16" i="3"/>
  <c r="P16" i="3"/>
  <c r="L17" i="3"/>
  <c r="M17" i="3"/>
  <c r="N17" i="3"/>
  <c r="O17" i="3"/>
  <c r="P17" i="3"/>
  <c r="L18" i="3"/>
  <c r="M18" i="3"/>
  <c r="N18" i="3"/>
  <c r="O18" i="3"/>
  <c r="P18" i="3"/>
  <c r="L19" i="3"/>
  <c r="M19" i="3"/>
  <c r="N19" i="3"/>
  <c r="O19" i="3"/>
  <c r="P19" i="3"/>
  <c r="L20" i="3"/>
  <c r="M20" i="3"/>
  <c r="N20" i="3"/>
  <c r="O20" i="3"/>
  <c r="P20" i="3"/>
  <c r="L21" i="3"/>
  <c r="M21" i="3"/>
  <c r="N21" i="3"/>
  <c r="O21" i="3"/>
  <c r="P21" i="3"/>
  <c r="L22" i="3"/>
  <c r="M22" i="3"/>
  <c r="N22" i="3"/>
  <c r="O22" i="3"/>
  <c r="P22" i="3"/>
  <c r="L23" i="3"/>
  <c r="M23" i="3"/>
  <c r="N23" i="3"/>
  <c r="O23" i="3"/>
  <c r="P23" i="3"/>
  <c r="L24" i="3"/>
  <c r="M24" i="3"/>
  <c r="N24" i="3"/>
  <c r="O24" i="3"/>
  <c r="P24" i="3"/>
  <c r="L25" i="3"/>
  <c r="M25" i="3"/>
  <c r="N25" i="3"/>
  <c r="O25" i="3"/>
  <c r="P25" i="3"/>
  <c r="L26" i="3"/>
  <c r="M26" i="3"/>
  <c r="N26" i="3"/>
  <c r="O26" i="3"/>
  <c r="P26" i="3"/>
  <c r="L27" i="3"/>
  <c r="M27" i="3"/>
  <c r="N27" i="3"/>
  <c r="O27" i="3"/>
  <c r="P27" i="3"/>
  <c r="L28" i="3"/>
  <c r="M28" i="3"/>
  <c r="N28" i="3"/>
  <c r="O28" i="3"/>
  <c r="P28" i="3"/>
  <c r="L29" i="3"/>
  <c r="M29" i="3"/>
  <c r="N29" i="3"/>
  <c r="O29" i="3"/>
  <c r="P29" i="3"/>
  <c r="L30" i="3"/>
  <c r="M30" i="3"/>
  <c r="N30" i="3"/>
  <c r="O30" i="3"/>
  <c r="P30" i="3"/>
  <c r="L31" i="3"/>
  <c r="M31" i="3"/>
  <c r="N31" i="3"/>
  <c r="O31" i="3"/>
  <c r="P31" i="3"/>
  <c r="L32" i="3"/>
  <c r="M32" i="3"/>
  <c r="N32" i="3"/>
  <c r="O32" i="3"/>
  <c r="P32" i="3"/>
  <c r="L33" i="3"/>
  <c r="M33" i="3"/>
  <c r="N33" i="3"/>
  <c r="O33" i="3"/>
  <c r="P33" i="3"/>
  <c r="L34" i="3"/>
  <c r="M34" i="3"/>
  <c r="N34" i="3"/>
  <c r="O34" i="3"/>
  <c r="P34" i="3"/>
  <c r="L35" i="3"/>
  <c r="M35" i="3"/>
  <c r="N35" i="3"/>
  <c r="O35" i="3"/>
  <c r="P35" i="3"/>
  <c r="L36" i="3"/>
  <c r="M36" i="3"/>
  <c r="N36" i="3"/>
  <c r="O36" i="3"/>
  <c r="P36" i="3"/>
  <c r="L37" i="3"/>
  <c r="M37" i="3"/>
  <c r="N37" i="3"/>
  <c r="O37" i="3"/>
  <c r="P37" i="3"/>
  <c r="L38" i="3"/>
  <c r="M38" i="3"/>
  <c r="N38" i="3"/>
  <c r="O38" i="3"/>
  <c r="P38" i="3"/>
  <c r="L39" i="3"/>
  <c r="M39" i="3"/>
  <c r="N39" i="3"/>
  <c r="O39" i="3"/>
  <c r="P39" i="3"/>
  <c r="L40" i="3"/>
  <c r="M40" i="3"/>
  <c r="N40" i="3"/>
  <c r="O40" i="3"/>
  <c r="P40" i="3"/>
  <c r="L41" i="3"/>
  <c r="M41" i="3"/>
  <c r="N41" i="3"/>
  <c r="O41" i="3"/>
  <c r="P41" i="3"/>
  <c r="L42" i="3"/>
  <c r="M42" i="3"/>
  <c r="N42" i="3"/>
  <c r="O42" i="3"/>
  <c r="P42" i="3"/>
  <c r="L43" i="3"/>
  <c r="M43" i="3"/>
  <c r="N43" i="3"/>
  <c r="O43" i="3"/>
  <c r="P43" i="3"/>
  <c r="L44" i="3"/>
  <c r="M44" i="3"/>
  <c r="N44" i="3"/>
  <c r="O44" i="3"/>
  <c r="P44" i="3"/>
  <c r="L45" i="3"/>
  <c r="M45" i="3"/>
  <c r="N45" i="3"/>
  <c r="O45" i="3"/>
  <c r="P45" i="3"/>
  <c r="L46" i="3"/>
  <c r="M46" i="3"/>
  <c r="N46" i="3"/>
  <c r="O46" i="3"/>
  <c r="P46" i="3"/>
  <c r="L47" i="3"/>
  <c r="M47" i="3"/>
  <c r="N47" i="3"/>
  <c r="O47" i="3"/>
  <c r="P47" i="3"/>
  <c r="L48" i="3"/>
  <c r="M48" i="3"/>
  <c r="N48" i="3"/>
  <c r="O48" i="3"/>
  <c r="P48" i="3"/>
  <c r="L49" i="3"/>
  <c r="M49" i="3"/>
  <c r="N49" i="3"/>
  <c r="O49" i="3"/>
  <c r="P49" i="3"/>
  <c r="L50" i="3"/>
  <c r="M50" i="3"/>
  <c r="N50" i="3"/>
  <c r="O50" i="3"/>
  <c r="P50" i="3"/>
  <c r="L51" i="3"/>
  <c r="M51" i="3"/>
  <c r="N51" i="3"/>
  <c r="O51" i="3"/>
  <c r="P51" i="3"/>
  <c r="L52" i="3"/>
  <c r="M52" i="3"/>
  <c r="N52" i="3"/>
  <c r="O52" i="3"/>
  <c r="P52" i="3"/>
  <c r="L53" i="3"/>
  <c r="M53" i="3"/>
  <c r="N53" i="3"/>
  <c r="O53" i="3"/>
  <c r="P53" i="3"/>
  <c r="L54" i="3"/>
  <c r="M54" i="3"/>
  <c r="N54" i="3"/>
  <c r="O54" i="3"/>
  <c r="P54" i="3"/>
  <c r="L55" i="3"/>
  <c r="M55" i="3"/>
  <c r="N55" i="3"/>
  <c r="O55" i="3"/>
  <c r="P55" i="3"/>
  <c r="L56" i="3"/>
  <c r="M56" i="3"/>
  <c r="N56" i="3"/>
  <c r="O56" i="3"/>
  <c r="P56" i="3"/>
  <c r="L57" i="3"/>
  <c r="M57" i="3"/>
  <c r="N57" i="3"/>
  <c r="O57" i="3"/>
  <c r="P57" i="3"/>
  <c r="L58" i="3"/>
  <c r="M58" i="3"/>
  <c r="N58" i="3"/>
  <c r="O58" i="3"/>
  <c r="P58" i="3"/>
  <c r="L59" i="3"/>
  <c r="M59" i="3"/>
  <c r="N59" i="3"/>
  <c r="O59" i="3"/>
  <c r="P59" i="3"/>
  <c r="L60" i="3"/>
  <c r="M60" i="3"/>
  <c r="N60" i="3"/>
  <c r="O60" i="3"/>
  <c r="P60" i="3"/>
  <c r="L61" i="3"/>
  <c r="M61" i="3"/>
  <c r="N61" i="3"/>
  <c r="O61" i="3"/>
  <c r="P61" i="3"/>
  <c r="L62" i="3"/>
  <c r="M62" i="3"/>
  <c r="N62" i="3"/>
  <c r="O62" i="3"/>
  <c r="P62" i="3"/>
  <c r="L63" i="3"/>
  <c r="M63" i="3"/>
  <c r="N63" i="3"/>
  <c r="O63" i="3"/>
  <c r="P63" i="3"/>
  <c r="L64" i="3"/>
  <c r="M64" i="3"/>
  <c r="N64" i="3"/>
  <c r="O64" i="3"/>
  <c r="P64" i="3"/>
  <c r="L65" i="3"/>
  <c r="M65" i="3"/>
  <c r="N65" i="3"/>
  <c r="N25" i="2" s="1"/>
  <c r="O65" i="3"/>
  <c r="P65" i="3"/>
  <c r="L66" i="3"/>
  <c r="M66" i="3"/>
  <c r="N66" i="3"/>
  <c r="O66" i="3"/>
  <c r="P66" i="3"/>
  <c r="L67" i="3"/>
  <c r="M67" i="3"/>
  <c r="N67" i="3"/>
  <c r="O67" i="3"/>
  <c r="P67" i="3"/>
  <c r="L68" i="3"/>
  <c r="M68" i="3"/>
  <c r="N68" i="3"/>
  <c r="O68" i="3"/>
  <c r="P68" i="3"/>
  <c r="L69" i="3"/>
  <c r="M69" i="3"/>
  <c r="N69" i="3"/>
  <c r="O69" i="3"/>
  <c r="P69" i="3"/>
  <c r="L70" i="3"/>
  <c r="M70" i="3"/>
  <c r="N70" i="3"/>
  <c r="O70" i="3"/>
  <c r="P70" i="3"/>
  <c r="L71" i="3"/>
  <c r="M71" i="3"/>
  <c r="N71" i="3"/>
  <c r="O71" i="3"/>
  <c r="P71" i="3"/>
  <c r="L72" i="3"/>
  <c r="M72" i="3"/>
  <c r="N72" i="3"/>
  <c r="O72" i="3"/>
  <c r="P72" i="3"/>
  <c r="L73" i="3"/>
  <c r="M73" i="3"/>
  <c r="N73" i="3"/>
  <c r="O73" i="3"/>
  <c r="P73" i="3"/>
  <c r="L74" i="3"/>
  <c r="M74" i="3"/>
  <c r="N74" i="3"/>
  <c r="O74" i="3"/>
  <c r="P74" i="3"/>
  <c r="L75" i="3"/>
  <c r="M75" i="3"/>
  <c r="N75" i="3"/>
  <c r="O75" i="3"/>
  <c r="P75" i="3"/>
  <c r="L76" i="3"/>
  <c r="M76" i="3"/>
  <c r="N76" i="3"/>
  <c r="O76" i="3"/>
  <c r="P76" i="3"/>
  <c r="L77" i="3"/>
  <c r="M77" i="3"/>
  <c r="N77" i="3"/>
  <c r="O77" i="3"/>
  <c r="P77" i="3"/>
  <c r="L78" i="3"/>
  <c r="M78" i="3"/>
  <c r="N78" i="3"/>
  <c r="O78" i="3"/>
  <c r="P78" i="3"/>
  <c r="L79" i="3"/>
  <c r="M79" i="3"/>
  <c r="N79" i="3"/>
  <c r="O79" i="3"/>
  <c r="P79" i="3"/>
  <c r="L80" i="3"/>
  <c r="M80" i="3"/>
  <c r="N80" i="3"/>
  <c r="O80" i="3"/>
  <c r="P80" i="3"/>
  <c r="L81" i="3"/>
  <c r="M81" i="3"/>
  <c r="N81" i="3"/>
  <c r="O81" i="3"/>
  <c r="P81" i="3"/>
  <c r="P30" i="2" s="1"/>
  <c r="L82" i="3"/>
  <c r="M82" i="3"/>
  <c r="N82" i="3"/>
  <c r="O82" i="3"/>
  <c r="P82" i="3"/>
  <c r="L83" i="3"/>
  <c r="M83" i="3"/>
  <c r="N83" i="3"/>
  <c r="O83" i="3"/>
  <c r="P83" i="3"/>
  <c r="L84" i="3"/>
  <c r="M84" i="3"/>
  <c r="N84" i="3"/>
  <c r="O84" i="3"/>
  <c r="P84" i="3"/>
  <c r="L85" i="3"/>
  <c r="M85" i="3"/>
  <c r="N85" i="3"/>
  <c r="O85" i="3"/>
  <c r="P85" i="3"/>
  <c r="L86" i="3"/>
  <c r="M86" i="3"/>
  <c r="N86" i="3"/>
  <c r="O86" i="3"/>
  <c r="P86" i="3"/>
  <c r="L87" i="3"/>
  <c r="M87" i="3"/>
  <c r="N87" i="3"/>
  <c r="O87" i="3"/>
  <c r="P87" i="3"/>
  <c r="L88" i="3"/>
  <c r="M88" i="3"/>
  <c r="N88" i="3"/>
  <c r="O88" i="3"/>
  <c r="P88" i="3"/>
  <c r="L89" i="3"/>
  <c r="M89" i="3"/>
  <c r="N89" i="3"/>
  <c r="O89" i="3"/>
  <c r="P89" i="3"/>
  <c r="L90" i="3"/>
  <c r="M90" i="3"/>
  <c r="N90" i="3"/>
  <c r="O90" i="3"/>
  <c r="P90" i="3"/>
  <c r="L91" i="3"/>
  <c r="M91" i="3"/>
  <c r="N91" i="3"/>
  <c r="O91" i="3"/>
  <c r="P91" i="3"/>
  <c r="L92" i="3"/>
  <c r="M92" i="3"/>
  <c r="N92" i="3"/>
  <c r="O92" i="3"/>
  <c r="P92" i="3"/>
  <c r="L93" i="3"/>
  <c r="M93" i="3"/>
  <c r="N93" i="3"/>
  <c r="O93" i="3"/>
  <c r="P93" i="3"/>
  <c r="L94" i="3"/>
  <c r="M94" i="3"/>
  <c r="N94" i="3"/>
  <c r="O94" i="3"/>
  <c r="P94" i="3"/>
  <c r="L95" i="3"/>
  <c r="M95" i="3"/>
  <c r="N95" i="3"/>
  <c r="O95" i="3"/>
  <c r="P95" i="3"/>
  <c r="L96" i="3"/>
  <c r="M96" i="3"/>
  <c r="N96" i="3"/>
  <c r="O96" i="3"/>
  <c r="P96" i="3"/>
  <c r="L97" i="3"/>
  <c r="M97" i="3"/>
  <c r="N97" i="3"/>
  <c r="O97" i="3"/>
  <c r="P97" i="3"/>
  <c r="L98" i="3"/>
  <c r="M98" i="3"/>
  <c r="N98" i="3"/>
  <c r="O98" i="3"/>
  <c r="P98" i="3"/>
  <c r="L99" i="3"/>
  <c r="M99" i="3"/>
  <c r="N99" i="3"/>
  <c r="O99" i="3"/>
  <c r="P99" i="3"/>
  <c r="L100" i="3"/>
  <c r="M100" i="3"/>
  <c r="N100" i="3"/>
  <c r="O100" i="3"/>
  <c r="P100" i="3"/>
  <c r="L101" i="3"/>
  <c r="M101" i="3"/>
  <c r="N101" i="3"/>
  <c r="O101" i="3"/>
  <c r="P101" i="3"/>
  <c r="L102" i="3"/>
  <c r="M102" i="3"/>
  <c r="N102" i="3"/>
  <c r="O102" i="3"/>
  <c r="P102" i="3"/>
  <c r="L103" i="3"/>
  <c r="M103" i="3"/>
  <c r="N103" i="3"/>
  <c r="O103" i="3"/>
  <c r="P103" i="3"/>
  <c r="P37" i="2" s="1"/>
  <c r="L104" i="3"/>
  <c r="M104" i="3"/>
  <c r="N104" i="3"/>
  <c r="O104" i="3"/>
  <c r="P104" i="3"/>
  <c r="L105" i="3"/>
  <c r="M105" i="3"/>
  <c r="N105" i="3"/>
  <c r="O105" i="3"/>
  <c r="P105" i="3"/>
  <c r="L106" i="3"/>
  <c r="M106" i="3"/>
  <c r="N106" i="3"/>
  <c r="O106" i="3"/>
  <c r="P106" i="3"/>
  <c r="L107" i="3"/>
  <c r="M107" i="3"/>
  <c r="N107" i="3"/>
  <c r="O107" i="3"/>
  <c r="P107" i="3"/>
  <c r="L108" i="3"/>
  <c r="M108" i="3"/>
  <c r="N108" i="3"/>
  <c r="O108" i="3"/>
  <c r="P108" i="3"/>
  <c r="L109" i="3"/>
  <c r="M109" i="3"/>
  <c r="N109" i="3"/>
  <c r="O109" i="3"/>
  <c r="P109" i="3"/>
  <c r="L110" i="3"/>
  <c r="M110" i="3"/>
  <c r="N110" i="3"/>
  <c r="O110" i="3"/>
  <c r="P110" i="3"/>
  <c r="L111" i="3"/>
  <c r="M111" i="3"/>
  <c r="N111" i="3"/>
  <c r="O111" i="3"/>
  <c r="P111" i="3"/>
  <c r="L112" i="3"/>
  <c r="M112" i="3"/>
  <c r="N112" i="3"/>
  <c r="O112" i="3"/>
  <c r="P112" i="3"/>
  <c r="K98" i="3"/>
  <c r="K99" i="3"/>
  <c r="K100" i="3"/>
  <c r="K59" i="3"/>
  <c r="K60" i="3"/>
  <c r="K61" i="3"/>
  <c r="K23" i="2" s="1"/>
  <c r="K50" i="3"/>
  <c r="K51" i="3"/>
  <c r="K52" i="3"/>
  <c r="P33" i="7"/>
  <c r="P34" i="7"/>
  <c r="P37" i="7"/>
  <c r="P39" i="7"/>
  <c r="K36" i="7"/>
  <c r="C5" i="7"/>
  <c r="D5" i="7"/>
  <c r="E5" i="7"/>
  <c r="F5" i="7"/>
  <c r="C6" i="7"/>
  <c r="D6" i="7"/>
  <c r="E6" i="7"/>
  <c r="F6" i="7"/>
  <c r="C7" i="7"/>
  <c r="D7" i="7"/>
  <c r="E7" i="7"/>
  <c r="G7" i="7"/>
  <c r="C8" i="7"/>
  <c r="D8" i="7"/>
  <c r="E8" i="7"/>
  <c r="F8" i="7"/>
  <c r="G8" i="7"/>
  <c r="C9" i="7"/>
  <c r="D9" i="7"/>
  <c r="E9" i="7"/>
  <c r="F9" i="7"/>
  <c r="G9" i="7"/>
  <c r="C10" i="7"/>
  <c r="D10" i="7"/>
  <c r="E10" i="7"/>
  <c r="F10" i="7"/>
  <c r="G10" i="7"/>
  <c r="C11" i="7"/>
  <c r="D11" i="7"/>
  <c r="E11" i="7"/>
  <c r="F11" i="7"/>
  <c r="G11" i="7"/>
  <c r="C12" i="7"/>
  <c r="D12" i="7"/>
  <c r="E12" i="7"/>
  <c r="F12" i="7"/>
  <c r="G12" i="7"/>
  <c r="C13" i="7"/>
  <c r="D13" i="7"/>
  <c r="E13" i="7"/>
  <c r="F13" i="7"/>
  <c r="G13" i="7"/>
  <c r="C14" i="7"/>
  <c r="D14" i="7"/>
  <c r="E14" i="7"/>
  <c r="F14" i="7"/>
  <c r="G14" i="7"/>
  <c r="C15" i="7"/>
  <c r="D15" i="7"/>
  <c r="E15" i="7"/>
  <c r="F15" i="7"/>
  <c r="G15" i="7"/>
  <c r="C16" i="7"/>
  <c r="D16" i="7"/>
  <c r="E16" i="7"/>
  <c r="F16" i="7"/>
  <c r="G16" i="7"/>
  <c r="C17" i="7"/>
  <c r="D17" i="7"/>
  <c r="E17" i="7"/>
  <c r="F17" i="7"/>
  <c r="G17" i="7"/>
  <c r="C18" i="7"/>
  <c r="D18" i="7"/>
  <c r="E18" i="7"/>
  <c r="F18" i="7"/>
  <c r="G18" i="7"/>
  <c r="C19" i="7"/>
  <c r="D19" i="7"/>
  <c r="E19" i="7"/>
  <c r="F19" i="7"/>
  <c r="G19" i="7"/>
  <c r="C20" i="7"/>
  <c r="D20" i="7"/>
  <c r="E20" i="7"/>
  <c r="F20" i="7"/>
  <c r="G20" i="7"/>
  <c r="C21" i="7"/>
  <c r="D21" i="7"/>
  <c r="E21" i="7"/>
  <c r="F21" i="7"/>
  <c r="G21" i="7"/>
  <c r="C22" i="7"/>
  <c r="D22" i="7"/>
  <c r="E22" i="7"/>
  <c r="F22" i="7"/>
  <c r="G22" i="7"/>
  <c r="C23" i="7"/>
  <c r="D23" i="7"/>
  <c r="E23" i="7"/>
  <c r="F23" i="7"/>
  <c r="G23" i="7"/>
  <c r="C24" i="7"/>
  <c r="D24" i="7"/>
  <c r="E24" i="7"/>
  <c r="F24" i="7"/>
  <c r="G24" i="7"/>
  <c r="C25" i="7"/>
  <c r="D25" i="7"/>
  <c r="E25" i="7"/>
  <c r="F25" i="7"/>
  <c r="G25" i="7"/>
  <c r="C26" i="7"/>
  <c r="D26" i="7"/>
  <c r="E26" i="7"/>
  <c r="F26" i="7"/>
  <c r="G26" i="7"/>
  <c r="C27" i="7"/>
  <c r="D27" i="7"/>
  <c r="E27" i="7"/>
  <c r="F27" i="7"/>
  <c r="G27" i="7"/>
  <c r="C28" i="7"/>
  <c r="D28" i="7"/>
  <c r="E28" i="7"/>
  <c r="F28" i="7"/>
  <c r="G28" i="7"/>
  <c r="C29" i="7"/>
  <c r="D29" i="7"/>
  <c r="E29" i="7"/>
  <c r="F29" i="7"/>
  <c r="G29" i="7"/>
  <c r="C30" i="7"/>
  <c r="D30" i="7"/>
  <c r="E30" i="7"/>
  <c r="F30" i="7"/>
  <c r="G30" i="7"/>
  <c r="C31" i="7"/>
  <c r="D31" i="7"/>
  <c r="E31" i="7"/>
  <c r="F31" i="7"/>
  <c r="G31" i="7"/>
  <c r="C32" i="7"/>
  <c r="D32" i="7"/>
  <c r="E32" i="7"/>
  <c r="F32" i="7"/>
  <c r="G32" i="7"/>
  <c r="C33" i="7"/>
  <c r="D33" i="7"/>
  <c r="E33" i="7"/>
  <c r="F33" i="7"/>
  <c r="G33" i="7"/>
  <c r="C34" i="7"/>
  <c r="D34" i="7"/>
  <c r="E34" i="7"/>
  <c r="F34" i="7"/>
  <c r="G34" i="7"/>
  <c r="C35" i="7"/>
  <c r="D35" i="7"/>
  <c r="E35" i="7"/>
  <c r="F35" i="7"/>
  <c r="G35" i="7"/>
  <c r="C36" i="7"/>
  <c r="D36" i="7"/>
  <c r="E36" i="7"/>
  <c r="F36" i="7"/>
  <c r="G36" i="7"/>
  <c r="C37" i="7"/>
  <c r="D37" i="7"/>
  <c r="E37" i="7"/>
  <c r="F37" i="7"/>
  <c r="G37" i="7"/>
  <c r="C38" i="7"/>
  <c r="D38" i="7"/>
  <c r="E38" i="7"/>
  <c r="F38" i="7"/>
  <c r="G38" i="7"/>
  <c r="C39" i="7"/>
  <c r="D39" i="7"/>
  <c r="E39" i="7"/>
  <c r="F39" i="7"/>
  <c r="G39" i="7"/>
  <c r="C40" i="7"/>
  <c r="D40" i="7"/>
  <c r="E40" i="7"/>
  <c r="F40" i="7"/>
  <c r="G40" i="7"/>
  <c r="B36" i="7"/>
  <c r="B28" i="7"/>
  <c r="B23" i="7"/>
  <c r="B20" i="7"/>
  <c r="G38" i="2"/>
  <c r="G35" i="2"/>
  <c r="G33" i="2"/>
  <c r="F33" i="2"/>
  <c r="E33" i="2"/>
  <c r="E34" i="2"/>
  <c r="F34" i="2"/>
  <c r="E35" i="2"/>
  <c r="F35" i="2"/>
  <c r="E36" i="2"/>
  <c r="F36" i="2"/>
  <c r="E37" i="2"/>
  <c r="F37" i="2"/>
  <c r="E38" i="2"/>
  <c r="F38" i="2"/>
  <c r="E39" i="2"/>
  <c r="F39" i="2"/>
  <c r="E40" i="2"/>
  <c r="F40" i="2"/>
  <c r="G7" i="2"/>
  <c r="G8" i="2"/>
  <c r="G9" i="2"/>
  <c r="G10" i="2"/>
  <c r="G11" i="2"/>
  <c r="G12" i="2"/>
  <c r="G13" i="2"/>
  <c r="G14" i="2"/>
  <c r="G15" i="2"/>
  <c r="G16" i="2"/>
  <c r="G17" i="2"/>
  <c r="G18" i="2"/>
  <c r="G19" i="2"/>
  <c r="G20" i="2"/>
  <c r="G21" i="2"/>
  <c r="G22" i="2"/>
  <c r="G23" i="2"/>
  <c r="G24" i="2"/>
  <c r="G25" i="2"/>
  <c r="G26" i="2"/>
  <c r="G27" i="2"/>
  <c r="G28" i="2"/>
  <c r="G29" i="2"/>
  <c r="G30" i="2"/>
  <c r="G31" i="2"/>
  <c r="G32" i="2"/>
  <c r="G34" i="2"/>
  <c r="G36" i="2"/>
  <c r="G37" i="2"/>
  <c r="G39" i="2"/>
  <c r="G40" i="2"/>
  <c r="E26" i="2"/>
  <c r="D25" i="2"/>
  <c r="E25" i="2"/>
  <c r="F25" i="2"/>
  <c r="B36" i="2"/>
  <c r="C36" i="2"/>
  <c r="B23" i="2"/>
  <c r="C23" i="2"/>
  <c r="B20" i="2"/>
  <c r="C20" i="2"/>
  <c r="C32" i="2"/>
  <c r="C28" i="2"/>
  <c r="C15" i="2"/>
  <c r="B5" i="2"/>
  <c r="C5" i="2"/>
  <c r="D5" i="2"/>
  <c r="E5" i="2"/>
  <c r="F5" i="2"/>
  <c r="B6" i="2"/>
  <c r="F16" i="10" s="1"/>
  <c r="C6" i="2"/>
  <c r="F17" i="10" s="1"/>
  <c r="D6" i="2"/>
  <c r="F18" i="10" s="1"/>
  <c r="E6" i="2"/>
  <c r="F19" i="10" s="1"/>
  <c r="F6" i="2"/>
  <c r="F20" i="10" s="1"/>
  <c r="C7" i="2"/>
  <c r="D7" i="2"/>
  <c r="E7" i="2"/>
  <c r="B8" i="2"/>
  <c r="C8" i="2"/>
  <c r="D8" i="2"/>
  <c r="E8" i="2"/>
  <c r="F8" i="2"/>
  <c r="B9" i="2"/>
  <c r="C9" i="2"/>
  <c r="D9" i="2"/>
  <c r="E9" i="2"/>
  <c r="F9" i="2"/>
  <c r="B10" i="2"/>
  <c r="C10" i="2"/>
  <c r="D10" i="2"/>
  <c r="E10" i="2"/>
  <c r="F10" i="2"/>
  <c r="B11" i="2"/>
  <c r="C11" i="2"/>
  <c r="D11" i="2"/>
  <c r="E11" i="2"/>
  <c r="F11" i="2"/>
  <c r="B12" i="2"/>
  <c r="C12" i="2"/>
  <c r="D12" i="2"/>
  <c r="E12" i="2"/>
  <c r="F12" i="2"/>
  <c r="B13" i="2"/>
  <c r="C13" i="2"/>
  <c r="D13" i="2"/>
  <c r="E13" i="2"/>
  <c r="F13" i="2"/>
  <c r="B14" i="2"/>
  <c r="C14" i="2"/>
  <c r="D14" i="2"/>
  <c r="E14" i="2"/>
  <c r="F14" i="2"/>
  <c r="B15" i="2"/>
  <c r="D15" i="2"/>
  <c r="E15" i="2"/>
  <c r="F15" i="2"/>
  <c r="B16" i="2"/>
  <c r="C16" i="2"/>
  <c r="D16" i="2"/>
  <c r="E16" i="2"/>
  <c r="F16" i="2"/>
  <c r="B17" i="2"/>
  <c r="C17" i="2"/>
  <c r="D17" i="2"/>
  <c r="E17" i="2"/>
  <c r="F17" i="2"/>
  <c r="B18" i="2"/>
  <c r="C18" i="2"/>
  <c r="D18" i="2"/>
  <c r="E18" i="2"/>
  <c r="F18" i="2"/>
  <c r="B19" i="2"/>
  <c r="C19" i="2"/>
  <c r="D19" i="2"/>
  <c r="E19" i="2"/>
  <c r="F19" i="2"/>
  <c r="D20" i="2"/>
  <c r="E20" i="2"/>
  <c r="F20" i="2"/>
  <c r="B21" i="2"/>
  <c r="C21" i="2"/>
  <c r="D21" i="2"/>
  <c r="E21" i="2"/>
  <c r="F21" i="2"/>
  <c r="B22" i="2"/>
  <c r="C22" i="2"/>
  <c r="D22" i="2"/>
  <c r="E22" i="2"/>
  <c r="F22" i="2"/>
  <c r="D23" i="2"/>
  <c r="E23" i="2"/>
  <c r="F23" i="2"/>
  <c r="B24" i="2"/>
  <c r="C24" i="2"/>
  <c r="D24" i="2"/>
  <c r="E24" i="2"/>
  <c r="F24" i="2"/>
  <c r="B25" i="2"/>
  <c r="C25" i="2"/>
  <c r="B26" i="2"/>
  <c r="C26" i="2"/>
  <c r="D26" i="2"/>
  <c r="F26" i="2"/>
  <c r="B27" i="2"/>
  <c r="C27" i="2"/>
  <c r="D27" i="2"/>
  <c r="E27" i="2"/>
  <c r="F27" i="2"/>
  <c r="B28" i="2"/>
  <c r="D28" i="2"/>
  <c r="E28" i="2"/>
  <c r="F28" i="2"/>
  <c r="B29" i="2"/>
  <c r="C29" i="2"/>
  <c r="D29" i="2"/>
  <c r="E29" i="2"/>
  <c r="F29" i="2"/>
  <c r="B30" i="2"/>
  <c r="C30" i="2"/>
  <c r="D30" i="2"/>
  <c r="E30" i="2"/>
  <c r="F30" i="2"/>
  <c r="B31" i="2"/>
  <c r="C31" i="2"/>
  <c r="D31" i="2"/>
  <c r="E31" i="2"/>
  <c r="F31" i="2"/>
  <c r="B32" i="2"/>
  <c r="D32" i="2"/>
  <c r="E32" i="2"/>
  <c r="F32" i="2"/>
  <c r="B33" i="2"/>
  <c r="C33" i="2"/>
  <c r="D33" i="2"/>
  <c r="B34" i="2"/>
  <c r="C34" i="2"/>
  <c r="D34" i="2"/>
  <c r="B35" i="2"/>
  <c r="C35" i="2"/>
  <c r="D35" i="2"/>
  <c r="D36" i="2"/>
  <c r="B37" i="2"/>
  <c r="C37" i="2"/>
  <c r="D37" i="2"/>
  <c r="B38" i="2"/>
  <c r="C38" i="2"/>
  <c r="D38" i="2"/>
  <c r="B39" i="2"/>
  <c r="C39" i="2"/>
  <c r="D39" i="2"/>
  <c r="B40" i="2"/>
  <c r="C40" i="2"/>
  <c r="D40" i="2"/>
  <c r="K39" i="1" l="1"/>
  <c r="M40" i="1"/>
  <c r="J46" i="1"/>
  <c r="J47" i="1" s="1"/>
  <c r="J48" i="1" s="1"/>
  <c r="J49" i="1" s="1"/>
  <c r="M38" i="1"/>
  <c r="O38" i="2"/>
  <c r="P39" i="2"/>
  <c r="P31" i="2"/>
  <c r="L28" i="2"/>
  <c r="K36" i="2"/>
  <c r="N39" i="2"/>
  <c r="O35" i="2"/>
  <c r="L32" i="2"/>
  <c r="K20" i="2"/>
  <c r="M25" i="2"/>
  <c r="L15" i="2"/>
  <c r="P34" i="2"/>
  <c r="N26" i="2"/>
  <c r="P33" i="2"/>
  <c r="O33" i="2"/>
  <c r="O25" i="2"/>
  <c r="K20" i="7"/>
  <c r="K23" i="7"/>
  <c r="L28" i="7"/>
  <c r="L32" i="7"/>
  <c r="L15" i="7"/>
  <c r="O35" i="7"/>
  <c r="O33" i="7"/>
  <c r="F53" i="10" l="1"/>
  <c r="F52" i="10"/>
  <c r="G49" i="1" s="1"/>
  <c r="F51" i="10"/>
  <c r="G48" i="1" s="1"/>
  <c r="F50" i="10"/>
  <c r="G47" i="1" s="1"/>
  <c r="F49" i="10"/>
  <c r="G46" i="1" s="1"/>
  <c r="G50" i="1"/>
  <c r="C47" i="1"/>
  <c r="C48" i="1"/>
  <c r="C49" i="1"/>
  <c r="C50" i="1"/>
  <c r="C46" i="1"/>
  <c r="D42" i="1"/>
  <c r="C39" i="1"/>
  <c r="C40" i="1"/>
  <c r="C41" i="1"/>
  <c r="C42" i="1"/>
  <c r="C38" i="1"/>
  <c r="D32" i="1"/>
  <c r="E30" i="1"/>
  <c r="C34" i="1"/>
  <c r="C33" i="1"/>
  <c r="C32" i="1"/>
  <c r="C31" i="1"/>
  <c r="C30" i="1"/>
  <c r="C22" i="1"/>
  <c r="H7" i="1"/>
  <c r="H6" i="1"/>
  <c r="H5" i="1"/>
  <c r="H4" i="1"/>
  <c r="H3" i="1"/>
  <c r="I8" i="1"/>
  <c r="J8" i="1" s="1"/>
  <c r="I7" i="1"/>
  <c r="J7" i="1" s="1"/>
  <c r="I6" i="1"/>
  <c r="J6" i="1" s="1"/>
  <c r="I5" i="1"/>
  <c r="J5" i="1" s="1"/>
  <c r="I4" i="1"/>
  <c r="J4" i="1" s="1"/>
  <c r="I3" i="1"/>
  <c r="J3" i="1" s="1"/>
  <c r="K7" i="1"/>
  <c r="K6" i="1"/>
  <c r="K5" i="1"/>
  <c r="K4" i="1"/>
  <c r="K3" i="1"/>
  <c r="D53" i="10"/>
  <c r="E50" i="1" s="1"/>
  <c r="D52" i="10"/>
  <c r="E49" i="1" s="1"/>
  <c r="D51" i="10"/>
  <c r="E48" i="1" s="1"/>
  <c r="D50" i="10"/>
  <c r="E47" i="1" s="1"/>
  <c r="D49" i="10"/>
  <c r="E46" i="1" s="1"/>
  <c r="C53" i="10"/>
  <c r="D50" i="1" s="1"/>
  <c r="C52" i="10"/>
  <c r="D49" i="1" s="1"/>
  <c r="C51" i="10"/>
  <c r="D48" i="1" s="1"/>
  <c r="C50" i="10"/>
  <c r="D47" i="1" s="1"/>
  <c r="C49" i="10"/>
  <c r="D46" i="1" s="1"/>
  <c r="B49" i="10"/>
  <c r="B46" i="1" s="1"/>
  <c r="B53" i="10"/>
  <c r="B50" i="1" s="1"/>
  <c r="B52" i="10"/>
  <c r="B49" i="1" s="1"/>
  <c r="B51" i="10"/>
  <c r="B48" i="1" s="1"/>
  <c r="B50" i="10"/>
  <c r="B47" i="1" s="1"/>
  <c r="F42" i="10"/>
  <c r="G42" i="1" s="1"/>
  <c r="F41" i="10"/>
  <c r="G41" i="1" s="1"/>
  <c r="F40" i="10"/>
  <c r="G40" i="1" s="1"/>
  <c r="F39" i="10"/>
  <c r="G39" i="1" s="1"/>
  <c r="F38" i="10"/>
  <c r="G38" i="1" s="1"/>
  <c r="J35" i="1"/>
  <c r="J34" i="1"/>
  <c r="J33" i="1"/>
  <c r="J32" i="1"/>
  <c r="M35" i="1"/>
  <c r="L35" i="1"/>
  <c r="K35" i="1"/>
  <c r="M34" i="1"/>
  <c r="L34" i="1"/>
  <c r="K34" i="1"/>
  <c r="M33" i="1"/>
  <c r="L33" i="1"/>
  <c r="K33" i="1"/>
  <c r="M32" i="1"/>
  <c r="L32" i="1"/>
  <c r="K32" i="1"/>
  <c r="M31" i="1"/>
  <c r="L31" i="1"/>
  <c r="K31" i="1"/>
  <c r="J31" i="1"/>
  <c r="D42" i="10"/>
  <c r="E42" i="1" s="1"/>
  <c r="D41" i="10"/>
  <c r="E41" i="1" s="1"/>
  <c r="D40" i="10"/>
  <c r="E40" i="1" s="1"/>
  <c r="D39" i="10"/>
  <c r="E39" i="1" s="1"/>
  <c r="D38" i="10"/>
  <c r="E38" i="1" s="1"/>
  <c r="C42" i="10"/>
  <c r="C41" i="10"/>
  <c r="D41" i="1" s="1"/>
  <c r="C40" i="10"/>
  <c r="D40" i="1" s="1"/>
  <c r="C39" i="10"/>
  <c r="D39" i="1" s="1"/>
  <c r="C38" i="10"/>
  <c r="D38" i="1" s="1"/>
  <c r="B42" i="10"/>
  <c r="B42" i="1" s="1"/>
  <c r="B40" i="10"/>
  <c r="B40" i="1" s="1"/>
  <c r="B41" i="10"/>
  <c r="B41" i="1" s="1"/>
  <c r="B39" i="10"/>
  <c r="B39" i="1" s="1"/>
  <c r="B38" i="10"/>
  <c r="B38" i="1" s="1"/>
  <c r="F29" i="10"/>
  <c r="G32" i="1" s="1"/>
  <c r="F28" i="10"/>
  <c r="G31" i="1" s="1"/>
  <c r="F27" i="10"/>
  <c r="G30" i="1" s="1"/>
  <c r="B28" i="10"/>
  <c r="B31" i="1" s="1"/>
  <c r="B2" i="11"/>
  <c r="D2" i="11" s="1"/>
  <c r="B38" i="17"/>
  <c r="I21" i="1" s="1"/>
  <c r="C26" i="1"/>
  <c r="C25" i="1"/>
  <c r="C24" i="1"/>
  <c r="C23" i="1"/>
  <c r="G26" i="1"/>
  <c r="G24" i="1"/>
  <c r="G23" i="1"/>
  <c r="G22" i="1"/>
  <c r="E16" i="10"/>
  <c r="F22" i="1" s="1"/>
  <c r="D31" i="10"/>
  <c r="E34" i="1" s="1"/>
  <c r="D30" i="10"/>
  <c r="E33" i="1" s="1"/>
  <c r="D29" i="10"/>
  <c r="E32" i="1" s="1"/>
  <c r="D28" i="10"/>
  <c r="E31" i="1" s="1"/>
  <c r="D27" i="10"/>
  <c r="C31" i="10"/>
  <c r="D34" i="1" s="1"/>
  <c r="C30" i="10"/>
  <c r="D33" i="1" s="1"/>
  <c r="C29" i="10"/>
  <c r="C28" i="10"/>
  <c r="D31" i="1" s="1"/>
  <c r="C27" i="10"/>
  <c r="D30" i="1" s="1"/>
  <c r="B31" i="10"/>
  <c r="B34" i="1" s="1"/>
  <c r="B30" i="10"/>
  <c r="B33" i="1" s="1"/>
  <c r="B29" i="10"/>
  <c r="B32" i="1" s="1"/>
  <c r="B27" i="10"/>
  <c r="B30" i="1" s="1"/>
  <c r="B16" i="10"/>
  <c r="B22" i="1" s="1"/>
  <c r="E20" i="10"/>
  <c r="F26" i="1" s="1"/>
  <c r="E18" i="10"/>
  <c r="F24" i="1" s="1"/>
  <c r="E17" i="10"/>
  <c r="F23" i="1" s="1"/>
  <c r="D20" i="10"/>
  <c r="E26" i="1" s="1"/>
  <c r="D19" i="10"/>
  <c r="E25" i="1" s="1"/>
  <c r="D18" i="10"/>
  <c r="E24" i="1" s="1"/>
  <c r="D17" i="10"/>
  <c r="E23" i="1" s="1"/>
  <c r="D16" i="10"/>
  <c r="E22" i="1" s="1"/>
  <c r="C20" i="10"/>
  <c r="D26" i="1" s="1"/>
  <c r="C19" i="10"/>
  <c r="D25" i="1" s="1"/>
  <c r="C18" i="10"/>
  <c r="D24" i="1" s="1"/>
  <c r="C17" i="10"/>
  <c r="D23" i="1" s="1"/>
  <c r="C16" i="10"/>
  <c r="D22" i="1" s="1"/>
  <c r="B20" i="10"/>
  <c r="B26" i="1" s="1"/>
  <c r="B19" i="10"/>
  <c r="B25" i="1" s="1"/>
  <c r="B18" i="10"/>
  <c r="B24" i="1" s="1"/>
  <c r="B17" i="10"/>
  <c r="B23" i="1" s="1"/>
  <c r="L18" i="1"/>
  <c r="L17" i="1"/>
  <c r="L16" i="1"/>
  <c r="L15" i="1"/>
  <c r="L14" i="1"/>
  <c r="L13" i="1"/>
  <c r="I13" i="1"/>
  <c r="G25" i="1"/>
  <c r="I18" i="1"/>
  <c r="I17" i="1"/>
  <c r="I16" i="1"/>
  <c r="I15" i="1"/>
  <c r="I14" i="1"/>
  <c r="P27" i="7" l="1"/>
  <c r="P30" i="7"/>
  <c r="P22" i="7"/>
  <c r="P29" i="7"/>
  <c r="P22" i="2"/>
  <c r="P18" i="2"/>
  <c r="P17" i="2"/>
  <c r="P27" i="2"/>
  <c r="P29" i="2"/>
  <c r="E19" i="10"/>
  <c r="F25" i="1" s="1"/>
  <c r="A13" i="1" a="1"/>
  <c r="A13" i="1" s="1"/>
  <c r="K21" i="1"/>
  <c r="A17" i="1" a="1"/>
  <c r="A17" i="1" s="1"/>
  <c r="A15" i="1" a="1"/>
  <c r="A15" i="1" s="1"/>
  <c r="J7" i="10"/>
  <c r="H7" i="10"/>
  <c r="G7" i="10"/>
  <c r="F7" i="10"/>
  <c r="J6" i="10"/>
  <c r="K6" i="10" s="1"/>
  <c r="H6" i="10"/>
  <c r="F17" i="1" s="1"/>
  <c r="G6" i="10"/>
  <c r="E17" i="1" s="1"/>
  <c r="F6" i="10"/>
  <c r="D17" i="1" s="1"/>
  <c r="J5" i="10"/>
  <c r="C6" i="1" s="1"/>
  <c r="H5" i="10"/>
  <c r="F16" i="1" s="1"/>
  <c r="G5" i="10"/>
  <c r="E16" i="1" s="1"/>
  <c r="F5" i="10"/>
  <c r="D16" i="1" s="1"/>
  <c r="J4" i="10"/>
  <c r="C5" i="1" s="1"/>
  <c r="H4" i="10"/>
  <c r="F15" i="1" s="1"/>
  <c r="G4" i="10"/>
  <c r="E15" i="1" s="1"/>
  <c r="F4" i="10"/>
  <c r="D15" i="1" s="1"/>
  <c r="J3" i="10"/>
  <c r="C4" i="1" s="1"/>
  <c r="H3" i="10"/>
  <c r="F14" i="1" s="1"/>
  <c r="G3" i="10"/>
  <c r="E14" i="1" s="1"/>
  <c r="F3" i="10"/>
  <c r="D14" i="1" s="1"/>
  <c r="J2" i="10"/>
  <c r="C3" i="1" s="1"/>
  <c r="H2" i="10"/>
  <c r="F13" i="1" s="1"/>
  <c r="G2" i="10"/>
  <c r="E13" i="1" s="1"/>
  <c r="F2" i="10"/>
  <c r="D13" i="1" s="1"/>
  <c r="B40" i="7"/>
  <c r="B39" i="7"/>
  <c r="B38" i="7"/>
  <c r="B37" i="7"/>
  <c r="B35" i="7"/>
  <c r="B34" i="7"/>
  <c r="B33" i="7"/>
  <c r="B32" i="7"/>
  <c r="B31" i="7"/>
  <c r="B30" i="7"/>
  <c r="B29" i="7"/>
  <c r="B27" i="7"/>
  <c r="B26" i="7"/>
  <c r="B25" i="7"/>
  <c r="B24" i="7"/>
  <c r="B22" i="7"/>
  <c r="B21" i="7"/>
  <c r="B19" i="7"/>
  <c r="B18" i="7"/>
  <c r="B17" i="7"/>
  <c r="B16" i="7"/>
  <c r="B15" i="7"/>
  <c r="B14" i="7"/>
  <c r="B13" i="7"/>
  <c r="B12" i="7"/>
  <c r="B11" i="7"/>
  <c r="B10" i="7"/>
  <c r="B9" i="7"/>
  <c r="B8" i="7"/>
  <c r="B6" i="7"/>
  <c r="H5" i="7"/>
  <c r="I5" i="7"/>
  <c r="B5" i="7"/>
  <c r="E53" i="10" l="1"/>
  <c r="F50" i="1" s="1"/>
  <c r="E49" i="10"/>
  <c r="F46" i="1" s="1"/>
  <c r="E52" i="10"/>
  <c r="F49" i="1" s="1"/>
  <c r="E51" i="10"/>
  <c r="F48" i="1" s="1"/>
  <c r="E50" i="10"/>
  <c r="F47" i="1" s="1"/>
  <c r="E38" i="10"/>
  <c r="F38" i="1" s="1"/>
  <c r="E42" i="10"/>
  <c r="F42" i="1" s="1"/>
  <c r="E41" i="10"/>
  <c r="F41" i="1" s="1"/>
  <c r="E40" i="10"/>
  <c r="F40" i="1" s="1"/>
  <c r="E39" i="10"/>
  <c r="F39" i="1" s="1"/>
  <c r="C7" i="10"/>
  <c r="F30" i="10"/>
  <c r="G33" i="1" s="1"/>
  <c r="F31" i="10"/>
  <c r="G34" i="1" s="1"/>
  <c r="L28" i="1"/>
  <c r="M28" i="1"/>
  <c r="K28" i="1"/>
  <c r="J28" i="1"/>
  <c r="J27" i="1"/>
  <c r="L27" i="1"/>
  <c r="M27" i="1"/>
  <c r="K27" i="1"/>
  <c r="J26" i="1"/>
  <c r="L26" i="1"/>
  <c r="K26" i="1"/>
  <c r="M26" i="1"/>
  <c r="L25" i="1"/>
  <c r="K25" i="1"/>
  <c r="J25" i="1"/>
  <c r="M25" i="1"/>
  <c r="M24" i="1"/>
  <c r="K24" i="1"/>
  <c r="L24" i="1"/>
  <c r="J24" i="1"/>
  <c r="B7" i="10"/>
  <c r="E31" i="10"/>
  <c r="F34" i="1" s="1"/>
  <c r="E30" i="10"/>
  <c r="F33" i="1" s="1"/>
  <c r="E29" i="10"/>
  <c r="F32" i="1" s="1"/>
  <c r="E28" i="10"/>
  <c r="F31" i="1" s="1"/>
  <c r="E27" i="10"/>
  <c r="F30" i="1" s="1"/>
  <c r="K7" i="10"/>
  <c r="C6" i="10"/>
  <c r="C2" i="10"/>
  <c r="B3" i="10"/>
  <c r="K3" i="10"/>
  <c r="C5" i="10"/>
  <c r="C4" i="10"/>
  <c r="C3" i="10"/>
  <c r="B4" i="10"/>
  <c r="B6" i="10"/>
  <c r="B5" i="10"/>
  <c r="B2" i="10"/>
  <c r="C7" i="1"/>
  <c r="K5" i="10"/>
  <c r="K4" i="10"/>
  <c r="K2" i="10"/>
  <c r="O6" i="2"/>
  <c r="O10" i="2"/>
  <c r="O14" i="2"/>
  <c r="O18" i="2"/>
  <c r="O22" i="2"/>
  <c r="O27" i="2"/>
  <c r="O31" i="2"/>
  <c r="O37" i="2"/>
  <c r="M8" i="2"/>
  <c r="M12" i="2"/>
  <c r="M16" i="2"/>
  <c r="M20" i="2"/>
  <c r="M24" i="2"/>
  <c r="M29" i="2"/>
  <c r="M33" i="2"/>
  <c r="M37" i="2"/>
  <c r="L7" i="2"/>
  <c r="L11" i="2"/>
  <c r="L16" i="2"/>
  <c r="L20" i="2"/>
  <c r="L24" i="2"/>
  <c r="L29" i="2"/>
  <c r="L34" i="2"/>
  <c r="L38" i="2"/>
  <c r="K6" i="3"/>
  <c r="K7" i="3"/>
  <c r="K8" i="3"/>
  <c r="K9" i="3"/>
  <c r="K10" i="3"/>
  <c r="K14" i="3"/>
  <c r="K15" i="3"/>
  <c r="K16" i="3"/>
  <c r="K17" i="3"/>
  <c r="K18" i="3"/>
  <c r="K19" i="3"/>
  <c r="K20" i="3"/>
  <c r="K21" i="3"/>
  <c r="K22" i="3"/>
  <c r="K23" i="3"/>
  <c r="K11" i="2" s="1"/>
  <c r="K24" i="3"/>
  <c r="K25" i="3"/>
  <c r="K26" i="3"/>
  <c r="K27" i="3"/>
  <c r="K28" i="3"/>
  <c r="K29" i="3"/>
  <c r="K30" i="3"/>
  <c r="K31" i="3"/>
  <c r="K32" i="3"/>
  <c r="K33" i="3"/>
  <c r="K34" i="3"/>
  <c r="K35" i="3"/>
  <c r="K15" i="2" s="1"/>
  <c r="K36" i="3"/>
  <c r="K37" i="3"/>
  <c r="K38" i="3"/>
  <c r="K39" i="3"/>
  <c r="K40" i="3"/>
  <c r="K41" i="3"/>
  <c r="K42" i="3"/>
  <c r="K43" i="3"/>
  <c r="K44" i="3"/>
  <c r="K45" i="3"/>
  <c r="K46" i="3"/>
  <c r="K47" i="3"/>
  <c r="K19" i="2" s="1"/>
  <c r="K48" i="3"/>
  <c r="K49" i="3"/>
  <c r="K53" i="3"/>
  <c r="K54" i="3"/>
  <c r="K55" i="3"/>
  <c r="K56" i="3"/>
  <c r="K57" i="3"/>
  <c r="K58" i="3"/>
  <c r="K62" i="3"/>
  <c r="K63" i="3"/>
  <c r="K64" i="3"/>
  <c r="K65" i="3"/>
  <c r="K25" i="2" s="1"/>
  <c r="K66" i="3"/>
  <c r="K67" i="3"/>
  <c r="K68" i="3"/>
  <c r="K69" i="3"/>
  <c r="K70" i="3"/>
  <c r="K71" i="3"/>
  <c r="K72" i="3"/>
  <c r="K73" i="3"/>
  <c r="K74" i="3"/>
  <c r="K75" i="3"/>
  <c r="K76" i="3"/>
  <c r="K77" i="3"/>
  <c r="K29" i="2" s="1"/>
  <c r="K78" i="3"/>
  <c r="K79" i="3"/>
  <c r="K80" i="3"/>
  <c r="K81" i="3"/>
  <c r="K82" i="3"/>
  <c r="K83" i="3"/>
  <c r="K84" i="3"/>
  <c r="K85" i="3"/>
  <c r="K86" i="3"/>
  <c r="K87" i="3"/>
  <c r="K88" i="3"/>
  <c r="K89" i="3"/>
  <c r="K33" i="2" s="1"/>
  <c r="K90" i="3"/>
  <c r="K91" i="3"/>
  <c r="K92" i="3"/>
  <c r="K93" i="3"/>
  <c r="K94" i="3"/>
  <c r="K95" i="3"/>
  <c r="K96" i="3"/>
  <c r="K97" i="3"/>
  <c r="K101" i="3"/>
  <c r="K102" i="3"/>
  <c r="K103" i="3"/>
  <c r="K104" i="3"/>
  <c r="K38" i="2" s="1"/>
  <c r="K105" i="3"/>
  <c r="K106" i="3"/>
  <c r="K107" i="3"/>
  <c r="K108" i="3"/>
  <c r="K109" i="3"/>
  <c r="K110" i="3"/>
  <c r="K111" i="3"/>
  <c r="K112" i="3"/>
  <c r="N5" i="2"/>
  <c r="K5" i="3"/>
  <c r="O36" i="7"/>
  <c r="N6" i="7"/>
  <c r="N10" i="7"/>
  <c r="N14" i="7"/>
  <c r="N18" i="7"/>
  <c r="N22" i="7"/>
  <c r="N28" i="7"/>
  <c r="N32" i="7"/>
  <c r="N36" i="7"/>
  <c r="M6" i="7"/>
  <c r="M10" i="7"/>
  <c r="M14" i="7"/>
  <c r="M18" i="7"/>
  <c r="M22" i="7"/>
  <c r="M27" i="7"/>
  <c r="M31" i="7"/>
  <c r="M35" i="7"/>
  <c r="M39" i="7"/>
  <c r="M40" i="7"/>
  <c r="L8" i="7"/>
  <c r="L9" i="7"/>
  <c r="L12" i="7"/>
  <c r="L13" i="7"/>
  <c r="L17" i="7"/>
  <c r="L18" i="7"/>
  <c r="L21" i="7"/>
  <c r="L22" i="7"/>
  <c r="L25" i="7"/>
  <c r="L26" i="7"/>
  <c r="L30" i="7"/>
  <c r="L31" i="7"/>
  <c r="L35" i="7"/>
  <c r="L36" i="7"/>
  <c r="L39" i="7"/>
  <c r="L40" i="7"/>
  <c r="K8" i="8"/>
  <c r="K9" i="8"/>
  <c r="K10"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3" i="8"/>
  <c r="K54" i="8"/>
  <c r="K55" i="8"/>
  <c r="K56" i="8"/>
  <c r="K57" i="8"/>
  <c r="K58"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101" i="8"/>
  <c r="K102" i="8"/>
  <c r="K103" i="8"/>
  <c r="K104" i="8"/>
  <c r="K105" i="8"/>
  <c r="K106" i="8"/>
  <c r="K107" i="8"/>
  <c r="K108" i="8"/>
  <c r="K109" i="8"/>
  <c r="K110" i="8"/>
  <c r="K111" i="8"/>
  <c r="K112" i="8"/>
  <c r="K6" i="8"/>
  <c r="K7" i="8"/>
  <c r="K5" i="8"/>
  <c r="N24" i="7" l="1"/>
  <c r="M19" i="7"/>
  <c r="M11" i="7"/>
  <c r="M7" i="7"/>
  <c r="N33" i="7"/>
  <c r="N29" i="7"/>
  <c r="N23" i="7"/>
  <c r="N19" i="7"/>
  <c r="N15" i="7"/>
  <c r="N11" i="7"/>
  <c r="N7" i="7"/>
  <c r="O37" i="7"/>
  <c r="O31" i="7"/>
  <c r="O27" i="7"/>
  <c r="O22" i="7"/>
  <c r="O18" i="7"/>
  <c r="O14" i="7"/>
  <c r="O10" i="7"/>
  <c r="P25" i="7"/>
  <c r="P12" i="7"/>
  <c r="M36" i="7"/>
  <c r="M32" i="7"/>
  <c r="M28" i="7"/>
  <c r="M23" i="7"/>
  <c r="M15" i="7"/>
  <c r="N37" i="7"/>
  <c r="O30" i="7"/>
  <c r="O26" i="7"/>
  <c r="O21" i="7"/>
  <c r="O17" i="7"/>
  <c r="O13" i="7"/>
  <c r="O9" i="7"/>
  <c r="P40" i="7"/>
  <c r="P32" i="7"/>
  <c r="P24" i="7"/>
  <c r="P19" i="7"/>
  <c r="P15" i="7"/>
  <c r="P11" i="7"/>
  <c r="P7" i="7"/>
  <c r="N16" i="7"/>
  <c r="N12" i="7"/>
  <c r="N8" i="7"/>
  <c r="O39" i="7"/>
  <c r="O32" i="7"/>
  <c r="O28" i="7"/>
  <c r="O23" i="7"/>
  <c r="O19" i="7"/>
  <c r="O11" i="7"/>
  <c r="P36" i="7"/>
  <c r="P26" i="7"/>
  <c r="P21" i="7"/>
  <c r="P17" i="7"/>
  <c r="P13" i="7"/>
  <c r="P9" i="7"/>
  <c r="L24" i="7"/>
  <c r="L16" i="7"/>
  <c r="L11" i="7"/>
  <c r="M34" i="7"/>
  <c r="M30" i="7"/>
  <c r="M26" i="7"/>
  <c r="M9" i="7"/>
  <c r="N31" i="7"/>
  <c r="N17" i="7"/>
  <c r="N13" i="7"/>
  <c r="O29" i="7"/>
  <c r="O24" i="7"/>
  <c r="O12" i="7"/>
  <c r="P28" i="7"/>
  <c r="N5" i="7"/>
  <c r="K18" i="7"/>
  <c r="L37" i="7"/>
  <c r="L33" i="7"/>
  <c r="L27" i="7"/>
  <c r="L23" i="7"/>
  <c r="L19" i="7"/>
  <c r="L14" i="7"/>
  <c r="L10" i="7"/>
  <c r="L6" i="7"/>
  <c r="M37" i="7"/>
  <c r="M33" i="7"/>
  <c r="M29" i="7"/>
  <c r="M24" i="7"/>
  <c r="M20" i="7"/>
  <c r="M16" i="7"/>
  <c r="M12" i="7"/>
  <c r="M8" i="7"/>
  <c r="N38" i="7"/>
  <c r="N34" i="7"/>
  <c r="N30" i="7"/>
  <c r="N20" i="7"/>
  <c r="O15" i="7"/>
  <c r="M5" i="7"/>
  <c r="L5" i="7"/>
  <c r="O6" i="7"/>
  <c r="P35" i="7"/>
  <c r="P20" i="7"/>
  <c r="P16" i="7"/>
  <c r="P8" i="7"/>
  <c r="L34" i="7"/>
  <c r="L7" i="7"/>
  <c r="L38" i="7"/>
  <c r="L29" i="7"/>
  <c r="L20" i="7"/>
  <c r="M38" i="7"/>
  <c r="M21" i="7"/>
  <c r="M17" i="7"/>
  <c r="M13" i="7"/>
  <c r="N40" i="7"/>
  <c r="N35" i="7"/>
  <c r="N27" i="7"/>
  <c r="N21" i="7"/>
  <c r="N9" i="7"/>
  <c r="O40" i="7"/>
  <c r="O34" i="7"/>
  <c r="O20" i="7"/>
  <c r="O16" i="7"/>
  <c r="O8" i="7"/>
  <c r="P38" i="7"/>
  <c r="P23" i="7"/>
  <c r="P18" i="7"/>
  <c r="P14" i="7"/>
  <c r="P10" i="7"/>
  <c r="O5" i="7"/>
  <c r="L5" i="2"/>
  <c r="P40" i="2"/>
  <c r="N37" i="2"/>
  <c r="N23" i="2"/>
  <c r="N15" i="2"/>
  <c r="P26" i="2"/>
  <c r="P21" i="2"/>
  <c r="P11" i="2"/>
  <c r="P7" i="2"/>
  <c r="N33" i="2"/>
  <c r="N29" i="2"/>
  <c r="N19" i="2"/>
  <c r="P36" i="2"/>
  <c r="P15" i="2"/>
  <c r="L37" i="2"/>
  <c r="L33" i="2"/>
  <c r="L27" i="2"/>
  <c r="L23" i="2"/>
  <c r="L19" i="2"/>
  <c r="L14" i="2"/>
  <c r="L10" i="2"/>
  <c r="L6" i="2"/>
  <c r="O36" i="2"/>
  <c r="O30" i="2"/>
  <c r="O26" i="2"/>
  <c r="O21" i="2"/>
  <c r="O17" i="2"/>
  <c r="O13" i="2"/>
  <c r="O9" i="2"/>
  <c r="K37" i="2"/>
  <c r="K14" i="2"/>
  <c r="N36" i="2"/>
  <c r="N28" i="2"/>
  <c r="N18" i="2"/>
  <c r="N14" i="2"/>
  <c r="N10" i="2"/>
  <c r="N6" i="2"/>
  <c r="P35" i="2"/>
  <c r="P25" i="2"/>
  <c r="P20" i="2"/>
  <c r="P14" i="2"/>
  <c r="P10" i="2"/>
  <c r="M38" i="2"/>
  <c r="M34" i="2"/>
  <c r="M30" i="2"/>
  <c r="M26" i="2"/>
  <c r="M21" i="2"/>
  <c r="M17" i="2"/>
  <c r="M13" i="2"/>
  <c r="M9" i="2"/>
  <c r="K40" i="2"/>
  <c r="K35" i="2"/>
  <c r="K31" i="2"/>
  <c r="K27" i="2"/>
  <c r="K22" i="2"/>
  <c r="K17" i="2"/>
  <c r="K13" i="2"/>
  <c r="K9" i="2"/>
  <c r="N40" i="2"/>
  <c r="N35" i="2"/>
  <c r="N31" i="2"/>
  <c r="N27" i="2"/>
  <c r="N21" i="2"/>
  <c r="N17" i="2"/>
  <c r="N13" i="2"/>
  <c r="N9" i="2"/>
  <c r="P32" i="2"/>
  <c r="P24" i="2"/>
  <c r="P19" i="2"/>
  <c r="P13" i="2"/>
  <c r="P9" i="2"/>
  <c r="K24" i="2"/>
  <c r="N32" i="2"/>
  <c r="L22" i="2"/>
  <c r="L9" i="2"/>
  <c r="O40" i="2"/>
  <c r="O34" i="2"/>
  <c r="O29" i="2"/>
  <c r="O24" i="2"/>
  <c r="O20" i="2"/>
  <c r="O16" i="2"/>
  <c r="O12" i="2"/>
  <c r="O8" i="2"/>
  <c r="K28" i="2"/>
  <c r="K10" i="2"/>
  <c r="K6" i="2"/>
  <c r="N22" i="2"/>
  <c r="L31" i="2"/>
  <c r="L13" i="2"/>
  <c r="K34" i="2"/>
  <c r="K21" i="2"/>
  <c r="K8" i="2"/>
  <c r="N38" i="2"/>
  <c r="N16" i="2"/>
  <c r="K32" i="2"/>
  <c r="L40" i="2"/>
  <c r="L26" i="2"/>
  <c r="K39" i="2"/>
  <c r="K26" i="2"/>
  <c r="K16" i="2"/>
  <c r="N30" i="2"/>
  <c r="N24" i="2"/>
  <c r="N8" i="2"/>
  <c r="P38" i="2"/>
  <c r="P28" i="2"/>
  <c r="P16" i="2"/>
  <c r="P8" i="2"/>
  <c r="K5" i="2"/>
  <c r="M40" i="2"/>
  <c r="M36" i="2"/>
  <c r="M32" i="2"/>
  <c r="M28" i="2"/>
  <c r="M23" i="2"/>
  <c r="M19" i="2"/>
  <c r="M15" i="2"/>
  <c r="M11" i="2"/>
  <c r="M7" i="2"/>
  <c r="K18" i="2"/>
  <c r="L36" i="2"/>
  <c r="L18" i="2"/>
  <c r="K30" i="2"/>
  <c r="K12" i="2"/>
  <c r="N34" i="2"/>
  <c r="N20" i="2"/>
  <c r="N12" i="2"/>
  <c r="P23" i="2"/>
  <c r="P12" i="2"/>
  <c r="O5" i="2"/>
  <c r="L39" i="2"/>
  <c r="L35" i="2"/>
  <c r="L30" i="2"/>
  <c r="L25" i="2"/>
  <c r="L21" i="2"/>
  <c r="L17" i="2"/>
  <c r="L12" i="2"/>
  <c r="L8" i="2"/>
  <c r="O39" i="2"/>
  <c r="O32" i="2"/>
  <c r="O28" i="2"/>
  <c r="O23" i="2"/>
  <c r="O19" i="2"/>
  <c r="O15" i="2"/>
  <c r="O11" i="2"/>
  <c r="N11" i="2"/>
  <c r="N7" i="2"/>
  <c r="M5" i="2"/>
  <c r="M39" i="2"/>
  <c r="M35" i="2"/>
  <c r="M31" i="2"/>
  <c r="M27" i="2"/>
  <c r="M22" i="2"/>
  <c r="M18" i="2"/>
  <c r="M14" i="2"/>
  <c r="M10" i="2"/>
  <c r="M6" i="2"/>
  <c r="G7" i="1"/>
  <c r="K39" i="7"/>
  <c r="K38" i="7"/>
  <c r="G3" i="1"/>
  <c r="D7" i="1"/>
  <c r="G6" i="1"/>
  <c r="D6" i="1"/>
  <c r="D5" i="1"/>
  <c r="G5" i="1"/>
  <c r="D4" i="1"/>
  <c r="G4" i="1"/>
  <c r="D3" i="1"/>
  <c r="K35" i="7"/>
  <c r="K34" i="7"/>
  <c r="K31" i="7"/>
  <c r="K30" i="7"/>
  <c r="K27" i="7"/>
  <c r="K26" i="7"/>
  <c r="K22" i="7"/>
  <c r="K19" i="7"/>
  <c r="K15" i="7"/>
  <c r="K14" i="7"/>
  <c r="K11" i="7"/>
  <c r="K10" i="7"/>
  <c r="K29" i="7"/>
  <c r="K17" i="7"/>
  <c r="K40" i="7"/>
  <c r="K28" i="7"/>
  <c r="K12" i="7"/>
  <c r="K33" i="7"/>
  <c r="K16" i="7"/>
  <c r="K25" i="7"/>
  <c r="K21" i="7"/>
  <c r="K32" i="7"/>
  <c r="K24" i="7"/>
  <c r="K37" i="7"/>
  <c r="K13" i="7"/>
  <c r="K5" i="7"/>
  <c r="K9" i="7"/>
  <c r="K8" i="7"/>
  <c r="K6" i="7"/>
  <c r="D7" i="10" l="1"/>
  <c r="E7" i="10"/>
  <c r="E4" i="10"/>
  <c r="E2" i="10"/>
  <c r="D5" i="10"/>
  <c r="D2" i="10"/>
  <c r="E6" i="10"/>
  <c r="E5" i="10"/>
  <c r="E3" i="10"/>
  <c r="D6" i="10"/>
  <c r="D4" i="10"/>
  <c r="D3" i="10"/>
  <c r="F5" i="1" l="1"/>
  <c r="F4" i="1"/>
  <c r="F7" i="1"/>
  <c r="F6" i="1"/>
  <c r="F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<sst xmlns="http://schemas.openxmlformats.org/spreadsheetml/2006/main" count="7449" uniqueCount="350">
  <si>
    <t>John</t>
  </si>
  <si>
    <t>Nick</t>
  </si>
  <si>
    <t>Mike</t>
  </si>
  <si>
    <t>Eric</t>
  </si>
  <si>
    <t>Greenman</t>
  </si>
  <si>
    <t>Ron</t>
  </si>
  <si>
    <t>Week 1</t>
  </si>
  <si>
    <t>Week 2</t>
  </si>
  <si>
    <t>Week 3</t>
  </si>
  <si>
    <t>Week 4</t>
  </si>
  <si>
    <t>Week 5</t>
  </si>
  <si>
    <t>Week 6</t>
  </si>
  <si>
    <t>Week 7</t>
  </si>
  <si>
    <t>Week 8</t>
  </si>
  <si>
    <t>Week 9</t>
  </si>
  <si>
    <t>Week 10</t>
  </si>
  <si>
    <t>Week 11</t>
  </si>
  <si>
    <t>Week 12</t>
  </si>
  <si>
    <t>Week 13</t>
  </si>
  <si>
    <t>Week 14</t>
  </si>
  <si>
    <t>Week 15</t>
  </si>
  <si>
    <t>Week 16</t>
  </si>
  <si>
    <t>Week 17</t>
  </si>
  <si>
    <t>Week 18</t>
  </si>
  <si>
    <t>Week 19</t>
  </si>
  <si>
    <t>Week 20</t>
  </si>
  <si>
    <t>Week 21</t>
  </si>
  <si>
    <t>Week 22</t>
  </si>
  <si>
    <t>Week 23</t>
  </si>
  <si>
    <t>Week 24</t>
  </si>
  <si>
    <t>Week 25</t>
  </si>
  <si>
    <t>Week 26</t>
  </si>
  <si>
    <t>Week 27</t>
  </si>
  <si>
    <t>Week 28</t>
  </si>
  <si>
    <t>Week 29</t>
  </si>
  <si>
    <t>Week 30</t>
  </si>
  <si>
    <t>Week 31</t>
  </si>
  <si>
    <t>Week 32</t>
  </si>
  <si>
    <t>Week 33</t>
  </si>
  <si>
    <t>Week 34</t>
  </si>
  <si>
    <t>Week 35</t>
  </si>
  <si>
    <t>Week 36</t>
  </si>
  <si>
    <t>Without Handicap</t>
  </si>
  <si>
    <t>With Handicap</t>
  </si>
  <si>
    <t>Head to Head Record</t>
  </si>
  <si>
    <t>Current Average</t>
  </si>
  <si>
    <t>Pins Diff: w/ Handicap</t>
  </si>
  <si>
    <t>Pins Diff:</t>
  </si>
  <si>
    <t>Opp. AVG</t>
  </si>
  <si>
    <t>Week 1 Game 1</t>
  </si>
  <si>
    <t>Week 1 Game 2</t>
  </si>
  <si>
    <t>Week 1 Game 3</t>
  </si>
  <si>
    <t>Week 2 Game 1</t>
  </si>
  <si>
    <t>Week 2 Game 2</t>
  </si>
  <si>
    <t>Week 2 Game 3</t>
  </si>
  <si>
    <t>Week 3 Game 1</t>
  </si>
  <si>
    <t>Week 3 Game 2</t>
  </si>
  <si>
    <t>Week 3 Game 3</t>
  </si>
  <si>
    <t>Week 4 Game 1</t>
  </si>
  <si>
    <t>Week 4 Game 2</t>
  </si>
  <si>
    <t>Week 4 Game 3</t>
  </si>
  <si>
    <t>Week 5 Game 1</t>
  </si>
  <si>
    <t>Week 5 Game 2</t>
  </si>
  <si>
    <t>Week 5 Game 3</t>
  </si>
  <si>
    <t>Week 6 Game 1</t>
  </si>
  <si>
    <t>Week 7 Game 2</t>
  </si>
  <si>
    <t>Week 6 Game 3</t>
  </si>
  <si>
    <t>Week 6 Game 2</t>
  </si>
  <si>
    <t>Week 7 Game 1</t>
  </si>
  <si>
    <t>Week 7 Game 3</t>
  </si>
  <si>
    <t>Week 8 Game 1</t>
  </si>
  <si>
    <t>Week 8 Game 2</t>
  </si>
  <si>
    <t>Week 8 Game 3</t>
  </si>
  <si>
    <t>Week 9 Game 1</t>
  </si>
  <si>
    <t>Week 9 Game 2</t>
  </si>
  <si>
    <t>Week 9 Game 3</t>
  </si>
  <si>
    <t>Week 10 Game 1</t>
  </si>
  <si>
    <t>Week 10 Game 2</t>
  </si>
  <si>
    <t>Week 10 Game 3</t>
  </si>
  <si>
    <t>Week 11 Game 1</t>
  </si>
  <si>
    <t>Week 11 Game 2</t>
  </si>
  <si>
    <t>Week 11 Game 3</t>
  </si>
  <si>
    <t>Week 12 Game 1</t>
  </si>
  <si>
    <t>Week 12 Game 2</t>
  </si>
  <si>
    <t>Week 12 Game 3</t>
  </si>
  <si>
    <t>Week 13 Game 1</t>
  </si>
  <si>
    <t>Week 13 Game 2</t>
  </si>
  <si>
    <t>Week 13 Game 3</t>
  </si>
  <si>
    <t>Week 14 Game 1</t>
  </si>
  <si>
    <t>Week 14 Game 2</t>
  </si>
  <si>
    <t>Week 14 Game 3</t>
  </si>
  <si>
    <t>Week 15 Game 1</t>
  </si>
  <si>
    <t>Week 15 Game 2</t>
  </si>
  <si>
    <t>Week 15 Game 3</t>
  </si>
  <si>
    <t>Week 16 Game 1</t>
  </si>
  <si>
    <t>Week 16 Game 2</t>
  </si>
  <si>
    <t>Week 16 Game 3</t>
  </si>
  <si>
    <t>Week 17 Game 1</t>
  </si>
  <si>
    <t>Week 17 Game 2</t>
  </si>
  <si>
    <t>Week 17 Game 3</t>
  </si>
  <si>
    <t>Week 18 Game 1</t>
  </si>
  <si>
    <t>Week 18 Game 2</t>
  </si>
  <si>
    <t>Week 18 Game 3</t>
  </si>
  <si>
    <t>Week 19 Game 1</t>
  </si>
  <si>
    <t>Week 19 Game 2</t>
  </si>
  <si>
    <t>Week 19 Game 3</t>
  </si>
  <si>
    <t>Week 20 Game 1</t>
  </si>
  <si>
    <t>Week 20 Game 2</t>
  </si>
  <si>
    <t>Week 20 Game 3</t>
  </si>
  <si>
    <t>Week 21 Game 1</t>
  </si>
  <si>
    <t>Week 21 Game 2</t>
  </si>
  <si>
    <t>Week 21 Game 3</t>
  </si>
  <si>
    <t>Week 22 Game 1</t>
  </si>
  <si>
    <t>Week 22 Game 2</t>
  </si>
  <si>
    <t>Week 22 Game 3</t>
  </si>
  <si>
    <t>Week 23 Game 1</t>
  </si>
  <si>
    <t>Week 23 Game 2</t>
  </si>
  <si>
    <t>Week 23 Game 3</t>
  </si>
  <si>
    <t>Week 24 Game 1</t>
  </si>
  <si>
    <t>Week 24 Game 2</t>
  </si>
  <si>
    <t>Week 24 Game 3</t>
  </si>
  <si>
    <t>Week 25 Game 1</t>
  </si>
  <si>
    <t>Week 25 Game 2</t>
  </si>
  <si>
    <t>Week 25 Game 3</t>
  </si>
  <si>
    <t>Week 26 Game 1</t>
  </si>
  <si>
    <t>Week 26 Game 2</t>
  </si>
  <si>
    <t>Week 26 Game 3</t>
  </si>
  <si>
    <t>Week 27 Game 1</t>
  </si>
  <si>
    <t>Week 27 Game 2</t>
  </si>
  <si>
    <t>Week 27 Game 3</t>
  </si>
  <si>
    <t>Week 28 Game 1</t>
  </si>
  <si>
    <t>Week 28 Game 2</t>
  </si>
  <si>
    <t>Week 28 Game 3</t>
  </si>
  <si>
    <t>Week 29 Game 1</t>
  </si>
  <si>
    <t>Week 29 Game 2</t>
  </si>
  <si>
    <t>Week 29 Game 3</t>
  </si>
  <si>
    <t>Week 30 Game 1</t>
  </si>
  <si>
    <t>Week 30 Game 2</t>
  </si>
  <si>
    <t>Week 30 Game 3</t>
  </si>
  <si>
    <t>Week 31 Game 1</t>
  </si>
  <si>
    <t>Week 32 Game 1</t>
  </si>
  <si>
    <t>Week 31 Game 2</t>
  </si>
  <si>
    <t>Week 31 Game 3</t>
  </si>
  <si>
    <t>Week 32 Game 2</t>
  </si>
  <si>
    <t>Week 32 Game 3</t>
  </si>
  <si>
    <t>Week 33 Game 1</t>
  </si>
  <si>
    <t>Week 34 Game 1</t>
  </si>
  <si>
    <t>Week 35 Game 1</t>
  </si>
  <si>
    <t>Week 33 Game 2</t>
  </si>
  <si>
    <t>Week 33 Game 3</t>
  </si>
  <si>
    <t>Week 34 Game 2</t>
  </si>
  <si>
    <t>Week 34 Game 3</t>
  </si>
  <si>
    <t>Week 35 Game 2</t>
  </si>
  <si>
    <t>Week 35 Game 3</t>
  </si>
  <si>
    <t>Week 36 Game 1</t>
  </si>
  <si>
    <t>Week 36 Game 2</t>
  </si>
  <si>
    <t>Week 36 Game 3</t>
  </si>
  <si>
    <t>Bowler</t>
  </si>
  <si>
    <t>Totals</t>
  </si>
  <si>
    <t>Opp. Totals</t>
  </si>
  <si>
    <t>Totals w/ Handicap</t>
  </si>
  <si>
    <t>Opp. Totals w/ Handicap</t>
  </si>
  <si>
    <t>Game 1 Average</t>
  </si>
  <si>
    <t>Game 2 Average</t>
  </si>
  <si>
    <t>Game 3 Average</t>
  </si>
  <si>
    <t>Team</t>
  </si>
  <si>
    <t>Opponent</t>
  </si>
  <si>
    <t>Games Played</t>
  </si>
  <si>
    <t>Wins</t>
  </si>
  <si>
    <t>Losses</t>
  </si>
  <si>
    <t>Team Average by Game</t>
  </si>
  <si>
    <t>Bowler Average by Game</t>
  </si>
  <si>
    <t>Total Pins</t>
  </si>
  <si>
    <t>Total Handicap</t>
  </si>
  <si>
    <t>Total Pins w/ Handicap</t>
  </si>
  <si>
    <t>Total Weeks Played</t>
  </si>
  <si>
    <t>Percentage</t>
  </si>
  <si>
    <t>Percentage Bowled Over AVG</t>
  </si>
  <si>
    <t>Card Game Totals</t>
  </si>
  <si>
    <t>Card Game Win %</t>
  </si>
  <si>
    <t>Opponents</t>
  </si>
  <si>
    <t>&lt;------</t>
  </si>
  <si>
    <t>Total Dues Paid</t>
  </si>
  <si>
    <t>Opponent Percentage Bowled Over AVG</t>
  </si>
  <si>
    <t>Q1</t>
  </si>
  <si>
    <t>Average</t>
  </si>
  <si>
    <t>High Game</t>
  </si>
  <si>
    <t>Low Game</t>
  </si>
  <si>
    <t>High Series</t>
  </si>
  <si>
    <t>W/L Ratio</t>
  </si>
  <si>
    <t>Q2</t>
  </si>
  <si>
    <t>Low Series</t>
  </si>
  <si>
    <t>Game</t>
  </si>
  <si>
    <t>Score</t>
  </si>
  <si>
    <t>Points</t>
  </si>
  <si>
    <t>Handicap</t>
  </si>
  <si>
    <t>Opp Handicap</t>
  </si>
  <si>
    <t>Opponent AVG</t>
  </si>
  <si>
    <t>Score w/ Handicap</t>
  </si>
  <si>
    <t>Opp w/ Handicap</t>
  </si>
  <si>
    <t>Weeks Played</t>
  </si>
  <si>
    <t>Total Winnings Earned</t>
  </si>
  <si>
    <t>Week</t>
  </si>
  <si>
    <t>TOTALS</t>
  </si>
  <si>
    <t>Winnings for Each</t>
  </si>
  <si>
    <t>400 Series</t>
  </si>
  <si>
    <t>500 Series</t>
  </si>
  <si>
    <t>600 Series</t>
  </si>
  <si>
    <t>700 Series</t>
  </si>
  <si>
    <t>Q3</t>
  </si>
  <si>
    <t>&lt;150</t>
  </si>
  <si>
    <t>150-199</t>
  </si>
  <si>
    <t>200-249</t>
  </si>
  <si>
    <t>250+</t>
  </si>
  <si>
    <t>Remaining Balance</t>
  </si>
  <si>
    <t>Q4</t>
  </si>
  <si>
    <t>2023 AVG</t>
  </si>
  <si>
    <t>2024 AVG</t>
  </si>
  <si>
    <t>N/A</t>
  </si>
  <si>
    <t>AVG Booster</t>
  </si>
  <si>
    <t>2025 AVG</t>
  </si>
  <si>
    <t>2</t>
  </si>
  <si>
    <t>3</t>
  </si>
  <si>
    <t>4</t>
  </si>
  <si>
    <t>5</t>
  </si>
  <si>
    <t>6</t>
  </si>
  <si>
    <t>7</t>
  </si>
  <si>
    <t>8</t>
  </si>
  <si>
    <t>9</t>
  </si>
  <si>
    <t>10</t>
  </si>
  <si>
    <t>11</t>
  </si>
  <si>
    <t>12</t>
  </si>
  <si>
    <t>13</t>
  </si>
  <si>
    <t>1</t>
  </si>
  <si>
    <t>14</t>
  </si>
  <si>
    <t>Strikes</t>
  </si>
  <si>
    <t>Spares</t>
  </si>
  <si>
    <t>Spare %</t>
  </si>
  <si>
    <t>Spares Made</t>
  </si>
  <si>
    <t>Spares Missed</t>
  </si>
  <si>
    <t>Splits</t>
  </si>
  <si>
    <t>Strike Per Game</t>
  </si>
  <si>
    <t>G1F1</t>
  </si>
  <si>
    <t>G1F2</t>
  </si>
  <si>
    <t>G1F3</t>
  </si>
  <si>
    <t>G1F4</t>
  </si>
  <si>
    <t>G1F5</t>
  </si>
  <si>
    <t>G1F6</t>
  </si>
  <si>
    <t>G1F7</t>
  </si>
  <si>
    <t>G1F8</t>
  </si>
  <si>
    <t>G1F9</t>
  </si>
  <si>
    <t>G1F10</t>
  </si>
  <si>
    <t>G2F1</t>
  </si>
  <si>
    <t>G2F2</t>
  </si>
  <si>
    <t>G2F3</t>
  </si>
  <si>
    <t>G2F4</t>
  </si>
  <si>
    <t>G2F5</t>
  </si>
  <si>
    <t>G2F6</t>
  </si>
  <si>
    <t>G2F7</t>
  </si>
  <si>
    <t>G2F8</t>
  </si>
  <si>
    <t>G2F9</t>
  </si>
  <si>
    <t>G2F10</t>
  </si>
  <si>
    <t>G3F1</t>
  </si>
  <si>
    <t>G3F2</t>
  </si>
  <si>
    <t>G3F3</t>
  </si>
  <si>
    <t>G3F4</t>
  </si>
  <si>
    <t>G3F5</t>
  </si>
  <si>
    <t>G3F6</t>
  </si>
  <si>
    <t>G3F7</t>
  </si>
  <si>
    <t>G3F8</t>
  </si>
  <si>
    <t>G3F9</t>
  </si>
  <si>
    <t>G3F10</t>
  </si>
  <si>
    <t>Strike</t>
  </si>
  <si>
    <t>9 Spare</t>
  </si>
  <si>
    <t>9 Spare (10 Pin), 9</t>
  </si>
  <si>
    <t>9 Spare (10 Pin)</t>
  </si>
  <si>
    <t>6/3</t>
  </si>
  <si>
    <t>Strike, 8/1 (Split)</t>
  </si>
  <si>
    <t>8 Spare</t>
  </si>
  <si>
    <t>7 Spare</t>
  </si>
  <si>
    <t>7 Spare (Split), 9</t>
  </si>
  <si>
    <t>9/0 (10 Pin)</t>
  </si>
  <si>
    <t>Strike, 7 Spare</t>
  </si>
  <si>
    <t>8 Spare, Strike</t>
  </si>
  <si>
    <t>7/2</t>
  </si>
  <si>
    <t>9 Spare (10 Pin), 7</t>
  </si>
  <si>
    <t>Strike, 6/0 (Split)</t>
  </si>
  <si>
    <t>5/2 (Split)</t>
  </si>
  <si>
    <t>7 Spare (Split)</t>
  </si>
  <si>
    <t>8/1</t>
  </si>
  <si>
    <t>7/1</t>
  </si>
  <si>
    <t>6 Spare (Split)</t>
  </si>
  <si>
    <t>8/0 (Split)</t>
  </si>
  <si>
    <t>9/0</t>
  </si>
  <si>
    <t>Strike, Strike, 8</t>
  </si>
  <si>
    <t>6 Spare</t>
  </si>
  <si>
    <t>8/1 (Split)</t>
  </si>
  <si>
    <t>Strike, Strike, Strike</t>
  </si>
  <si>
    <t>8/0</t>
  </si>
  <si>
    <t>6/2 (Split)</t>
  </si>
  <si>
    <t>9 Spare, Strike</t>
  </si>
  <si>
    <t>9 Spare (7 Pin)</t>
  </si>
  <si>
    <t>7/2 (Split)</t>
  </si>
  <si>
    <t>Strike, 9/0</t>
  </si>
  <si>
    <t>Split %</t>
  </si>
  <si>
    <t>Frame #</t>
  </si>
  <si>
    <t>Frame 1</t>
  </si>
  <si>
    <t>Frame 2</t>
  </si>
  <si>
    <t>Frame 3</t>
  </si>
  <si>
    <t>Frame 4</t>
  </si>
  <si>
    <t>Frame 5</t>
  </si>
  <si>
    <t>Frame 6</t>
  </si>
  <si>
    <t>Frame 7</t>
  </si>
  <si>
    <t>Frame 8</t>
  </si>
  <si>
    <t>Frame 9</t>
  </si>
  <si>
    <t>Frame 10</t>
  </si>
  <si>
    <t>10 Pin %</t>
  </si>
  <si>
    <t>6 Spare, Strike</t>
  </si>
  <si>
    <t>3 Spare</t>
  </si>
  <si>
    <t>9 Spare (10 Pin), Strike</t>
  </si>
  <si>
    <t>Strike, 6/3</t>
  </si>
  <si>
    <t>8 Spare (Split)</t>
  </si>
  <si>
    <t>6/3 (Split)</t>
  </si>
  <si>
    <t>5/3 (Split)</t>
  </si>
  <si>
    <t>Strike, Strike, 9</t>
  </si>
  <si>
    <t>9/0 (7 Pin)</t>
  </si>
  <si>
    <t>6/1 (Split)</t>
  </si>
  <si>
    <t>Strike, Strike, 7</t>
  </si>
  <si>
    <t>7 Spare, Strike</t>
  </si>
  <si>
    <t>6/1</t>
  </si>
  <si>
    <t>(5-1)</t>
  </si>
  <si>
    <t>(4-2)</t>
  </si>
  <si>
    <t>LEFT</t>
  </si>
  <si>
    <t>RIGHT</t>
  </si>
  <si>
    <t>SIDE</t>
  </si>
  <si>
    <t>LANE</t>
  </si>
  <si>
    <t>Player AVG when Eric bowls 200+</t>
  </si>
  <si>
    <t>Player AVG when Eric bowls Under 200</t>
  </si>
  <si>
    <t>Strike, 6/2 (Split)</t>
  </si>
  <si>
    <t>6/2</t>
  </si>
  <si>
    <t>9 Spare (10 Pin), 8</t>
  </si>
  <si>
    <t>Strike, 8 Spare</t>
  </si>
  <si>
    <t>Strike, 9 Spare</t>
  </si>
  <si>
    <t>7/1 (Split)</t>
  </si>
  <si>
    <t>5 Spare (Split), 8</t>
  </si>
  <si>
    <t>6 Spare, 9</t>
  </si>
  <si>
    <t>(3-6)</t>
  </si>
  <si>
    <t>(6-3)</t>
  </si>
  <si>
    <t>(4-5)</t>
  </si>
  <si>
    <t>(1-2)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</si>
</sst>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0.0"/>
  </numFmts>
  <fonts count="8" x14ac:knownFonts="1">
    <font>
      <sz val="11"/>
      <color theme="1"/>
      <name val="Aptos Narrow"/>
      <family val="2"/>
      <scheme val="minor"/>
    </font>
    <font>
      <b/>
      <sz val="11"/>
      <color theme="0"/>
      <name val="Aptos Narrow"/>
      <family val="2"/>
      <scheme val="minor"/>
    </font>
    <font>
      <b/>
      <sz val="11"/>
      <color theme="1"/>
      <name val="Aptos Narrow"/>
      <family val="2"/>
      <scheme val="minor"/>
    </font>
    <font>
      <sz val="11"/>
      <name val="Aptos Narrow"/>
      <family val="2"/>
      <scheme val="minor"/>
    </font>
    <font>
      <sz val="8"/>
      <name val="Aptos Narrow"/>
      <family val="2"/>
      <scheme val="minor"/>
    </font>
    <font>
      <b/>
      <sz val="11"/>
      <name val="Aptos Narrow"/>
      <family val="2"/>
      <scheme val="minor"/>
    </font>
    <font>
      <sz val="11"/>
      <color theme="1"/>
      <name val="Aptos Narrow"/>
      <family val="2"/>
      <scheme val="minor"/>
    </font>
    <font>
      <b/>
      <sz val="14"/>
      <color theme="0"/>
      <name val="Aptos Narrow"/>
      <family val="2"/>
      <scheme val="minor"/>
    </font>
  </fonts>
  <fills count="17">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0066"/>
        <bgColor indexed="64"/>
      </patternFill>
    </fill>
    <fill>
      <patternFill patternType="solid">
        <fgColor theme="2" tint="-0.499984740745262"/>
        <bgColor indexed="64"/>
      </patternFill>
    </fill>
    <fill>
      <patternFill patternType="solid">
        <fgColor theme="1"/>
        <bgColor indexed="64"/>
      </patternFill>
    </fill>
    <fill>
      <patternFill patternType="solid">
        <fgColor theme="2" tint="-0.249977111117893"/>
        <bgColor indexed="64"/>
      </patternFill>
    </fill>
    <fill>
      <patternFill patternType="solid">
        <fgColor rgb="FF7030A0"/>
        <bgColor indexed="64"/>
      </patternFill>
    </fill>
    <fill>
      <patternFill patternType="solid">
        <fgColor rgb="FF00B050"/>
        <bgColor indexed="64"/>
      </patternFill>
    </fill>
    <fill>
      <patternFill patternType="solid">
        <fgColor theme="5"/>
        <bgColor indexed="64"/>
      </patternFill>
    </fill>
    <fill>
      <patternFill patternType="solid">
        <fgColor theme="7"/>
        <bgColor indexed="64"/>
      </patternFill>
    </fill>
    <fill>
      <patternFill patternType="solid">
        <fgColor theme="0"/>
        <bgColor indexed="64"/>
      </patternFill>
    </fill>
    <fill>
      <patternFill patternType="solid">
        <fgColor theme="3" tint="0.499984740745262"/>
        <bgColor indexed="64"/>
      </patternFill>
    </fill>
    <fill>
      <patternFill patternType="solid">
        <fgColor theme="1" tint="0.34998626667073579"/>
        <bgColor indexed="64"/>
      </patternFill>
    </fill>
    <fill>
      <patternFill patternType="solid">
        <fgColor theme="3" tint="0.249977111117893"/>
        <bgColor indexed="64"/>
      </patternFill>
    </fill>
    <fill>
      <patternFill patternType="solid">
        <fgColor rgb="FF92D050"/>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thin">
        <color theme="1"/>
      </right>
      <top style="thin">
        <color theme="1"/>
      </top>
      <bottom style="thin">
        <color theme="1"/>
      </bottom>
      <diagonal/>
    </border>
    <border>
      <left style="thin">
        <color theme="1"/>
      </left>
      <right style="medium">
        <color theme="0"/>
      </right>
      <top style="thin">
        <color theme="1"/>
      </top>
      <bottom style="thin">
        <color theme="1"/>
      </bottom>
      <diagonal/>
    </border>
    <border>
      <left style="medium">
        <color theme="0"/>
      </left>
      <right style="thin">
        <color theme="1"/>
      </right>
      <top style="thin">
        <color theme="1"/>
      </top>
      <bottom style="medium">
        <color theme="0"/>
      </bottom>
      <diagonal/>
    </border>
    <border>
      <left style="thin">
        <color theme="1"/>
      </left>
      <right style="medium">
        <color theme="0"/>
      </right>
      <top style="thin">
        <color theme="1"/>
      </top>
      <bottom style="medium">
        <color theme="0"/>
      </bottom>
      <diagonal/>
    </border>
    <border>
      <left style="medium">
        <color theme="0"/>
      </left>
      <right style="medium">
        <color theme="0"/>
      </right>
      <top/>
      <bottom style="thin">
        <color theme="1"/>
      </bottom>
      <diagonal/>
    </border>
    <border>
      <left style="medium">
        <color theme="0"/>
      </left>
      <right style="medium">
        <color theme="0"/>
      </right>
      <top style="thin">
        <color theme="1"/>
      </top>
      <bottom style="thin">
        <color theme="1"/>
      </bottom>
      <diagonal/>
    </border>
    <border>
      <left style="medium">
        <color theme="0"/>
      </left>
      <right style="medium">
        <color theme="0"/>
      </right>
      <top style="thin">
        <color theme="1"/>
      </top>
      <bottom style="medium">
        <color theme="0"/>
      </bottom>
      <diagonal/>
    </border>
    <border>
      <left style="medium">
        <color theme="0"/>
      </left>
      <right style="thin">
        <color indexed="64"/>
      </right>
      <top/>
      <bottom/>
      <diagonal/>
    </border>
    <border>
      <left/>
      <right style="medium">
        <color theme="0"/>
      </right>
      <top/>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style="medium">
        <color theme="0"/>
      </left>
      <right/>
      <top/>
      <bottom style="medium">
        <color theme="0"/>
      </bottom>
      <diagonal/>
    </border>
    <border>
      <left/>
      <right style="medium">
        <color theme="0"/>
      </right>
      <top/>
      <bottom style="medium">
        <color theme="0"/>
      </bottom>
      <diagonal/>
    </border>
    <border>
      <left style="medium">
        <color theme="0"/>
      </left>
      <right style="thin">
        <color indexed="64"/>
      </right>
      <top style="thin">
        <color indexed="64"/>
      </top>
      <bottom style="thin">
        <color indexed="64"/>
      </bottom>
      <diagonal/>
    </border>
    <border>
      <left style="medium">
        <color theme="0"/>
      </left>
      <right style="thin">
        <color indexed="64"/>
      </right>
      <top style="thin">
        <color indexed="64"/>
      </top>
      <bottom style="medium">
        <color theme="0"/>
      </bottom>
      <diagonal/>
    </border>
    <border>
      <left style="thin">
        <color indexed="64"/>
      </left>
      <right style="thin">
        <color indexed="64"/>
      </right>
      <top style="thin">
        <color indexed="64"/>
      </top>
      <bottom style="medium">
        <color theme="0"/>
      </bottom>
      <diagonal/>
    </border>
    <border>
      <left style="medium">
        <color theme="0"/>
      </left>
      <right style="thin">
        <color theme="0"/>
      </right>
      <top style="medium">
        <color theme="0"/>
      </top>
      <bottom style="medium">
        <color theme="0"/>
      </bottom>
      <diagonal/>
    </border>
    <border>
      <left style="thin">
        <color theme="0"/>
      </left>
      <right style="thin">
        <color theme="0"/>
      </right>
      <top style="medium">
        <color theme="0"/>
      </top>
      <bottom style="medium">
        <color theme="0"/>
      </bottom>
      <diagonal/>
    </border>
    <border>
      <left style="thin">
        <color theme="0"/>
      </left>
      <right style="medium">
        <color theme="0"/>
      </right>
      <top style="medium">
        <color theme="0"/>
      </top>
      <bottom style="medium">
        <color theme="0"/>
      </bottom>
      <diagonal/>
    </border>
    <border>
      <left style="medium">
        <color theme="0"/>
      </left>
      <right style="thin">
        <color indexed="64"/>
      </right>
      <top style="medium">
        <color theme="0"/>
      </top>
      <bottom style="thin">
        <color indexed="64"/>
      </bottom>
      <diagonal/>
    </border>
    <border>
      <left style="thin">
        <color indexed="64"/>
      </left>
      <right style="thin">
        <color indexed="64"/>
      </right>
      <top style="medium">
        <color theme="0"/>
      </top>
      <bottom style="thin">
        <color indexed="64"/>
      </bottom>
      <diagonal/>
    </border>
    <border>
      <left style="thin">
        <color indexed="64"/>
      </left>
      <right style="medium">
        <color theme="0"/>
      </right>
      <top style="medium">
        <color theme="0"/>
      </top>
      <bottom style="thin">
        <color indexed="64"/>
      </bottom>
      <diagonal/>
    </border>
    <border>
      <left style="thin">
        <color indexed="64"/>
      </left>
      <right style="medium">
        <color theme="0"/>
      </right>
      <top style="thin">
        <color indexed="64"/>
      </top>
      <bottom style="thin">
        <color indexed="64"/>
      </bottom>
      <diagonal/>
    </border>
    <border>
      <left style="thin">
        <color indexed="64"/>
      </left>
      <right style="medium">
        <color theme="0"/>
      </right>
      <top style="thin">
        <color indexed="64"/>
      </top>
      <bottom style="medium">
        <color theme="0"/>
      </bottom>
      <diagonal/>
    </border>
    <border>
      <left style="medium">
        <color theme="0"/>
      </left>
      <right style="thin">
        <color theme="0"/>
      </right>
      <top style="medium">
        <color theme="0"/>
      </top>
      <bottom style="thin">
        <color theme="0"/>
      </bottom>
      <diagonal/>
    </border>
    <border>
      <left style="thin">
        <color theme="0"/>
      </left>
      <right style="thin">
        <color theme="0"/>
      </right>
      <top style="medium">
        <color theme="0"/>
      </top>
      <bottom style="thin">
        <color theme="0"/>
      </bottom>
      <diagonal/>
    </border>
    <border>
      <left style="thin">
        <color theme="0"/>
      </left>
      <right style="medium">
        <color theme="0"/>
      </right>
      <top style="medium">
        <color theme="0"/>
      </top>
      <bottom style="thin">
        <color theme="0"/>
      </bottom>
      <diagonal/>
    </border>
    <border>
      <left style="medium">
        <color theme="0"/>
      </left>
      <right style="thin">
        <color theme="0"/>
      </right>
      <top style="thin">
        <color theme="0"/>
      </top>
      <bottom style="medium">
        <color theme="0"/>
      </bottom>
      <diagonal/>
    </border>
    <border>
      <left style="thin">
        <color theme="0"/>
      </left>
      <right style="thin">
        <color theme="0"/>
      </right>
      <top style="thin">
        <color theme="0"/>
      </top>
      <bottom style="medium">
        <color theme="0"/>
      </bottom>
      <diagonal/>
    </border>
    <border>
      <left style="thin">
        <color theme="0"/>
      </left>
      <right style="medium">
        <color theme="0"/>
      </right>
      <top style="thin">
        <color theme="0"/>
      </top>
      <bottom style="medium">
        <color theme="0"/>
      </bottom>
      <diagonal/>
    </border>
    <border>
      <left style="medium">
        <color theme="0"/>
      </left>
      <right style="thin">
        <color indexed="64"/>
      </right>
      <top style="thin">
        <color theme="1"/>
      </top>
      <bottom style="thin">
        <color indexed="64"/>
      </bottom>
      <diagonal/>
    </border>
    <border>
      <left style="thin">
        <color indexed="64"/>
      </left>
      <right style="medium">
        <color theme="0"/>
      </right>
      <top style="thin">
        <color theme="1"/>
      </top>
      <bottom style="thin">
        <color indexed="64"/>
      </bottom>
      <diagonal/>
    </border>
    <border>
      <left/>
      <right style="thin">
        <color indexed="64"/>
      </right>
      <top style="thin">
        <color indexed="64"/>
      </top>
      <bottom style="medium">
        <color theme="0"/>
      </bottom>
      <diagonal/>
    </border>
    <border>
      <left style="thin">
        <color indexed="64"/>
      </left>
      <right/>
      <top style="thin">
        <color theme="1"/>
      </top>
      <bottom style="thin">
        <color indexed="64"/>
      </bottom>
      <diagonal/>
    </border>
    <border>
      <left/>
      <right/>
      <top style="medium">
        <color theme="0"/>
      </top>
      <bottom style="medium">
        <color theme="0"/>
      </bottom>
      <diagonal/>
    </border>
    <border>
      <left style="medium">
        <color theme="0"/>
      </left>
      <right style="thin">
        <color theme="1"/>
      </right>
      <top style="medium">
        <color theme="0"/>
      </top>
      <bottom style="thin">
        <color theme="1"/>
      </bottom>
      <diagonal/>
    </border>
    <border>
      <left style="thin">
        <color theme="1"/>
      </left>
      <right style="thin">
        <color theme="1"/>
      </right>
      <top style="medium">
        <color theme="0"/>
      </top>
      <bottom style="thin">
        <color theme="1"/>
      </bottom>
      <diagonal/>
    </border>
    <border>
      <left style="thin">
        <color theme="1"/>
      </left>
      <right/>
      <top style="medium">
        <color theme="0"/>
      </top>
      <bottom style="thin">
        <color theme="1"/>
      </bottom>
      <diagonal/>
    </border>
    <border>
      <left style="thin">
        <color theme="1"/>
      </left>
      <right style="medium">
        <color theme="0"/>
      </right>
      <top style="medium">
        <color theme="0"/>
      </top>
      <bottom style="thin">
        <color theme="1"/>
      </bottom>
      <diagonal/>
    </border>
    <border>
      <left style="thin">
        <color indexed="64"/>
      </left>
      <right/>
      <top style="thin">
        <color theme="1"/>
      </top>
      <bottom style="medium">
        <color theme="0"/>
      </bottom>
      <diagonal/>
    </border>
    <border>
      <left style="thin">
        <color indexed="64"/>
      </left>
      <right/>
      <top/>
      <bottom style="medium">
        <color theme="0"/>
      </bottom>
      <diagonal/>
    </border>
    <border>
      <left style="thin">
        <color indexed="64"/>
      </left>
      <right style="medium">
        <color theme="0"/>
      </right>
      <top style="thin">
        <color theme="1"/>
      </top>
      <bottom style="medium">
        <color theme="0"/>
      </bottom>
      <diagonal/>
    </border>
    <border>
      <left style="medium">
        <color theme="0"/>
      </left>
      <right style="thin">
        <color theme="1"/>
      </right>
      <top style="medium">
        <color theme="0"/>
      </top>
      <bottom style="medium">
        <color theme="0"/>
      </bottom>
      <diagonal/>
    </border>
    <border>
      <left style="thin">
        <color theme="1"/>
      </left>
      <right style="thin">
        <color theme="1"/>
      </right>
      <top style="medium">
        <color theme="0"/>
      </top>
      <bottom style="medium">
        <color theme="0"/>
      </bottom>
      <diagonal/>
    </border>
    <border>
      <left style="thin">
        <color theme="1"/>
      </left>
      <right style="medium">
        <color theme="0"/>
      </right>
      <top style="medium">
        <color theme="0"/>
      </top>
      <bottom style="medium">
        <color theme="0"/>
      </bottom>
      <diagonal/>
    </border>
    <border>
      <left style="thin">
        <color theme="1"/>
      </left>
      <right style="thin">
        <color theme="1"/>
      </right>
      <top style="thin">
        <color theme="1"/>
      </top>
      <bottom style="medium">
        <color theme="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44" fontId="6" fillId="0" borderId="0" applyFont="0" applyFill="0" applyBorder="0" applyAlignment="0" applyProtection="0"/>
    <xf numFmtId="43" fontId="6" fillId="0" borderId="0" applyFont="0" applyFill="0" applyBorder="0" applyAlignment="0" applyProtection="0"/>
    <xf numFmtId="9" fontId="6" fillId="0" borderId="0" applyFont="0" applyFill="0" applyBorder="0" applyAlignment="0" applyProtection="0"/>
  </cellStyleXfs>
  <cellXfs count="256">
    <xf numFmtId="0" fontId="0" fillId="0" borderId="0" xfId="0"/>
    <xf numFmtId="0" fontId="3" fillId="6" borderId="1" xfId="0" applyFont="1" applyFill="1" applyBorder="1" applyAlignment="1">
      <alignment horizontal="center" vertical="center"/>
    </xf>
    <xf numFmtId="0" fontId="0" fillId="6" borderId="0" xfId="0" applyFill="1"/>
    <xf numFmtId="0" fontId="3" fillId="6" borderId="0" xfId="0" applyFont="1" applyFill="1" applyAlignment="1">
      <alignment horizontal="center" vertical="center"/>
    </xf>
    <xf numFmtId="0" fontId="0" fillId="6" borderId="0" xfId="0" applyFill="1" applyAlignment="1">
      <alignment horizontal="center" vertical="center"/>
    </xf>
    <xf numFmtId="0" fontId="3" fillId="7" borderId="3" xfId="0" applyFont="1" applyFill="1" applyBorder="1" applyAlignment="1">
      <alignment horizontal="center" vertical="center"/>
    </xf>
    <xf numFmtId="0" fontId="0" fillId="4" borderId="4" xfId="0" applyFill="1" applyBorder="1" applyAlignment="1">
      <alignment horizontal="center" vertical="center"/>
    </xf>
    <xf numFmtId="0" fontId="3" fillId="8" borderId="4" xfId="0" applyFont="1" applyFill="1" applyBorder="1" applyAlignment="1">
      <alignment horizontal="center" vertical="center"/>
    </xf>
    <xf numFmtId="0" fontId="0" fillId="8" borderId="4" xfId="0" applyFill="1" applyBorder="1" applyAlignment="1">
      <alignment horizontal="center" vertical="center"/>
    </xf>
    <xf numFmtId="0" fontId="0" fillId="2" borderId="4" xfId="0" applyFill="1" applyBorder="1" applyAlignment="1">
      <alignment horizontal="center" vertical="center"/>
    </xf>
    <xf numFmtId="0" fontId="0" fillId="3" borderId="4" xfId="0" applyFill="1" applyBorder="1" applyAlignment="1">
      <alignment horizontal="center" vertical="center"/>
    </xf>
    <xf numFmtId="0" fontId="2" fillId="5" borderId="4" xfId="0" applyFont="1" applyFill="1" applyBorder="1" applyAlignment="1">
      <alignment horizontal="center" vertical="center"/>
    </xf>
    <xf numFmtId="0" fontId="3" fillId="6" borderId="2" xfId="0" applyFont="1" applyFill="1" applyBorder="1" applyAlignment="1">
      <alignment horizontal="center" vertical="center"/>
    </xf>
    <xf numFmtId="0" fontId="3" fillId="7" borderId="4" xfId="0" applyFont="1" applyFill="1" applyBorder="1" applyAlignment="1">
      <alignment horizontal="center" vertical="center"/>
    </xf>
    <xf numFmtId="0" fontId="0" fillId="6" borderId="4" xfId="0" applyFill="1" applyBorder="1"/>
    <xf numFmtId="0" fontId="5" fillId="8" borderId="2" xfId="0" applyFont="1" applyFill="1" applyBorder="1" applyAlignment="1">
      <alignment horizontal="center" vertical="center"/>
    </xf>
    <xf numFmtId="0" fontId="2"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0" fontId="2" fillId="6" borderId="0" xfId="0" applyFont="1" applyFill="1"/>
    <xf numFmtId="0" fontId="2" fillId="6" borderId="0" xfId="0" applyFont="1" applyFill="1" applyAlignment="1">
      <alignment horizontal="center" vertical="center"/>
    </xf>
    <xf numFmtId="0" fontId="0" fillId="9" borderId="4" xfId="0" applyFill="1" applyBorder="1" applyAlignment="1">
      <alignment horizontal="center" vertical="center"/>
    </xf>
    <xf numFmtId="0" fontId="0" fillId="10" borderId="4" xfId="0" applyFill="1" applyBorder="1" applyAlignment="1">
      <alignment horizontal="center" vertical="center"/>
    </xf>
    <xf numFmtId="0" fontId="2" fillId="10" borderId="2" xfId="0" applyFont="1" applyFill="1" applyBorder="1" applyAlignment="1">
      <alignment horizontal="center" vertical="center"/>
    </xf>
    <xf numFmtId="0" fontId="2" fillId="9" borderId="2" xfId="0" applyFont="1" applyFill="1" applyBorder="1" applyAlignment="1">
      <alignment horizontal="center" vertical="center"/>
    </xf>
    <xf numFmtId="0" fontId="2" fillId="10" borderId="5" xfId="0" applyFont="1" applyFill="1" applyBorder="1" applyAlignment="1">
      <alignment horizontal="center" vertical="center"/>
    </xf>
    <xf numFmtId="0" fontId="2" fillId="4" borderId="4" xfId="0" applyFont="1" applyFill="1" applyBorder="1" applyAlignment="1">
      <alignment horizontal="center" vertical="center"/>
    </xf>
    <xf numFmtId="0" fontId="5" fillId="8" borderId="6" xfId="0" applyFont="1" applyFill="1" applyBorder="1" applyAlignment="1">
      <alignment horizontal="center" vertical="center"/>
    </xf>
    <xf numFmtId="0" fontId="3" fillId="7" borderId="8" xfId="0" applyFont="1" applyFill="1" applyBorder="1" applyAlignment="1">
      <alignment horizontal="center" vertical="center"/>
    </xf>
    <xf numFmtId="0" fontId="3" fillId="6" borderId="4" xfId="0" applyFont="1" applyFill="1" applyBorder="1" applyAlignment="1">
      <alignment horizontal="center" vertical="center"/>
    </xf>
    <xf numFmtId="0" fontId="2" fillId="3" borderId="4" xfId="0" applyFont="1" applyFill="1" applyBorder="1" applyAlignment="1">
      <alignment horizontal="center" vertical="center"/>
    </xf>
    <xf numFmtId="0" fontId="0" fillId="11" borderId="4" xfId="0" applyFill="1" applyBorder="1" applyAlignment="1">
      <alignment horizontal="center" vertical="center"/>
    </xf>
    <xf numFmtId="0" fontId="3" fillId="9" borderId="4" xfId="0" applyFont="1" applyFill="1" applyBorder="1" applyAlignment="1">
      <alignment horizontal="center" vertical="center"/>
    </xf>
    <xf numFmtId="0" fontId="5" fillId="7" borderId="4" xfId="0" applyFont="1" applyFill="1" applyBorder="1" applyAlignment="1">
      <alignment horizontal="center" vertical="center"/>
    </xf>
    <xf numFmtId="0" fontId="5" fillId="5" borderId="4" xfId="0" applyFont="1" applyFill="1" applyBorder="1" applyAlignment="1">
      <alignment horizontal="center" vertical="center"/>
    </xf>
    <xf numFmtId="0" fontId="0" fillId="0" borderId="4" xfId="0" applyBorder="1" applyAlignment="1">
      <alignment horizontal="center" vertical="center"/>
    </xf>
    <xf numFmtId="0" fontId="1" fillId="13" borderId="9" xfId="0" applyFont="1" applyFill="1" applyBorder="1" applyAlignment="1">
      <alignment horizontal="center" vertical="center"/>
    </xf>
    <xf numFmtId="0" fontId="0" fillId="0" borderId="0" xfId="0" applyAlignment="1">
      <alignment horizontal="center" vertical="center"/>
    </xf>
    <xf numFmtId="0" fontId="3" fillId="6" borderId="5" xfId="0" applyFont="1" applyFill="1" applyBorder="1" applyAlignment="1">
      <alignment horizontal="center" vertical="center"/>
    </xf>
    <xf numFmtId="0" fontId="3" fillId="8" borderId="12" xfId="0" applyFont="1" applyFill="1" applyBorder="1" applyAlignment="1">
      <alignment horizontal="center" vertical="center"/>
    </xf>
    <xf numFmtId="0" fontId="0" fillId="2" borderId="12" xfId="0" applyFill="1" applyBorder="1" applyAlignment="1">
      <alignment horizontal="center" vertical="center"/>
    </xf>
    <xf numFmtId="0" fontId="0" fillId="3" borderId="12" xfId="0" applyFill="1" applyBorder="1" applyAlignment="1">
      <alignment horizontal="center" vertical="center"/>
    </xf>
    <xf numFmtId="0" fontId="0" fillId="9" borderId="12" xfId="0" applyFill="1" applyBorder="1" applyAlignment="1">
      <alignment horizontal="center" vertical="center"/>
    </xf>
    <xf numFmtId="0" fontId="0" fillId="10" borderId="12" xfId="0" applyFill="1" applyBorder="1" applyAlignment="1">
      <alignment horizontal="center" vertical="center"/>
    </xf>
    <xf numFmtId="0" fontId="0" fillId="4" borderId="14" xfId="0" applyFill="1" applyBorder="1" applyAlignment="1">
      <alignment horizontal="center" vertical="center"/>
    </xf>
    <xf numFmtId="0" fontId="2" fillId="5" borderId="16" xfId="0" applyFont="1" applyFill="1" applyBorder="1" applyAlignment="1">
      <alignment horizontal="center" vertical="center"/>
    </xf>
    <xf numFmtId="0" fontId="2" fillId="5" borderId="17" xfId="0" applyFont="1" applyFill="1" applyBorder="1" applyAlignment="1">
      <alignment horizontal="center" vertical="center"/>
    </xf>
    <xf numFmtId="0" fontId="3" fillId="8" borderId="14" xfId="0" applyFont="1" applyFill="1" applyBorder="1" applyAlignment="1">
      <alignment horizontal="center" vertical="center"/>
    </xf>
    <xf numFmtId="0" fontId="2" fillId="5" borderId="19" xfId="0" applyFont="1" applyFill="1" applyBorder="1" applyAlignment="1">
      <alignment horizontal="center" vertical="center"/>
    </xf>
    <xf numFmtId="0" fontId="2" fillId="5" borderId="20" xfId="0" applyFont="1" applyFill="1" applyBorder="1" applyAlignment="1">
      <alignment horizontal="center" vertical="center"/>
    </xf>
    <xf numFmtId="10" fontId="3" fillId="12" borderId="13" xfId="0" applyNumberFormat="1" applyFont="1" applyFill="1" applyBorder="1" applyAlignment="1">
      <alignment horizontal="center" vertical="center"/>
    </xf>
    <xf numFmtId="10" fontId="3" fillId="12" borderId="15" xfId="0" applyNumberFormat="1" applyFont="1" applyFill="1" applyBorder="1" applyAlignment="1">
      <alignment horizontal="center" vertical="center"/>
    </xf>
    <xf numFmtId="2" fontId="0" fillId="0" borderId="17" xfId="0" applyNumberFormat="1" applyBorder="1" applyAlignment="1">
      <alignment horizontal="center" vertical="center"/>
    </xf>
    <xf numFmtId="2" fontId="0" fillId="0" borderId="18" xfId="0" applyNumberFormat="1" applyBorder="1" applyAlignment="1">
      <alignment horizontal="center" vertical="center"/>
    </xf>
    <xf numFmtId="1" fontId="0" fillId="10" borderId="4" xfId="0" applyNumberFormat="1" applyFill="1" applyBorder="1" applyAlignment="1">
      <alignment horizontal="center" vertical="center"/>
    </xf>
    <xf numFmtId="0" fontId="0" fillId="2" borderId="1" xfId="0" applyFill="1" applyBorder="1" applyAlignment="1">
      <alignment horizontal="center" vertical="center"/>
    </xf>
    <xf numFmtId="10" fontId="0" fillId="2" borderId="1" xfId="0" applyNumberFormat="1" applyFill="1" applyBorder="1" applyAlignment="1">
      <alignment horizontal="center" vertical="center"/>
    </xf>
    <xf numFmtId="3" fontId="0" fillId="2" borderId="1" xfId="0" applyNumberFormat="1" applyFill="1" applyBorder="1" applyAlignment="1">
      <alignment horizontal="center" vertical="center"/>
    </xf>
    <xf numFmtId="2" fontId="0" fillId="2" borderId="1" xfId="0" applyNumberFormat="1" applyFill="1" applyBorder="1" applyAlignment="1">
      <alignment horizontal="center" vertical="center"/>
    </xf>
    <xf numFmtId="0" fontId="0" fillId="3" borderId="1" xfId="0" applyFill="1" applyBorder="1" applyAlignment="1">
      <alignment horizontal="center" vertical="center"/>
    </xf>
    <xf numFmtId="10" fontId="0" fillId="3" borderId="1" xfId="0" applyNumberFormat="1" applyFill="1" applyBorder="1" applyAlignment="1">
      <alignment horizontal="center" vertical="center"/>
    </xf>
    <xf numFmtId="3" fontId="0" fillId="3" borderId="1" xfId="0" applyNumberFormat="1" applyFill="1" applyBorder="1" applyAlignment="1">
      <alignment horizontal="center" vertical="center"/>
    </xf>
    <xf numFmtId="2" fontId="0" fillId="3" borderId="1" xfId="0" applyNumberFormat="1" applyFill="1" applyBorder="1" applyAlignment="1">
      <alignment horizontal="center" vertical="center"/>
    </xf>
    <xf numFmtId="1" fontId="0" fillId="3" borderId="1" xfId="0" applyNumberFormat="1" applyFill="1" applyBorder="1" applyAlignment="1">
      <alignment horizontal="center" vertical="center"/>
    </xf>
    <xf numFmtId="0" fontId="0" fillId="9" borderId="1" xfId="0" applyFill="1" applyBorder="1" applyAlignment="1">
      <alignment horizontal="center" vertical="center"/>
    </xf>
    <xf numFmtId="10" fontId="0" fillId="9" borderId="1" xfId="0" applyNumberFormat="1" applyFill="1" applyBorder="1" applyAlignment="1">
      <alignment horizontal="center" vertical="center"/>
    </xf>
    <xf numFmtId="3" fontId="0" fillId="9" borderId="1" xfId="0" applyNumberFormat="1" applyFill="1" applyBorder="1" applyAlignment="1">
      <alignment horizontal="center" vertical="center"/>
    </xf>
    <xf numFmtId="2" fontId="0" fillId="9" borderId="1" xfId="0" applyNumberFormat="1" applyFill="1" applyBorder="1" applyAlignment="1">
      <alignment horizontal="center" vertical="center"/>
    </xf>
    <xf numFmtId="0" fontId="0" fillId="10" borderId="1" xfId="0" applyFill="1" applyBorder="1" applyAlignment="1">
      <alignment horizontal="center" vertical="center"/>
    </xf>
    <xf numFmtId="10" fontId="0" fillId="10" borderId="1" xfId="0" applyNumberFormat="1" applyFill="1" applyBorder="1" applyAlignment="1">
      <alignment horizontal="center" vertical="center"/>
    </xf>
    <xf numFmtId="3" fontId="0" fillId="10" borderId="1" xfId="0" applyNumberFormat="1" applyFill="1" applyBorder="1" applyAlignment="1">
      <alignment horizontal="center" vertical="center"/>
    </xf>
    <xf numFmtId="2" fontId="0" fillId="10" borderId="1" xfId="0" applyNumberFormat="1" applyFill="1" applyBorder="1" applyAlignment="1">
      <alignment horizontal="center" vertical="center"/>
    </xf>
    <xf numFmtId="1" fontId="0" fillId="10" borderId="1" xfId="0" applyNumberFormat="1" applyFill="1" applyBorder="1" applyAlignment="1">
      <alignment horizontal="center" vertical="center"/>
    </xf>
    <xf numFmtId="0" fontId="0" fillId="2" borderId="26" xfId="0" applyFill="1" applyBorder="1" applyAlignment="1">
      <alignment horizontal="center" vertical="center"/>
    </xf>
    <xf numFmtId="0" fontId="0" fillId="3" borderId="26" xfId="0" applyFill="1" applyBorder="1" applyAlignment="1">
      <alignment horizontal="center" vertical="center"/>
    </xf>
    <xf numFmtId="0" fontId="0" fillId="9" borderId="26" xfId="0" applyFill="1" applyBorder="1" applyAlignment="1">
      <alignment horizontal="center" vertical="center"/>
    </xf>
    <xf numFmtId="0" fontId="0" fillId="10" borderId="26" xfId="0" applyFill="1" applyBorder="1" applyAlignment="1">
      <alignment horizontal="center" vertical="center"/>
    </xf>
    <xf numFmtId="0" fontId="0" fillId="4" borderId="27" xfId="0" applyFill="1" applyBorder="1" applyAlignment="1">
      <alignment horizontal="center" vertical="center"/>
    </xf>
    <xf numFmtId="0" fontId="0" fillId="4" borderId="28" xfId="0" applyFill="1" applyBorder="1" applyAlignment="1">
      <alignment horizontal="center" vertical="center"/>
    </xf>
    <xf numFmtId="10" fontId="0" fillId="4" borderId="28" xfId="0" applyNumberFormat="1" applyFill="1" applyBorder="1" applyAlignment="1">
      <alignment horizontal="center" vertical="center"/>
    </xf>
    <xf numFmtId="3" fontId="0" fillId="4" borderId="28" xfId="0" applyNumberFormat="1" applyFill="1" applyBorder="1" applyAlignment="1">
      <alignment horizontal="center" vertical="center"/>
    </xf>
    <xf numFmtId="2" fontId="0" fillId="4" borderId="28" xfId="0" applyNumberFormat="1" applyFill="1" applyBorder="1" applyAlignment="1">
      <alignment horizontal="center" vertical="center"/>
    </xf>
    <xf numFmtId="1" fontId="0" fillId="4" borderId="28" xfId="0" applyNumberFormat="1" applyFill="1" applyBorder="1" applyAlignment="1">
      <alignment horizontal="center" vertical="center"/>
    </xf>
    <xf numFmtId="0" fontId="1" fillId="14" borderId="29" xfId="0" applyFont="1" applyFill="1" applyBorder="1" applyAlignment="1">
      <alignment horizontal="center" vertical="center"/>
    </xf>
    <xf numFmtId="0" fontId="1" fillId="14" borderId="30" xfId="0" applyFont="1" applyFill="1" applyBorder="1" applyAlignment="1">
      <alignment horizontal="center" vertical="center"/>
    </xf>
    <xf numFmtId="0" fontId="1" fillId="14" borderId="31" xfId="0" applyFont="1" applyFill="1" applyBorder="1" applyAlignment="1">
      <alignment horizontal="center" vertical="center"/>
    </xf>
    <xf numFmtId="44" fontId="0" fillId="2" borderId="1" xfId="1" applyFont="1" applyFill="1" applyBorder="1" applyAlignment="1">
      <alignment horizontal="center" vertical="center"/>
    </xf>
    <xf numFmtId="44" fontId="0" fillId="3" borderId="1" xfId="1" applyFont="1" applyFill="1" applyBorder="1" applyAlignment="1">
      <alignment horizontal="center" vertical="center"/>
    </xf>
    <xf numFmtId="44" fontId="0" fillId="9" borderId="1" xfId="1" applyFont="1" applyFill="1" applyBorder="1" applyAlignment="1">
      <alignment horizontal="center" vertical="center"/>
    </xf>
    <xf numFmtId="44" fontId="0" fillId="10" borderId="1" xfId="1" applyFont="1" applyFill="1" applyBorder="1" applyAlignment="1">
      <alignment horizontal="center" vertical="center"/>
    </xf>
    <xf numFmtId="44" fontId="0" fillId="8" borderId="4" xfId="1" applyFont="1" applyFill="1" applyBorder="1" applyAlignment="1">
      <alignment horizontal="center" vertical="center"/>
    </xf>
    <xf numFmtId="44" fontId="0" fillId="2" borderId="4" xfId="1" applyFont="1" applyFill="1" applyBorder="1" applyAlignment="1">
      <alignment horizontal="center" vertical="center"/>
    </xf>
    <xf numFmtId="44" fontId="0" fillId="3" borderId="4" xfId="1" applyFont="1" applyFill="1" applyBorder="1" applyAlignment="1">
      <alignment horizontal="center" vertical="center"/>
    </xf>
    <xf numFmtId="44" fontId="0" fillId="9" borderId="4" xfId="1" applyFont="1" applyFill="1" applyBorder="1" applyAlignment="1">
      <alignment horizontal="center" vertical="center"/>
    </xf>
    <xf numFmtId="44" fontId="0" fillId="10" borderId="4" xfId="1" applyFont="1" applyFill="1" applyBorder="1" applyAlignment="1">
      <alignment horizontal="center" vertical="center"/>
    </xf>
    <xf numFmtId="0" fontId="3" fillId="8" borderId="32" xfId="0" applyFont="1" applyFill="1" applyBorder="1" applyAlignment="1">
      <alignment horizontal="center" vertical="center"/>
    </xf>
    <xf numFmtId="0" fontId="0" fillId="8" borderId="33" xfId="0" applyFill="1" applyBorder="1" applyAlignment="1">
      <alignment horizontal="center" vertical="center"/>
    </xf>
    <xf numFmtId="10" fontId="0" fillId="8" borderId="33" xfId="0" applyNumberFormat="1" applyFill="1" applyBorder="1" applyAlignment="1">
      <alignment horizontal="center" vertical="center"/>
    </xf>
    <xf numFmtId="3" fontId="0" fillId="8" borderId="33" xfId="0" applyNumberFormat="1" applyFill="1" applyBorder="1" applyAlignment="1">
      <alignment horizontal="center" vertical="center"/>
    </xf>
    <xf numFmtId="2" fontId="0" fillId="8" borderId="33" xfId="0" applyNumberFormat="1" applyFill="1" applyBorder="1" applyAlignment="1">
      <alignment horizontal="center" vertical="center"/>
    </xf>
    <xf numFmtId="1" fontId="0" fillId="8" borderId="33" xfId="0" applyNumberFormat="1" applyFill="1" applyBorder="1" applyAlignment="1">
      <alignment horizontal="center" vertical="center"/>
    </xf>
    <xf numFmtId="44" fontId="0" fillId="8" borderId="33" xfId="1" applyFont="1" applyFill="1" applyBorder="1" applyAlignment="1">
      <alignment horizontal="center" vertical="center"/>
    </xf>
    <xf numFmtId="44" fontId="0" fillId="6" borderId="28" xfId="1" applyFont="1" applyFill="1" applyBorder="1" applyAlignment="1">
      <alignment horizontal="center" vertical="center"/>
    </xf>
    <xf numFmtId="43" fontId="0" fillId="8" borderId="33" xfId="2" applyFont="1" applyFill="1" applyBorder="1" applyAlignment="1">
      <alignment horizontal="center" vertical="center"/>
    </xf>
    <xf numFmtId="43" fontId="0" fillId="2" borderId="1" xfId="2" applyFont="1" applyFill="1" applyBorder="1" applyAlignment="1">
      <alignment horizontal="center" vertical="center"/>
    </xf>
    <xf numFmtId="43" fontId="0" fillId="3" borderId="1" xfId="2" applyFont="1" applyFill="1" applyBorder="1" applyAlignment="1">
      <alignment horizontal="center" vertical="center"/>
    </xf>
    <xf numFmtId="43" fontId="0" fillId="9" borderId="1" xfId="2" applyFont="1" applyFill="1" applyBorder="1" applyAlignment="1">
      <alignment horizontal="center" vertical="center"/>
    </xf>
    <xf numFmtId="43" fontId="0" fillId="10" borderId="1" xfId="2" applyFont="1" applyFill="1" applyBorder="1" applyAlignment="1">
      <alignment horizontal="center" vertical="center"/>
    </xf>
    <xf numFmtId="43" fontId="0" fillId="4" borderId="28" xfId="2" applyFont="1" applyFill="1" applyBorder="1" applyAlignment="1">
      <alignment horizontal="center" vertical="center"/>
    </xf>
    <xf numFmtId="2" fontId="3" fillId="8" borderId="4" xfId="0" applyNumberFormat="1" applyFont="1" applyFill="1" applyBorder="1" applyAlignment="1">
      <alignment horizontal="center" vertical="center"/>
    </xf>
    <xf numFmtId="2" fontId="0" fillId="2" borderId="4" xfId="0" applyNumberFormat="1" applyFill="1" applyBorder="1" applyAlignment="1">
      <alignment horizontal="center" vertical="center"/>
    </xf>
    <xf numFmtId="2" fontId="0" fillId="3" borderId="4" xfId="0" applyNumberFormat="1" applyFill="1" applyBorder="1" applyAlignment="1">
      <alignment horizontal="center" vertical="center"/>
    </xf>
    <xf numFmtId="2" fontId="0" fillId="9" borderId="4" xfId="0" applyNumberFormat="1" applyFill="1" applyBorder="1" applyAlignment="1">
      <alignment horizontal="center" vertical="center"/>
    </xf>
    <xf numFmtId="2" fontId="0" fillId="10" borderId="4" xfId="0" applyNumberFormat="1" applyFill="1" applyBorder="1" applyAlignment="1">
      <alignment horizontal="center" vertical="center"/>
    </xf>
    <xf numFmtId="10" fontId="0" fillId="6" borderId="0" xfId="0" applyNumberFormat="1" applyFill="1" applyAlignment="1">
      <alignment horizontal="center" vertical="center"/>
    </xf>
    <xf numFmtId="43" fontId="0" fillId="6" borderId="0" xfId="2" applyFont="1" applyFill="1" applyBorder="1" applyAlignment="1">
      <alignment horizontal="center" vertical="center"/>
    </xf>
    <xf numFmtId="0" fontId="1" fillId="6" borderId="0" xfId="0" applyFont="1" applyFill="1" applyAlignment="1">
      <alignment vertical="center"/>
    </xf>
    <xf numFmtId="3" fontId="0" fillId="0" borderId="1" xfId="0" applyNumberFormat="1" applyBorder="1" applyAlignment="1">
      <alignment horizontal="center" vertical="center"/>
    </xf>
    <xf numFmtId="0" fontId="0" fillId="10" borderId="27" xfId="0" applyFill="1" applyBorder="1" applyAlignment="1">
      <alignment horizontal="center" vertical="center"/>
    </xf>
    <xf numFmtId="4" fontId="0" fillId="0" borderId="1" xfId="0" applyNumberFormat="1" applyBorder="1" applyAlignment="1">
      <alignment horizontal="center" vertical="center"/>
    </xf>
    <xf numFmtId="4" fontId="0" fillId="0" borderId="28" xfId="0" applyNumberFormat="1" applyBorder="1" applyAlignment="1">
      <alignment horizontal="center" vertical="center"/>
    </xf>
    <xf numFmtId="0" fontId="0" fillId="0" borderId="0" xfId="0" applyAlignment="1">
      <alignment horizontal="center"/>
    </xf>
    <xf numFmtId="49" fontId="0" fillId="0" borderId="0" xfId="2" applyNumberFormat="1" applyFont="1" applyAlignment="1">
      <alignment horizontal="center" vertical="center"/>
    </xf>
    <xf numFmtId="44" fontId="0" fillId="6" borderId="0" xfId="1" applyFont="1" applyFill="1" applyBorder="1" applyAlignment="1">
      <alignment vertical="center"/>
    </xf>
    <xf numFmtId="44" fontId="2" fillId="16" borderId="42" xfId="1" applyFont="1" applyFill="1" applyBorder="1" applyAlignment="1">
      <alignment vertical="center"/>
    </xf>
    <xf numFmtId="0" fontId="1" fillId="14" borderId="39" xfId="0" applyFont="1" applyFill="1" applyBorder="1" applyAlignment="1">
      <alignment horizontal="center" vertical="center"/>
    </xf>
    <xf numFmtId="0" fontId="0" fillId="0" borderId="1" xfId="0" applyBorder="1" applyAlignment="1">
      <alignment horizontal="center" vertical="center"/>
    </xf>
    <xf numFmtId="0" fontId="2" fillId="5" borderId="32" xfId="0" applyFont="1" applyFill="1" applyBorder="1" applyAlignment="1">
      <alignment horizontal="center" vertical="center"/>
    </xf>
    <xf numFmtId="0" fontId="2" fillId="5" borderId="33" xfId="0" applyFont="1" applyFill="1" applyBorder="1" applyAlignment="1">
      <alignment horizontal="center" vertical="center"/>
    </xf>
    <xf numFmtId="0" fontId="2" fillId="5" borderId="34" xfId="0" applyFont="1" applyFill="1" applyBorder="1" applyAlignment="1">
      <alignment horizontal="center" vertical="center"/>
    </xf>
    <xf numFmtId="0" fontId="0" fillId="0" borderId="35" xfId="0" applyBorder="1" applyAlignment="1">
      <alignment horizontal="center" vertical="center"/>
    </xf>
    <xf numFmtId="0" fontId="3" fillId="8" borderId="26" xfId="0" applyFont="1" applyFill="1" applyBorder="1" applyAlignment="1">
      <alignment horizontal="center" vertical="center"/>
    </xf>
    <xf numFmtId="0" fontId="0" fillId="0" borderId="28" xfId="0" applyBorder="1" applyAlignment="1">
      <alignment horizontal="center" vertical="center"/>
    </xf>
    <xf numFmtId="0" fontId="0" fillId="0" borderId="36" xfId="0" applyBorder="1" applyAlignment="1">
      <alignment horizontal="center" vertical="center"/>
    </xf>
    <xf numFmtId="0" fontId="3" fillId="8" borderId="43" xfId="0" applyFont="1" applyFill="1" applyBorder="1" applyAlignment="1">
      <alignment horizontal="center" vertical="center"/>
    </xf>
    <xf numFmtId="3" fontId="0" fillId="0" borderId="44" xfId="0" applyNumberFormat="1" applyBorder="1" applyAlignment="1">
      <alignment horizontal="center" vertical="center"/>
    </xf>
    <xf numFmtId="2" fontId="0" fillId="8" borderId="4" xfId="0" applyNumberFormat="1" applyFill="1" applyBorder="1" applyAlignment="1">
      <alignment horizontal="center" vertical="center"/>
    </xf>
    <xf numFmtId="2" fontId="0" fillId="11" borderId="4" xfId="0" applyNumberFormat="1" applyFill="1" applyBorder="1" applyAlignment="1">
      <alignment horizontal="center" vertical="center"/>
    </xf>
    <xf numFmtId="2" fontId="0" fillId="4" borderId="4" xfId="0" applyNumberFormat="1" applyFill="1" applyBorder="1" applyAlignment="1">
      <alignment horizontal="center" vertical="center"/>
    </xf>
    <xf numFmtId="44" fontId="0" fillId="6" borderId="45" xfId="1" applyFont="1" applyFill="1" applyBorder="1" applyAlignment="1">
      <alignment horizontal="center" vertical="center"/>
    </xf>
    <xf numFmtId="0" fontId="0" fillId="8" borderId="33" xfId="1" applyNumberFormat="1" applyFont="1" applyFill="1" applyBorder="1" applyAlignment="1">
      <alignment horizontal="center" vertical="center"/>
    </xf>
    <xf numFmtId="0" fontId="0" fillId="8" borderId="34" xfId="1" applyNumberFormat="1" applyFont="1" applyFill="1" applyBorder="1" applyAlignment="1">
      <alignment horizontal="center" vertical="center"/>
    </xf>
    <xf numFmtId="0" fontId="0" fillId="2" borderId="1" xfId="1" applyNumberFormat="1" applyFont="1" applyFill="1" applyBorder="1" applyAlignment="1">
      <alignment horizontal="center" vertical="center"/>
    </xf>
    <xf numFmtId="0" fontId="0" fillId="2" borderId="35" xfId="1" applyNumberFormat="1" applyFont="1" applyFill="1" applyBorder="1" applyAlignment="1">
      <alignment horizontal="center" vertical="center"/>
    </xf>
    <xf numFmtId="0" fontId="0" fillId="3" borderId="1" xfId="1" applyNumberFormat="1" applyFont="1" applyFill="1" applyBorder="1" applyAlignment="1">
      <alignment horizontal="center" vertical="center"/>
    </xf>
    <xf numFmtId="0" fontId="0" fillId="3" borderId="35" xfId="1" applyNumberFormat="1" applyFont="1" applyFill="1" applyBorder="1" applyAlignment="1">
      <alignment horizontal="center" vertical="center"/>
    </xf>
    <xf numFmtId="0" fontId="0" fillId="9" borderId="1" xfId="1" applyNumberFormat="1" applyFont="1" applyFill="1" applyBorder="1" applyAlignment="1">
      <alignment horizontal="center" vertical="center"/>
    </xf>
    <xf numFmtId="0" fontId="0" fillId="9" borderId="35" xfId="1" applyNumberFormat="1" applyFont="1" applyFill="1" applyBorder="1" applyAlignment="1">
      <alignment horizontal="center" vertical="center"/>
    </xf>
    <xf numFmtId="0" fontId="0" fillId="10" borderId="1" xfId="1" applyNumberFormat="1" applyFont="1" applyFill="1" applyBorder="1" applyAlignment="1">
      <alignment horizontal="center" vertical="center"/>
    </xf>
    <xf numFmtId="0" fontId="0" fillId="10" borderId="35" xfId="1" applyNumberFormat="1" applyFont="1" applyFill="1" applyBorder="1" applyAlignment="1">
      <alignment horizontal="center" vertical="center"/>
    </xf>
    <xf numFmtId="0" fontId="1" fillId="0" borderId="0" xfId="0" applyFont="1" applyAlignment="1">
      <alignment horizontal="center" vertical="center"/>
    </xf>
    <xf numFmtId="0" fontId="0" fillId="0" borderId="0" xfId="1" applyNumberFormat="1" applyFont="1" applyFill="1" applyBorder="1" applyAlignment="1">
      <alignment horizontal="center" vertical="center"/>
    </xf>
    <xf numFmtId="44" fontId="0" fillId="0" borderId="0" xfId="1" applyFont="1" applyFill="1" applyBorder="1" applyAlignment="1">
      <alignment horizontal="center" vertical="center"/>
    </xf>
    <xf numFmtId="3" fontId="0" fillId="0" borderId="46" xfId="0" applyNumberFormat="1" applyBorder="1" applyAlignment="1">
      <alignment horizontal="center" vertical="center"/>
    </xf>
    <xf numFmtId="3" fontId="0" fillId="0" borderId="8" xfId="0" applyNumberFormat="1" applyBorder="1" applyAlignment="1">
      <alignment horizontal="center" vertical="center"/>
    </xf>
    <xf numFmtId="3" fontId="0" fillId="6" borderId="0" xfId="0" applyNumberFormat="1" applyFill="1" applyAlignment="1">
      <alignment horizontal="center" vertical="center"/>
    </xf>
    <xf numFmtId="4" fontId="0" fillId="0" borderId="46" xfId="0" applyNumberFormat="1" applyBorder="1" applyAlignment="1">
      <alignment horizontal="center" vertical="center"/>
    </xf>
    <xf numFmtId="0" fontId="2" fillId="5" borderId="48" xfId="0" applyFont="1" applyFill="1" applyBorder="1" applyAlignment="1">
      <alignment horizontal="center" vertical="center"/>
    </xf>
    <xf numFmtId="0" fontId="2" fillId="5" borderId="49" xfId="0" applyFont="1" applyFill="1" applyBorder="1" applyAlignment="1">
      <alignment horizontal="center" vertical="center"/>
    </xf>
    <xf numFmtId="0" fontId="2" fillId="5" borderId="50" xfId="0" applyFont="1" applyFill="1" applyBorder="1" applyAlignment="1">
      <alignment horizontal="center" vertical="center"/>
    </xf>
    <xf numFmtId="0" fontId="2" fillId="5" borderId="51" xfId="0" applyFont="1" applyFill="1" applyBorder="1" applyAlignment="1">
      <alignment horizontal="center" vertical="center"/>
    </xf>
    <xf numFmtId="4" fontId="0" fillId="0" borderId="52" xfId="0" applyNumberFormat="1" applyBorder="1" applyAlignment="1">
      <alignment horizontal="center" vertical="center"/>
    </xf>
    <xf numFmtId="3" fontId="0" fillId="0" borderId="53" xfId="0" applyNumberFormat="1" applyBorder="1" applyAlignment="1">
      <alignment horizontal="center" vertical="center"/>
    </xf>
    <xf numFmtId="3" fontId="0" fillId="0" borderId="52" xfId="0" applyNumberFormat="1" applyBorder="1" applyAlignment="1">
      <alignment horizontal="center" vertical="center"/>
    </xf>
    <xf numFmtId="3" fontId="0" fillId="0" borderId="54" xfId="0" applyNumberFormat="1" applyBorder="1" applyAlignment="1">
      <alignment horizontal="center" vertical="center"/>
    </xf>
    <xf numFmtId="3" fontId="0" fillId="0" borderId="35" xfId="0" applyNumberFormat="1" applyBorder="1" applyAlignment="1">
      <alignment horizontal="center" vertical="center"/>
    </xf>
    <xf numFmtId="3" fontId="0" fillId="0" borderId="28" xfId="0" applyNumberFormat="1" applyBorder="1" applyAlignment="1">
      <alignment horizontal="center" vertical="center"/>
    </xf>
    <xf numFmtId="3" fontId="0" fillId="0" borderId="36" xfId="0" applyNumberFormat="1" applyBorder="1" applyAlignment="1">
      <alignment horizontal="center" vertical="center"/>
    </xf>
    <xf numFmtId="2" fontId="3" fillId="0" borderId="15" xfId="0" applyNumberFormat="1" applyFont="1" applyBorder="1" applyAlignment="1">
      <alignment horizontal="center" vertical="center"/>
    </xf>
    <xf numFmtId="2" fontId="3" fillId="0" borderId="4" xfId="0" applyNumberFormat="1" applyFont="1" applyBorder="1" applyAlignment="1">
      <alignment horizontal="center" vertical="center"/>
    </xf>
    <xf numFmtId="2" fontId="3" fillId="0" borderId="13" xfId="0" applyNumberFormat="1" applyFont="1" applyBorder="1" applyAlignment="1">
      <alignment horizontal="center" vertical="center"/>
    </xf>
    <xf numFmtId="2" fontId="3" fillId="0" borderId="58" xfId="0" applyNumberFormat="1" applyFont="1" applyBorder="1" applyAlignment="1">
      <alignment horizontal="center" vertical="center"/>
    </xf>
    <xf numFmtId="10" fontId="0" fillId="4" borderId="28" xfId="3" applyNumberFormat="1" applyFont="1" applyFill="1" applyBorder="1" applyAlignment="1">
      <alignment horizontal="center" vertical="center"/>
    </xf>
    <xf numFmtId="10" fontId="0" fillId="2" borderId="1" xfId="3" applyNumberFormat="1" applyFont="1" applyFill="1" applyBorder="1" applyAlignment="1">
      <alignment horizontal="center" vertical="center"/>
    </xf>
    <xf numFmtId="10" fontId="0" fillId="3" borderId="1" xfId="3" applyNumberFormat="1" applyFont="1" applyFill="1" applyBorder="1" applyAlignment="1">
      <alignment horizontal="center" vertical="center"/>
    </xf>
    <xf numFmtId="10" fontId="0" fillId="9" borderId="1" xfId="3" applyNumberFormat="1" applyFont="1" applyFill="1" applyBorder="1" applyAlignment="1">
      <alignment horizontal="center" vertical="center"/>
    </xf>
    <xf numFmtId="10" fontId="0" fillId="10" borderId="1" xfId="3" applyNumberFormat="1" applyFont="1" applyFill="1" applyBorder="1" applyAlignment="1">
      <alignment horizontal="center" vertical="center"/>
    </xf>
    <xf numFmtId="0" fontId="0" fillId="6" borderId="4" xfId="0" applyFill="1" applyBorder="1" applyAlignment="1">
      <alignment horizontal="center" vertical="center"/>
    </xf>
    <xf numFmtId="49" fontId="0" fillId="8" borderId="4" xfId="0" applyNumberFormat="1" applyFill="1" applyBorder="1" applyAlignment="1">
      <alignment horizontal="center" vertical="center"/>
    </xf>
    <xf numFmtId="49" fontId="0" fillId="2" borderId="4" xfId="0" applyNumberFormat="1" applyFill="1" applyBorder="1" applyAlignment="1">
      <alignment horizontal="center" vertical="center"/>
    </xf>
    <xf numFmtId="49" fontId="0" fillId="3" borderId="4" xfId="0" applyNumberFormat="1" applyFill="1" applyBorder="1" applyAlignment="1">
      <alignment horizontal="center" vertical="center"/>
    </xf>
    <xf numFmtId="49" fontId="0" fillId="9" borderId="4" xfId="0" applyNumberFormat="1" applyFill="1" applyBorder="1" applyAlignment="1">
      <alignment horizontal="center" vertical="center"/>
    </xf>
    <xf numFmtId="49" fontId="0" fillId="10" borderId="4" xfId="0" applyNumberFormat="1" applyFill="1" applyBorder="1" applyAlignment="1">
      <alignment horizontal="center" vertical="center"/>
    </xf>
    <xf numFmtId="2" fontId="0" fillId="0" borderId="1" xfId="0" applyNumberFormat="1" applyBorder="1" applyAlignment="1">
      <alignment horizontal="center" vertical="center"/>
    </xf>
    <xf numFmtId="9" fontId="0" fillId="0" borderId="1" xfId="3" applyFont="1" applyBorder="1" applyAlignment="1">
      <alignment horizontal="center" vertical="center"/>
    </xf>
    <xf numFmtId="9" fontId="0" fillId="8" borderId="4" xfId="3" applyFont="1" applyFill="1" applyBorder="1" applyAlignment="1">
      <alignment horizontal="center" vertical="center"/>
    </xf>
    <xf numFmtId="9" fontId="0" fillId="2" borderId="4" xfId="3" applyFont="1" applyFill="1" applyBorder="1" applyAlignment="1">
      <alignment horizontal="center" vertical="center"/>
    </xf>
    <xf numFmtId="9" fontId="0" fillId="3" borderId="4" xfId="3" applyFont="1" applyFill="1" applyBorder="1" applyAlignment="1">
      <alignment horizontal="center" vertical="center"/>
    </xf>
    <xf numFmtId="9" fontId="0" fillId="9" borderId="4" xfId="3" applyFont="1" applyFill="1" applyBorder="1" applyAlignment="1">
      <alignment horizontal="center" vertical="center"/>
    </xf>
    <xf numFmtId="9" fontId="0" fillId="10" borderId="4" xfId="3" applyFont="1" applyFill="1" applyBorder="1" applyAlignment="1">
      <alignment horizontal="center" vertical="center"/>
    </xf>
    <xf numFmtId="0" fontId="0" fillId="5" borderId="1" xfId="0" applyFill="1" applyBorder="1" applyAlignment="1">
      <alignment horizontal="center" vertical="center"/>
    </xf>
    <xf numFmtId="0" fontId="5" fillId="8"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9" borderId="1" xfId="0" applyFont="1" applyFill="1" applyBorder="1" applyAlignment="1">
      <alignment horizontal="center" vertical="center"/>
    </xf>
    <xf numFmtId="0" fontId="2" fillId="10" borderId="1" xfId="0" applyFont="1" applyFill="1" applyBorder="1" applyAlignment="1">
      <alignment horizontal="center" vertical="center"/>
    </xf>
    <xf numFmtId="0" fontId="2" fillId="4" borderId="1" xfId="0" applyFont="1" applyFill="1" applyBorder="1" applyAlignment="1">
      <alignment horizontal="center" vertical="center"/>
    </xf>
    <xf numFmtId="2" fontId="3" fillId="8" borderId="1" xfId="0" applyNumberFormat="1" applyFont="1" applyFill="1" applyBorder="1" applyAlignment="1">
      <alignment horizontal="center" vertical="center"/>
    </xf>
    <xf numFmtId="2" fontId="3" fillId="2" borderId="1" xfId="0" applyNumberFormat="1" applyFont="1" applyFill="1" applyBorder="1" applyAlignment="1">
      <alignment horizontal="center" vertical="center"/>
    </xf>
    <xf numFmtId="0" fontId="5" fillId="8" borderId="59" xfId="0" applyFont="1" applyFill="1" applyBorder="1" applyAlignment="1">
      <alignment horizontal="center" vertical="center"/>
    </xf>
    <xf numFmtId="0" fontId="2" fillId="2" borderId="59" xfId="0" applyFont="1" applyFill="1" applyBorder="1" applyAlignment="1">
      <alignment horizontal="center" vertical="center"/>
    </xf>
    <xf numFmtId="0" fontId="2" fillId="3" borderId="59" xfId="0" applyFont="1" applyFill="1" applyBorder="1" applyAlignment="1">
      <alignment horizontal="center" vertical="center"/>
    </xf>
    <xf numFmtId="0" fontId="2" fillId="9" borderId="59" xfId="0" applyFont="1" applyFill="1" applyBorder="1" applyAlignment="1">
      <alignment horizontal="center" vertical="center"/>
    </xf>
    <xf numFmtId="2" fontId="0" fillId="0" borderId="3" xfId="0" applyNumberFormat="1" applyBorder="1" applyAlignment="1">
      <alignment horizontal="center" vertical="center"/>
    </xf>
    <xf numFmtId="0" fontId="2" fillId="5" borderId="60" xfId="0" applyFont="1" applyFill="1" applyBorder="1" applyAlignment="1">
      <alignment horizontal="center" vertical="center"/>
    </xf>
    <xf numFmtId="0" fontId="2" fillId="5" borderId="61" xfId="0" applyFont="1" applyFill="1" applyBorder="1" applyAlignment="1">
      <alignment horizontal="center" vertical="center"/>
    </xf>
    <xf numFmtId="0" fontId="2" fillId="5" borderId="8" xfId="0" applyFont="1" applyFill="1" applyBorder="1" applyAlignment="1">
      <alignment horizontal="center" vertical="center"/>
    </xf>
    <xf numFmtId="0" fontId="2" fillId="10" borderId="6" xfId="0" applyFont="1" applyFill="1" applyBorder="1" applyAlignment="1">
      <alignment horizontal="center" vertical="center"/>
    </xf>
    <xf numFmtId="2" fontId="0" fillId="0" borderId="2" xfId="0" applyNumberFormat="1" applyBorder="1" applyAlignment="1">
      <alignment horizontal="center" vertical="center"/>
    </xf>
    <xf numFmtId="2" fontId="0" fillId="0" borderId="5" xfId="0" applyNumberFormat="1" applyBorder="1" applyAlignment="1">
      <alignment horizontal="center" vertical="center"/>
    </xf>
    <xf numFmtId="2" fontId="0" fillId="0" borderId="35" xfId="0" applyNumberFormat="1" applyBorder="1" applyAlignment="1">
      <alignment horizontal="center" vertical="center"/>
    </xf>
    <xf numFmtId="2" fontId="0" fillId="0" borderId="28" xfId="0" applyNumberFormat="1" applyBorder="1" applyAlignment="1">
      <alignment horizontal="center" vertical="center"/>
    </xf>
    <xf numFmtId="2" fontId="0" fillId="0" borderId="36" xfId="0" applyNumberFormat="1" applyBorder="1" applyAlignment="1">
      <alignment horizontal="center" vertical="center"/>
    </xf>
    <xf numFmtId="2" fontId="0" fillId="6" borderId="0" xfId="0" applyNumberFormat="1" applyFill="1" applyAlignment="1">
      <alignment horizontal="center" vertical="center"/>
    </xf>
    <xf numFmtId="0" fontId="0" fillId="10" borderId="14" xfId="0" applyFill="1" applyBorder="1" applyAlignment="1">
      <alignment horizontal="center" vertical="center"/>
    </xf>
    <xf numFmtId="9" fontId="0" fillId="0" borderId="13" xfId="3" applyFont="1" applyBorder="1" applyAlignment="1">
      <alignment horizontal="center" vertical="center"/>
    </xf>
    <xf numFmtId="1" fontId="0" fillId="2" borderId="1" xfId="0" applyNumberFormat="1" applyFill="1" applyBorder="1" applyAlignment="1">
      <alignment horizontal="center" vertical="center"/>
    </xf>
    <xf numFmtId="1" fontId="0" fillId="9" borderId="1" xfId="0" applyNumberFormat="1" applyFill="1" applyBorder="1" applyAlignment="1">
      <alignment horizontal="center" vertical="center"/>
    </xf>
    <xf numFmtId="1" fontId="0" fillId="8" borderId="4" xfId="0" applyNumberFormat="1" applyFill="1" applyBorder="1" applyAlignment="1">
      <alignment horizontal="center" vertical="center"/>
    </xf>
    <xf numFmtId="1" fontId="0" fillId="2" borderId="4"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2" fontId="3" fillId="6" borderId="1" xfId="0" applyNumberFormat="1" applyFont="1" applyFill="1" applyBorder="1" applyAlignment="1">
      <alignment horizontal="center" vertical="center"/>
    </xf>
    <xf numFmtId="2" fontId="0" fillId="6" borderId="1" xfId="0" applyNumberFormat="1" applyFill="1" applyBorder="1" applyAlignment="1">
      <alignment horizontal="center" vertical="center"/>
    </xf>
    <xf numFmtId="17" fontId="0" fillId="9" borderId="4" xfId="0" applyNumberFormat="1" applyFill="1" applyBorder="1" applyAlignment="1">
      <alignment horizontal="center" vertical="center"/>
    </xf>
    <xf numFmtId="49" fontId="0" fillId="4" borderId="4" xfId="0" applyNumberFormat="1" applyFill="1" applyBorder="1" applyAlignment="1">
      <alignment horizontal="center" vertical="center"/>
    </xf>
    <xf numFmtId="1" fontId="0" fillId="4" borderId="4" xfId="0" applyNumberFormat="1" applyFill="1" applyBorder="1" applyAlignment="1">
      <alignment horizontal="center" vertical="center"/>
    </xf>
    <xf numFmtId="2" fontId="0" fillId="4" borderId="1" xfId="0" applyNumberFormat="1" applyFill="1" applyBorder="1" applyAlignment="1">
      <alignment horizontal="center" vertical="center"/>
    </xf>
    <xf numFmtId="2" fontId="0" fillId="6" borderId="4" xfId="0" applyNumberFormat="1" applyFill="1" applyBorder="1" applyAlignment="1">
      <alignment horizontal="center" vertical="center"/>
    </xf>
    <xf numFmtId="0" fontId="0" fillId="4" borderId="1" xfId="0" applyFill="1" applyBorder="1" applyAlignment="1">
      <alignment horizontal="center" vertical="center"/>
    </xf>
    <xf numFmtId="0" fontId="0" fillId="6" borderId="1" xfId="0" applyFill="1" applyBorder="1" applyAlignment="1">
      <alignment horizontal="center" vertical="center"/>
    </xf>
    <xf numFmtId="164" fontId="0" fillId="0" borderId="1" xfId="0" applyNumberFormat="1" applyBorder="1" applyAlignment="1">
      <alignment horizontal="center" vertical="center"/>
    </xf>
    <xf numFmtId="9" fontId="0" fillId="4" borderId="4" xfId="3" applyFont="1" applyFill="1" applyBorder="1" applyAlignment="1">
      <alignment horizontal="center" vertical="center"/>
    </xf>
    <xf numFmtId="0" fontId="1" fillId="13" borderId="10" xfId="0" applyFont="1" applyFill="1" applyBorder="1" applyAlignment="1">
      <alignment horizontal="center" vertical="center"/>
    </xf>
    <xf numFmtId="0" fontId="1" fillId="13" borderId="47" xfId="0" applyFont="1" applyFill="1" applyBorder="1" applyAlignment="1">
      <alignment horizontal="center" vertical="center"/>
    </xf>
    <xf numFmtId="0" fontId="1" fillId="13" borderId="11" xfId="0" applyFont="1" applyFill="1" applyBorder="1" applyAlignment="1">
      <alignment horizontal="center" vertical="center"/>
    </xf>
    <xf numFmtId="0" fontId="1" fillId="14" borderId="30" xfId="0" applyFont="1" applyFill="1" applyBorder="1" applyAlignment="1">
      <alignment horizontal="center" vertical="center"/>
    </xf>
    <xf numFmtId="0" fontId="1" fillId="14" borderId="37" xfId="0" applyFont="1" applyFill="1" applyBorder="1" applyAlignment="1">
      <alignment horizontal="center" vertical="center"/>
    </xf>
    <xf numFmtId="0" fontId="1" fillId="14" borderId="38" xfId="0" applyFont="1" applyFill="1" applyBorder="1" applyAlignment="1">
      <alignment horizontal="center" vertical="center"/>
    </xf>
    <xf numFmtId="44" fontId="2" fillId="16" borderId="40" xfId="1" applyFont="1" applyFill="1" applyBorder="1" applyAlignment="1">
      <alignment horizontal="center" vertical="center"/>
    </xf>
    <xf numFmtId="44" fontId="2" fillId="16" borderId="41" xfId="1" applyFont="1" applyFill="1" applyBorder="1" applyAlignment="1">
      <alignment horizontal="center" vertical="center"/>
    </xf>
    <xf numFmtId="0" fontId="1" fillId="13" borderId="55" xfId="0" applyFont="1" applyFill="1" applyBorder="1" applyAlignment="1">
      <alignment horizontal="center" vertical="center"/>
    </xf>
    <xf numFmtId="0" fontId="1" fillId="13" borderId="56" xfId="0" applyFont="1" applyFill="1" applyBorder="1" applyAlignment="1">
      <alignment horizontal="center" vertical="center"/>
    </xf>
    <xf numFmtId="0" fontId="1" fillId="13" borderId="57" xfId="0" applyFont="1" applyFill="1" applyBorder="1" applyAlignment="1">
      <alignment horizontal="center" vertical="center"/>
    </xf>
    <xf numFmtId="0" fontId="2" fillId="7" borderId="7" xfId="0" applyFont="1" applyFill="1" applyBorder="1" applyAlignment="1">
      <alignment horizontal="center"/>
    </xf>
    <xf numFmtId="0" fontId="2" fillId="7" borderId="0" xfId="0" applyFont="1" applyFill="1" applyAlignment="1">
      <alignment horizontal="center"/>
    </xf>
    <xf numFmtId="0" fontId="1" fillId="15" borderId="0" xfId="0" applyFont="1" applyFill="1" applyAlignment="1">
      <alignment horizontal="center" vertical="center"/>
    </xf>
    <xf numFmtId="0" fontId="7" fillId="5" borderId="0" xfId="0" applyFont="1" applyFill="1" applyAlignment="1">
      <alignment horizontal="center" vertical="center"/>
    </xf>
    <xf numFmtId="0" fontId="2" fillId="5" borderId="0" xfId="0" applyFont="1" applyFill="1" applyAlignment="1">
      <alignment horizontal="center"/>
    </xf>
    <xf numFmtId="0" fontId="0" fillId="0" borderId="0" xfId="0" applyAlignment="1">
      <alignment horizontal="center"/>
    </xf>
    <xf numFmtId="0" fontId="1" fillId="6" borderId="21" xfId="0" applyFont="1" applyFill="1" applyBorder="1" applyAlignment="1">
      <alignment horizontal="center"/>
    </xf>
    <xf numFmtId="0" fontId="1" fillId="6" borderId="22" xfId="0" applyFont="1" applyFill="1" applyBorder="1" applyAlignment="1">
      <alignment horizontal="center"/>
    </xf>
    <xf numFmtId="0" fontId="1" fillId="6" borderId="23" xfId="0" applyFont="1" applyFill="1" applyBorder="1" applyAlignment="1">
      <alignment horizontal="center"/>
    </xf>
    <xf numFmtId="0" fontId="1" fillId="6" borderId="20" xfId="0" applyFont="1" applyFill="1" applyBorder="1" applyAlignment="1">
      <alignment horizontal="center"/>
    </xf>
    <xf numFmtId="0" fontId="1" fillId="6" borderId="24" xfId="0" applyFont="1" applyFill="1" applyBorder="1" applyAlignment="1">
      <alignment horizontal="center"/>
    </xf>
    <xf numFmtId="0" fontId="1" fillId="6" borderId="25" xfId="0" applyFont="1" applyFill="1" applyBorder="1" applyAlignment="1">
      <alignment horizontal="center"/>
    </xf>
  </cellXfs>
  <cellStyles count="4">
    <cellStyle name="Comma" xfId="2" builtinId="3"/>
    <cellStyle name="Currency" xfId="1" builtinId="4"/>
    <cellStyle name="Normal" xfId="0" builtinId="0"/>
    <cellStyle name="Percent" xfId="3" builtinId="5"/>
  </cellStyles>
  <dxfs count="27">
    <dxf>
      <fill>
        <patternFill>
          <bgColor rgb="FF7030A0"/>
        </patternFill>
      </fill>
    </dxf>
    <dxf>
      <fill>
        <patternFill>
          <bgColor rgb="FF00B0F0"/>
        </patternFill>
      </fill>
    </dxf>
    <dxf>
      <fill>
        <patternFill>
          <bgColor rgb="FFFF0000"/>
        </patternFill>
      </fill>
    </dxf>
    <dxf>
      <fill>
        <patternFill>
          <bgColor rgb="FF00B050"/>
        </patternFill>
      </fill>
    </dxf>
    <dxf>
      <fill>
        <patternFill>
          <bgColor theme="5"/>
        </patternFill>
      </fill>
    </dxf>
    <dxf>
      <fill>
        <patternFill>
          <bgColor rgb="FFFF0066"/>
        </patternFill>
      </fill>
    </dxf>
    <dxf>
      <fill>
        <patternFill>
          <bgColor rgb="FF7030A0"/>
        </patternFill>
      </fill>
    </dxf>
    <dxf>
      <fill>
        <patternFill>
          <bgColor rgb="FF00B0F0"/>
        </patternFill>
      </fill>
    </dxf>
    <dxf>
      <fill>
        <patternFill>
          <bgColor rgb="FFFF0000"/>
        </patternFill>
      </fill>
    </dxf>
    <dxf>
      <fill>
        <patternFill>
          <bgColor rgb="FF00B050"/>
        </patternFill>
      </fill>
    </dxf>
    <dxf>
      <fill>
        <patternFill>
          <bgColor theme="5"/>
        </patternFill>
      </fill>
    </dxf>
    <dxf>
      <fill>
        <patternFill>
          <bgColor rgb="FFFF0066"/>
        </patternFill>
      </fill>
    </dxf>
    <dxf>
      <numFmt numFmtId="2" formatCode="0.00"/>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right style="thin">
          <color indexed="64"/>
        </right>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2" tint="-0.499984740745262"/>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0066"/>
      <color rgb="FF663300"/>
      <color rgb="FFFF3300"/>
      <color rgb="FFFF000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9AD0AD-C480-43E4-8ABB-2B46FA88D0DC}" name="Table1" displayName="Table1" ref="J16:T22" totalsRowShown="0" headerRowDxfId="26" headerRowBorderDxfId="25" tableBorderDxfId="24" totalsRowBorderDxfId="23">
  <autoFilter ref="J16:T22" xr:uid="{8B9AD0AD-C480-43E4-8ABB-2B46FA88D0DC}"/>
  <tableColumns count="11">
    <tableColumn id="1" xr3:uid="{E2C586E9-D656-4686-B683-040FE99F38BA}" name="Bowler" dataDxfId="22"/>
    <tableColumn id="2" xr3:uid="{404D44E6-411C-4B10-BCFA-0C68FBB04501}" name="Frame 1" dataDxfId="21"/>
    <tableColumn id="3" xr3:uid="{69D14E14-2925-4DD0-A7CE-28885B9AD030}" name="Frame 2" dataDxfId="20"/>
    <tableColumn id="4" xr3:uid="{C31BE622-8CCC-4807-9653-57C4AD0BFB42}" name="Frame 3" dataDxfId="19"/>
    <tableColumn id="5" xr3:uid="{2903A408-8F55-4A67-A274-BEE9A67CA5E2}" name="Frame 4" dataDxfId="18"/>
    <tableColumn id="6" xr3:uid="{AC7587F3-4FF8-4E58-B7EB-A3AA853A46BC}" name="Frame 5" dataDxfId="17"/>
    <tableColumn id="7" xr3:uid="{B466CE0D-FB0D-4BCF-9598-7EC483F892F4}" name="Frame 6" dataDxfId="16"/>
    <tableColumn id="8" xr3:uid="{CD9F5006-A0B4-4845-A89E-BAE22FB3FF6B}" name="Frame 7" dataDxfId="15"/>
    <tableColumn id="9" xr3:uid="{A6EC5E42-57E0-4424-9E5D-49824E857F8D}" name="Frame 8" dataDxfId="14"/>
    <tableColumn id="10" xr3:uid="{80E2A1BB-F513-4E67-BFED-BDFCE1A33EA3}" name="Frame 9" dataDxfId="13"/>
    <tableColumn id="11" xr3:uid="{B6FF26FC-81D3-4A34-AB9F-C1E00DC86EFC}" name="Frame 10" data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E873F-1708-4B92-ABB0-7F6B022081BE}">
  <dimension ref="A1:AD71"/>
  <sheetViews>
    <sheetView tabSelected="1" topLeftCell="A2" zoomScaleNormal="100" workbookViewId="0">
      <selection activeCell="H3" sqref="H3"/>
    </sheetView>
  </sheetViews>
  <sheetFormatPr defaultRowHeight="14.5" x14ac:dyDescent="0.35"/>
  <cols>
    <col min="1" max="1" width="22.7265625" customWidth="1"/>
    <col min="2" max="2" width="19.54296875" customWidth="1"/>
    <col min="3" max="3" width="12.1796875" customWidth="1"/>
    <col min="4" max="4" width="18.453125" customWidth="1"/>
    <col min="5" max="5" width="18" customWidth="1"/>
    <col min="6" max="6" width="20.54296875" customWidth="1"/>
    <col min="7" max="7" width="15.7265625" customWidth="1"/>
    <col min="8" max="8" width="18.54296875" customWidth="1"/>
    <col min="9" max="9" width="18.7265625" customWidth="1"/>
    <col min="10" max="10" width="17.26953125" customWidth="1"/>
    <col min="11" max="11" width="18.26953125" customWidth="1"/>
    <col min="12" max="15" width="18.7265625" customWidth="1"/>
    <col min="16" max="16" width="9.1796875" style="2"/>
  </cols>
  <sheetData>
    <row r="1" spans="1:30" s="2" customFormat="1" ht="15" thickBot="1" x14ac:dyDescent="0.4"/>
    <row r="2" spans="1:30" ht="27" customHeight="1" thickBot="1" x14ac:dyDescent="0.4">
      <c r="A2" s="83" t="s">
        <v>157</v>
      </c>
      <c r="B2" s="236" t="s">
        <v>44</v>
      </c>
      <c r="C2" s="236"/>
      <c r="D2" s="84" t="s">
        <v>45</v>
      </c>
      <c r="E2" s="84" t="s">
        <v>219</v>
      </c>
      <c r="F2" s="84" t="s">
        <v>46</v>
      </c>
      <c r="G2" s="84" t="s">
        <v>47</v>
      </c>
      <c r="H2" s="84" t="s">
        <v>48</v>
      </c>
      <c r="I2" s="84" t="s">
        <v>178</v>
      </c>
      <c r="J2" s="84" t="s">
        <v>179</v>
      </c>
      <c r="K2" s="84" t="s">
        <v>182</v>
      </c>
      <c r="L2" s="85" t="s">
        <v>214</v>
      </c>
      <c r="M2" s="85" t="s">
        <v>216</v>
      </c>
      <c r="N2" s="85" t="s">
        <v>217</v>
      </c>
      <c r="O2" s="85" t="s">
        <v>220</v>
      </c>
      <c r="AC2" s="150"/>
      <c r="AD2" s="150"/>
    </row>
    <row r="3" spans="1:30" ht="35.15" customHeight="1" x14ac:dyDescent="0.35">
      <c r="A3" s="95" t="s">
        <v>0</v>
      </c>
      <c r="B3" s="96" t="s">
        <v>330</v>
      </c>
      <c r="C3" s="97">
        <f>Misc!J2/(Misc!I2*3)</f>
        <v>0.83333333333333337</v>
      </c>
      <c r="D3" s="103">
        <f>Misc!B2/(Misc!I2*3)</f>
        <v>209.5</v>
      </c>
      <c r="E3" s="98">
        <f>210*(3*3)-(Misc!B2)</f>
        <v>633</v>
      </c>
      <c r="F3" s="98">
        <f>Misc!D2-Misc!E2</f>
        <v>59</v>
      </c>
      <c r="G3" s="98">
        <f>Misc!B2-Misc!C2</f>
        <v>-49</v>
      </c>
      <c r="H3" s="99">
        <f>AVERAGE('Opponents Average'!B2:B37)</f>
        <v>219.5</v>
      </c>
      <c r="I3" s="100">
        <f>SUM('Card Game'!B2:B109)</f>
        <v>1</v>
      </c>
      <c r="J3" s="97">
        <f>I3/((Misc!I2)*3)</f>
        <v>0.16666666666666666</v>
      </c>
      <c r="K3" s="101">
        <f>SUM(WeeklyDues!B$2:B$37)</f>
        <v>0</v>
      </c>
      <c r="L3" s="101">
        <f>1260-K3</f>
        <v>1260</v>
      </c>
      <c r="M3" s="140">
        <v>186</v>
      </c>
      <c r="N3" s="140">
        <v>192</v>
      </c>
      <c r="O3" s="141">
        <v>197</v>
      </c>
      <c r="AC3" s="151"/>
      <c r="AD3" s="151"/>
    </row>
    <row r="4" spans="1:30" ht="35.15" customHeight="1" x14ac:dyDescent="0.35">
      <c r="A4" s="73" t="s">
        <v>1</v>
      </c>
      <c r="B4" s="55" t="s">
        <v>346</v>
      </c>
      <c r="C4" s="56">
        <f>Misc!J3/(Misc!I3*3)</f>
        <v>0.33333333333333331</v>
      </c>
      <c r="D4" s="104">
        <f>Misc!B3/(Misc!I3*3)</f>
        <v>202.22222222222223</v>
      </c>
      <c r="E4" s="57">
        <f>203*(4*3)-(Misc!B3)</f>
        <v>616</v>
      </c>
      <c r="F4" s="57">
        <f>Misc!D3-Misc!E3</f>
        <v>-47</v>
      </c>
      <c r="G4" s="57">
        <f>Misc!B3-Misc!C3</f>
        <v>-89</v>
      </c>
      <c r="H4" s="58">
        <f>AVERAGE('Opponents Average'!C2:C37)</f>
        <v>197.66666666666666</v>
      </c>
      <c r="I4" s="216">
        <f>SUM('Card Game'!C2:C109)</f>
        <v>1</v>
      </c>
      <c r="J4" s="173">
        <f>I4/((Misc!I3)*3)</f>
        <v>0.1111111111111111</v>
      </c>
      <c r="K4" s="86">
        <f>SUM(WeeklyDues!C$2:C$37)</f>
        <v>0</v>
      </c>
      <c r="L4" s="86">
        <f>1260-K4</f>
        <v>1260</v>
      </c>
      <c r="M4" s="142">
        <v>197</v>
      </c>
      <c r="N4" s="142">
        <v>191</v>
      </c>
      <c r="O4" s="143">
        <v>192</v>
      </c>
      <c r="AC4" s="151"/>
      <c r="AD4" s="151"/>
    </row>
    <row r="5" spans="1:30" ht="35.15" customHeight="1" x14ac:dyDescent="0.35">
      <c r="A5" s="74" t="s">
        <v>2</v>
      </c>
      <c r="B5" s="59" t="s">
        <v>347</v>
      </c>
      <c r="C5" s="60">
        <f>Misc!J4/(Misc!I4*3)</f>
        <v>0.66666666666666663</v>
      </c>
      <c r="D5" s="105">
        <f>Misc!B4/(Misc!I4*3)</f>
        <v>208.88888888888889</v>
      </c>
      <c r="E5" s="61">
        <f>209*(4*3)-(Misc!B4)</f>
        <v>628</v>
      </c>
      <c r="F5" s="61">
        <f>Misc!D4-Misc!E4</f>
        <v>97</v>
      </c>
      <c r="G5" s="61">
        <f>Misc!B4-Misc!C4</f>
        <v>103</v>
      </c>
      <c r="H5" s="62">
        <f>AVERAGE('Opponents Average'!D2:D37)</f>
        <v>201.33333333333334</v>
      </c>
      <c r="I5" s="63">
        <f>SUM('Card Game'!D2:D109)</f>
        <v>2</v>
      </c>
      <c r="J5" s="174">
        <f>I5/((Misc!I4)*3)</f>
        <v>0.22222222222222221</v>
      </c>
      <c r="K5" s="87">
        <f>SUM(WeeklyDues!D$2:D$37)</f>
        <v>0</v>
      </c>
      <c r="L5" s="87">
        <f>1260-K5</f>
        <v>1260</v>
      </c>
      <c r="M5" s="144">
        <v>184</v>
      </c>
      <c r="N5" s="144">
        <v>193</v>
      </c>
      <c r="O5" s="145">
        <v>203</v>
      </c>
      <c r="AC5" s="151"/>
      <c r="AD5" s="151"/>
    </row>
    <row r="6" spans="1:30" ht="35.15" customHeight="1" x14ac:dyDescent="0.35">
      <c r="A6" s="75" t="s">
        <v>3</v>
      </c>
      <c r="B6" s="64" t="s">
        <v>348</v>
      </c>
      <c r="C6" s="65">
        <f>Misc!J5/(Misc!I5*3)</f>
        <v>0.44444444444444442</v>
      </c>
      <c r="D6" s="106">
        <f>Misc!B5/(Misc!I5*3)</f>
        <v>197.44444444444446</v>
      </c>
      <c r="E6" s="66">
        <f>198*(4*3)-(Misc!B5)</f>
        <v>599</v>
      </c>
      <c r="F6" s="66">
        <f>Misc!D5-Misc!E5</f>
        <v>-67</v>
      </c>
      <c r="G6" s="66">
        <f>Misc!B5-Misc!C5</f>
        <v>-64</v>
      </c>
      <c r="H6" s="67">
        <f>AVERAGE('Opponents Average'!E2:E37)</f>
        <v>201</v>
      </c>
      <c r="I6" s="217">
        <f>SUM('Card Game'!E2:E109)</f>
        <v>3</v>
      </c>
      <c r="J6" s="175">
        <f>I6/((Misc!I5)*3)</f>
        <v>0.33333333333333331</v>
      </c>
      <c r="K6" s="88">
        <f>SUM(WeeklyDues!E$2:E$37)</f>
        <v>0</v>
      </c>
      <c r="L6" s="88">
        <f>1260-K6</f>
        <v>1260</v>
      </c>
      <c r="M6" s="146">
        <v>199</v>
      </c>
      <c r="N6" s="146">
        <v>199</v>
      </c>
      <c r="O6" s="147">
        <v>202</v>
      </c>
      <c r="AC6" s="151"/>
      <c r="AD6" s="151"/>
    </row>
    <row r="7" spans="1:30" ht="35.15" customHeight="1" x14ac:dyDescent="0.35">
      <c r="A7" s="76" t="s">
        <v>4</v>
      </c>
      <c r="B7" s="68" t="s">
        <v>331</v>
      </c>
      <c r="C7" s="69">
        <f>Misc!J6/(Misc!I6*3)</f>
        <v>0.66666666666666663</v>
      </c>
      <c r="D7" s="107">
        <f>Misc!B6/(Misc!I6*3)</f>
        <v>179.66666666666666</v>
      </c>
      <c r="E7" s="70">
        <f>180*(3*3)-(Misc!B6)</f>
        <v>542</v>
      </c>
      <c r="F7" s="70">
        <f>Misc!D6-Misc!E6</f>
        <v>-24</v>
      </c>
      <c r="G7" s="70">
        <f>Misc!B6-Misc!C6</f>
        <v>-36</v>
      </c>
      <c r="H7" s="71">
        <f>AVERAGE('Opponents Average'!F2:F37)</f>
        <v>195</v>
      </c>
      <c r="I7" s="72">
        <f>SUM('Card Game'!F2:F109)</f>
        <v>0</v>
      </c>
      <c r="J7" s="176">
        <f>I7/((Misc!I6)*3)</f>
        <v>0</v>
      </c>
      <c r="K7" s="89">
        <f>SUM(WeeklyDues!F$2:F$37)</f>
        <v>0</v>
      </c>
      <c r="L7" s="89">
        <f>1260-K7</f>
        <v>1260</v>
      </c>
      <c r="M7" s="148" t="s">
        <v>218</v>
      </c>
      <c r="N7" s="148">
        <v>189</v>
      </c>
      <c r="O7" s="149">
        <v>192</v>
      </c>
      <c r="AC7" s="151"/>
      <c r="AD7" s="151"/>
    </row>
    <row r="8" spans="1:30" ht="35.15" customHeight="1" thickBot="1" x14ac:dyDescent="0.4">
      <c r="A8" s="77" t="s">
        <v>5</v>
      </c>
      <c r="B8" s="78" t="s">
        <v>349</v>
      </c>
      <c r="C8" s="79">
        <f>SUM(Ron!C1:C100)/(Ron!L2*3)</f>
        <v>0.33333333333333331</v>
      </c>
      <c r="D8" s="108">
        <f>AVERAGE(Ron!B1:B100)</f>
        <v>192.33333333333334</v>
      </c>
      <c r="E8" s="80">
        <f>193*(2*3)-(Misc!B7)</f>
        <v>581</v>
      </c>
      <c r="F8" s="80">
        <f>SUM(Ron!H2:H100)-SUM(Ron!I2:I100)</f>
        <v>-9</v>
      </c>
      <c r="G8" s="80">
        <f>SUM(Ron!B2:B100)-SUM(Ron!D2:D100)</f>
        <v>63</v>
      </c>
      <c r="H8" s="81">
        <f>AVERAGE(Ron!G2:G100)</f>
        <v>164</v>
      </c>
      <c r="I8" s="82">
        <f>SUM('Card Game'!G2:G109)</f>
        <v>1</v>
      </c>
      <c r="J8" s="172">
        <f>I8/((Misc!I7)*3)</f>
        <v>0.33333333333333331</v>
      </c>
      <c r="K8" s="102"/>
      <c r="L8" s="139"/>
      <c r="M8" s="81">
        <v>185</v>
      </c>
      <c r="N8" s="81">
        <v>220</v>
      </c>
      <c r="O8" s="81">
        <v>195</v>
      </c>
      <c r="AC8" s="152"/>
      <c r="AD8" s="152"/>
    </row>
    <row r="9" spans="1:30" x14ac:dyDescent="0.35">
      <c r="A9" s="2"/>
      <c r="B9" s="2"/>
      <c r="C9" s="2"/>
      <c r="D9" s="2"/>
      <c r="E9" s="2"/>
      <c r="F9" s="2"/>
      <c r="G9" s="2"/>
      <c r="H9" s="2"/>
      <c r="I9" s="2"/>
      <c r="J9" s="2"/>
      <c r="K9" s="2"/>
      <c r="L9" s="2"/>
      <c r="M9" s="2"/>
      <c r="N9" s="2"/>
      <c r="O9" s="2"/>
    </row>
    <row r="10" spans="1:30" ht="15" thickBot="1" x14ac:dyDescent="0.4">
      <c r="A10" s="2"/>
      <c r="B10" s="2"/>
      <c r="C10" s="2"/>
      <c r="D10" s="2"/>
      <c r="E10" s="2"/>
      <c r="F10" s="2"/>
      <c r="G10" s="2"/>
      <c r="H10" s="2"/>
      <c r="I10" s="2"/>
      <c r="J10" s="2"/>
      <c r="K10" s="2"/>
      <c r="L10" s="2"/>
      <c r="M10" s="2"/>
      <c r="N10" s="2"/>
      <c r="O10" s="2"/>
    </row>
    <row r="11" spans="1:30" ht="33.75" customHeight="1" thickBot="1" x14ac:dyDescent="0.4">
      <c r="A11" s="36" t="s">
        <v>170</v>
      </c>
      <c r="B11" s="2"/>
      <c r="C11" s="241" t="s">
        <v>171</v>
      </c>
      <c r="D11" s="242"/>
      <c r="E11" s="242"/>
      <c r="F11" s="243"/>
      <c r="G11" s="2"/>
      <c r="H11" s="233" t="s">
        <v>177</v>
      </c>
      <c r="I11" s="235"/>
      <c r="J11" s="2"/>
      <c r="K11" s="233" t="s">
        <v>183</v>
      </c>
      <c r="L11" s="235"/>
      <c r="M11" s="2"/>
      <c r="N11" s="2"/>
      <c r="O11" s="2"/>
    </row>
    <row r="12" spans="1:30" ht="35.15" customHeight="1" x14ac:dyDescent="0.35">
      <c r="A12" s="45" t="s">
        <v>162</v>
      </c>
      <c r="B12" s="2"/>
      <c r="C12" s="157" t="s">
        <v>157</v>
      </c>
      <c r="D12" s="158" t="s">
        <v>162</v>
      </c>
      <c r="E12" s="158" t="s">
        <v>163</v>
      </c>
      <c r="F12" s="160" t="s">
        <v>164</v>
      </c>
      <c r="G12" s="20"/>
      <c r="H12" s="48" t="s">
        <v>157</v>
      </c>
      <c r="I12" s="49" t="s">
        <v>176</v>
      </c>
      <c r="J12" s="2"/>
      <c r="K12" s="48" t="s">
        <v>157</v>
      </c>
      <c r="L12" s="49" t="s">
        <v>176</v>
      </c>
      <c r="M12" s="2"/>
      <c r="N12" s="2"/>
      <c r="O12" s="2"/>
    </row>
    <row r="13" spans="1:30" ht="35.15" customHeight="1" x14ac:dyDescent="0.35">
      <c r="A13" s="52" cm="1">
        <f t="array" ref="A13:B13">SUM('Team Totals'!B2,'Team Totals'!B5,'Team Totals'!B8,'Team Totals'!B11,'Team Totals'!B14,'Team Totals'!B17,'Team Totals'!B20,'Team Totals'!B23,'Team Totals'!B26,'Team Totals'!B29,'Team Totals'!B32,'Team Totals'!B35,'Team Totals'!B38,'Team Totals'!B41,'Team Totals'!B44,'Team Totals'!B47,'Team Totals'!B50,'Team Totals'!B53,'Team Totals'!B56,'Team Totals'!B59,'Team Totals'!B62,'Team Totals'!B65,'Team Totals'!B68,'Team Totals'!B71,'Team Totals'!B74,'Team Totals'!B77,'Team Totals'!B80,'Team Totals'!B83,'Team Totals'!B86,'Team Totals'!B89,'Team Totals'!B92,'Team Totals'!B95,'Team Totals'!B98,'Team Totals'!B101,'Team Totals'!B104,'Team Totals'!B107)/'Team Totals'!H4:I4</f>
        <v>1032.6666666666667</v>
      </c>
      <c r="B13" s="2" t="e">
        <v>#DIV/0!</v>
      </c>
      <c r="C13" s="39" t="s">
        <v>0</v>
      </c>
      <c r="D13" s="169">
        <f>Misc!F2</f>
        <v>236</v>
      </c>
      <c r="E13" s="169">
        <f>Misc!G2</f>
        <v>192</v>
      </c>
      <c r="F13" s="170">
        <f>Misc!H2</f>
        <v>200.5</v>
      </c>
      <c r="G13" s="3"/>
      <c r="H13" s="39" t="s">
        <v>0</v>
      </c>
      <c r="I13" s="50">
        <f>(SUM('Over Average Percent'!B2:B37))/(Misc!I2*3)</f>
        <v>0.83333333333333337</v>
      </c>
      <c r="J13" s="2"/>
      <c r="K13" s="39" t="s">
        <v>0</v>
      </c>
      <c r="L13" s="50">
        <f>(SUM('Over Average Percent'!L2:L37))/(Misc!I2*3)</f>
        <v>0.33333333333333331</v>
      </c>
      <c r="M13" s="2"/>
      <c r="N13" s="2"/>
      <c r="O13" s="2"/>
    </row>
    <row r="14" spans="1:30" ht="35.15" customHeight="1" x14ac:dyDescent="0.35">
      <c r="A14" s="46" t="s">
        <v>163</v>
      </c>
      <c r="B14" s="2"/>
      <c r="C14" s="39" t="s">
        <v>1</v>
      </c>
      <c r="D14" s="169">
        <f>Misc!F3</f>
        <v>193</v>
      </c>
      <c r="E14" s="169">
        <f>Misc!G3</f>
        <v>208.66666666666666</v>
      </c>
      <c r="F14" s="170">
        <f>Misc!H3</f>
        <v>205</v>
      </c>
      <c r="G14" s="20"/>
      <c r="H14" s="40" t="s">
        <v>1</v>
      </c>
      <c r="I14" s="50">
        <f>(SUM('Over Average Percent'!C2:C37))/(Misc!I3*3)</f>
        <v>0.66666666666666663</v>
      </c>
      <c r="J14" s="2"/>
      <c r="K14" s="40" t="s">
        <v>1</v>
      </c>
      <c r="L14" s="50">
        <f>(SUM('Over Average Percent'!M2:M37))/(Misc!$I$3*3)</f>
        <v>0.66666666666666663</v>
      </c>
      <c r="M14" s="2"/>
      <c r="N14" s="2"/>
      <c r="O14" s="2"/>
    </row>
    <row r="15" spans="1:30" ht="35.15" customHeight="1" x14ac:dyDescent="0.35">
      <c r="A15" s="52" cm="1">
        <f t="array" ref="A15:B15">SUM('Team Totals'!B3,'Team Totals'!B6,'Team Totals'!B9,'Team Totals'!B12,'Team Totals'!B15,'Team Totals'!B18,'Team Totals'!B21,'Team Totals'!B24,'Team Totals'!B27,'Team Totals'!B30,'Team Totals'!B33,'Team Totals'!B36,'Team Totals'!B39,'Team Totals'!B42,'Team Totals'!B45,'Team Totals'!B48,'Team Totals'!B51,'Team Totals'!B54,'Team Totals'!B57,'Team Totals'!B60,'Team Totals'!B63,'Team Totals'!B66,'Team Totals'!B69,'Team Totals'!B72,'Team Totals'!B75,'Team Totals'!B78,'Team Totals'!B81,'Team Totals'!B84,'Team Totals'!B87,'Team Totals'!B90,'Team Totals'!B93,'Team Totals'!B96,'Team Totals'!B99,'Team Totals'!B102,'Team Totals'!B105,'Team Totals'!B108)/'Team Totals'!H4:I4</f>
        <v>986.66666666666663</v>
      </c>
      <c r="B15" s="2" t="e">
        <v>#DIV/0!</v>
      </c>
      <c r="C15" s="39" t="s">
        <v>2</v>
      </c>
      <c r="D15" s="169">
        <f>Misc!F4</f>
        <v>211.66666666666666</v>
      </c>
      <c r="E15" s="169">
        <f>Misc!G4</f>
        <v>202.66666666666666</v>
      </c>
      <c r="F15" s="170">
        <f>Misc!H4</f>
        <v>212.33333333333334</v>
      </c>
      <c r="G15" s="3"/>
      <c r="H15" s="41" t="s">
        <v>2</v>
      </c>
      <c r="I15" s="50">
        <f>(SUM('Over Average Percent'!D2:D37))/(Misc!I4*3)</f>
        <v>0.66666666666666663</v>
      </c>
      <c r="J15" s="2"/>
      <c r="K15" s="41" t="s">
        <v>2</v>
      </c>
      <c r="L15" s="50">
        <f>(SUM('Over Average Percent'!N2:N37))/(Misc!$I$4*3)</f>
        <v>0.33333333333333331</v>
      </c>
      <c r="M15" s="2"/>
      <c r="N15" s="2"/>
      <c r="O15" s="2"/>
    </row>
    <row r="16" spans="1:30" ht="35.15" customHeight="1" x14ac:dyDescent="0.35">
      <c r="A16" s="46" t="s">
        <v>164</v>
      </c>
      <c r="B16" s="2"/>
      <c r="C16" s="39" t="s">
        <v>3</v>
      </c>
      <c r="D16" s="169">
        <f>Misc!F5</f>
        <v>202.66666666666666</v>
      </c>
      <c r="E16" s="169">
        <f>Misc!G5</f>
        <v>193</v>
      </c>
      <c r="F16" s="170">
        <f>Misc!H5</f>
        <v>196.66666666666666</v>
      </c>
      <c r="G16" s="20"/>
      <c r="H16" s="42" t="s">
        <v>3</v>
      </c>
      <c r="I16" s="50">
        <f>(SUM('Over Average Percent'!E2:E37))/(Misc!I5*3)</f>
        <v>0.33333333333333331</v>
      </c>
      <c r="J16" s="2"/>
      <c r="K16" s="42" t="s">
        <v>3</v>
      </c>
      <c r="L16" s="50">
        <f>(SUM('Over Average Percent'!O2:O37))/(Misc!$I$5*3)</f>
        <v>0.33333333333333331</v>
      </c>
      <c r="M16" s="2"/>
      <c r="N16" s="2"/>
      <c r="O16" s="2"/>
    </row>
    <row r="17" spans="1:18" ht="35.15" customHeight="1" thickBot="1" x14ac:dyDescent="0.4">
      <c r="A17" s="53" cm="1">
        <f t="array" ref="A17:B17">SUM('Team Totals'!B4,'Team Totals'!B7,'Team Totals'!B10,'Team Totals'!B13,'Team Totals'!B16,'Team Totals'!B19,'Team Totals'!B22,'Team Totals'!B25,'Team Totals'!B28,'Team Totals'!B31,'Team Totals'!B34,'Team Totals'!B37,'Team Totals'!B40,'Team Totals'!B43,'Team Totals'!B46,'Team Totals'!B49,'Team Totals'!B52,'Team Totals'!B55,'Team Totals'!B58,'Team Totals'!B61,'Team Totals'!B64,'Team Totals'!B67,'Team Totals'!B70,'Team Totals'!B73,'Team Totals'!B76,'Team Totals'!B79,'Team Totals'!B82,'Team Totals'!B85,'Team Totals'!B88,'Team Totals'!B91,'Team Totals'!B94,'Team Totals'!B97,'Team Totals'!B100,'Team Totals'!B103,'Team Totals'!B106,'Team Totals'!B109)/'Team Totals'!H4:I4</f>
        <v>1008.3333333333334</v>
      </c>
      <c r="B17" s="2" t="e">
        <v>#DIV/0!</v>
      </c>
      <c r="C17" s="47" t="s">
        <v>4</v>
      </c>
      <c r="D17" s="171">
        <f>Misc!F6</f>
        <v>181.5</v>
      </c>
      <c r="E17" s="171">
        <f>Misc!G6</f>
        <v>168.5</v>
      </c>
      <c r="F17" s="168">
        <f>Misc!H6</f>
        <v>189</v>
      </c>
      <c r="G17" s="3"/>
      <c r="H17" s="43" t="s">
        <v>4</v>
      </c>
      <c r="I17" s="50">
        <f>(SUM('Over Average Percent'!F2:F37))/(Misc!I6*3)</f>
        <v>0.33333333333333331</v>
      </c>
      <c r="J17" s="2"/>
      <c r="K17" s="43" t="s">
        <v>4</v>
      </c>
      <c r="L17" s="50">
        <f>(SUM('Over Average Percent'!P2:P37))/(Misc!$I$6*3)</f>
        <v>0.33333333333333331</v>
      </c>
      <c r="M17" s="2"/>
      <c r="N17" s="2"/>
      <c r="O17" s="2"/>
    </row>
    <row r="18" spans="1:18" ht="35.15" customHeight="1" thickBot="1" x14ac:dyDescent="0.4">
      <c r="A18" s="4"/>
      <c r="B18" s="2"/>
      <c r="C18" s="2"/>
      <c r="D18" s="20"/>
      <c r="E18" s="20"/>
      <c r="F18" s="2"/>
      <c r="G18" s="2"/>
      <c r="H18" s="44" t="s">
        <v>5</v>
      </c>
      <c r="I18" s="51">
        <f>(SUM('Over Average Percent'!G2:G37))/(Misc!I7*3)</f>
        <v>0.33333333333333331</v>
      </c>
      <c r="J18" s="2"/>
      <c r="K18" s="44" t="s">
        <v>5</v>
      </c>
      <c r="L18" s="50">
        <f>(SUM('Over Average Percent'!Q2:Q37))/(Misc!$I$7*3)</f>
        <v>1</v>
      </c>
      <c r="M18" s="2"/>
      <c r="N18" s="2"/>
      <c r="O18" s="2"/>
    </row>
    <row r="19" spans="1:18" ht="26.25" customHeight="1" thickBot="1" x14ac:dyDescent="0.4">
      <c r="A19" s="116"/>
      <c r="B19" s="116"/>
      <c r="C19" s="2"/>
      <c r="D19" s="3"/>
      <c r="E19" s="3"/>
      <c r="F19" s="2"/>
      <c r="G19" s="2"/>
      <c r="H19" s="2"/>
      <c r="I19" s="2"/>
      <c r="J19" s="2"/>
      <c r="K19" s="2"/>
      <c r="L19" s="2"/>
      <c r="M19" s="2"/>
      <c r="N19" s="2"/>
      <c r="O19" s="2"/>
    </row>
    <row r="20" spans="1:18" ht="33.75" customHeight="1" thickBot="1" x14ac:dyDescent="0.4">
      <c r="A20" s="233" t="s">
        <v>184</v>
      </c>
      <c r="B20" s="234"/>
      <c r="C20" s="234"/>
      <c r="D20" s="234"/>
      <c r="E20" s="234"/>
      <c r="F20" s="234"/>
      <c r="G20" s="235"/>
      <c r="H20" s="2"/>
      <c r="I20" s="237" t="s">
        <v>201</v>
      </c>
      <c r="J20" s="238"/>
      <c r="K20" s="125" t="s">
        <v>204</v>
      </c>
      <c r="L20" s="116"/>
      <c r="M20" s="116"/>
      <c r="N20" s="116"/>
      <c r="O20" s="116"/>
    </row>
    <row r="21" spans="1:18" ht="27" customHeight="1" thickBot="1" x14ac:dyDescent="0.4">
      <c r="A21" s="157" t="s">
        <v>157</v>
      </c>
      <c r="B21" s="158" t="s">
        <v>185</v>
      </c>
      <c r="C21" s="159" t="s">
        <v>189</v>
      </c>
      <c r="D21" s="159" t="s">
        <v>186</v>
      </c>
      <c r="E21" s="159" t="s">
        <v>187</v>
      </c>
      <c r="F21" s="159" t="s">
        <v>188</v>
      </c>
      <c r="G21" s="160" t="s">
        <v>191</v>
      </c>
      <c r="H21" s="2"/>
      <c r="I21" s="239">
        <f>(Winnings!B38*8.5)</f>
        <v>357</v>
      </c>
      <c r="J21" s="240"/>
      <c r="K21" s="124">
        <f>(Winnings!B38*8.5)/5</f>
        <v>71.400000000000006</v>
      </c>
      <c r="L21" s="123"/>
      <c r="M21" s="123"/>
      <c r="N21" s="123"/>
      <c r="O21" s="123"/>
    </row>
    <row r="22" spans="1:18" ht="34" customHeight="1" thickBot="1" x14ac:dyDescent="0.4">
      <c r="A22" s="134" t="s">
        <v>0</v>
      </c>
      <c r="B22" s="156">
        <f>Misc!B16</f>
        <v>209.5</v>
      </c>
      <c r="C22" s="153" t="str">
        <f>Misc!G16</f>
        <v>(5-1)</v>
      </c>
      <c r="D22" s="153">
        <f>Misc!C16</f>
        <v>247</v>
      </c>
      <c r="E22" s="153">
        <f>Misc!D16</f>
        <v>182</v>
      </c>
      <c r="F22" s="153">
        <f>Misc!E16</f>
        <v>647</v>
      </c>
      <c r="G22" s="135">
        <f>Misc!F16</f>
        <v>610</v>
      </c>
      <c r="H22" s="2"/>
      <c r="I22" s="2"/>
      <c r="J22" s="2"/>
      <c r="K22" s="2"/>
      <c r="L22" s="2"/>
      <c r="M22" s="2"/>
      <c r="N22" s="2"/>
      <c r="O22" s="2"/>
    </row>
    <row r="23" spans="1:18" ht="35.15" customHeight="1" x14ac:dyDescent="0.35">
      <c r="A23" s="73" t="s">
        <v>1</v>
      </c>
      <c r="B23" s="156">
        <f>Misc!B17</f>
        <v>202.22222222222223</v>
      </c>
      <c r="C23" s="154" t="str">
        <f>Misc!G17</f>
        <v>(3-6)</v>
      </c>
      <c r="D23" s="153">
        <f>Misc!C17</f>
        <v>237</v>
      </c>
      <c r="E23" s="153">
        <f>Misc!D17</f>
        <v>183</v>
      </c>
      <c r="F23" s="153">
        <f>Misc!E17</f>
        <v>658</v>
      </c>
      <c r="G23" s="135">
        <f>Misc!F17</f>
        <v>594</v>
      </c>
      <c r="H23" s="2"/>
      <c r="I23" s="127" t="s">
        <v>157</v>
      </c>
      <c r="J23" s="128" t="s">
        <v>205</v>
      </c>
      <c r="K23" s="128" t="s">
        <v>206</v>
      </c>
      <c r="L23" s="128" t="s">
        <v>207</v>
      </c>
      <c r="M23" s="129" t="s">
        <v>208</v>
      </c>
      <c r="N23" s="20"/>
      <c r="O23" s="20"/>
    </row>
    <row r="24" spans="1:18" ht="34.5" customHeight="1" x14ac:dyDescent="0.35">
      <c r="A24" s="74" t="s">
        <v>2</v>
      </c>
      <c r="B24" s="156">
        <f>Misc!B18</f>
        <v>208.88888888888889</v>
      </c>
      <c r="C24" s="154" t="str">
        <f>Misc!G18</f>
        <v>(6-3)</v>
      </c>
      <c r="D24" s="153">
        <f>Misc!C18</f>
        <v>237</v>
      </c>
      <c r="E24" s="153">
        <f>Misc!D18</f>
        <v>169</v>
      </c>
      <c r="F24" s="153">
        <f>Misc!E18</f>
        <v>683</v>
      </c>
      <c r="G24" s="135">
        <f>Misc!F18</f>
        <v>559</v>
      </c>
      <c r="H24" s="2"/>
      <c r="I24" s="131" t="s">
        <v>0</v>
      </c>
      <c r="J24" s="126">
        <f>COUNTIFS('Week by Week Scores'!B5:B40,"&gt;399",'Week by Week Scores'!B5:B40,"&lt;500")</f>
        <v>0</v>
      </c>
      <c r="K24" s="126">
        <f>COUNTIFS('Week by Week Scores'!B5:B40,"&gt;499",'Week by Week Scores'!B5:B40,"&lt;600")</f>
        <v>0</v>
      </c>
      <c r="L24" s="126">
        <f>COUNTIFS('Week by Week Scores'!B5:B40,"&gt;599",'Week by Week Scores'!B5:B40,"&lt;700")</f>
        <v>2</v>
      </c>
      <c r="M24" s="130">
        <f>COUNTIFS('Week by Week Scores'!B5:B40,"&gt;699",'Week by Week Scores'!B5:B40,"&lt;800")</f>
        <v>0</v>
      </c>
      <c r="N24" s="4"/>
      <c r="O24" s="4"/>
      <c r="P24" s="4"/>
      <c r="Q24" s="37"/>
      <c r="R24" s="37"/>
    </row>
    <row r="25" spans="1:18" ht="34" customHeight="1" x14ac:dyDescent="0.35">
      <c r="A25" s="75" t="s">
        <v>3</v>
      </c>
      <c r="B25" s="156">
        <f>Misc!B19</f>
        <v>197.44444444444446</v>
      </c>
      <c r="C25" s="154" t="str">
        <f>Misc!G19</f>
        <v>(4-5)</v>
      </c>
      <c r="D25" s="153">
        <f>Misc!C19</f>
        <v>268</v>
      </c>
      <c r="E25" s="153">
        <f>Misc!D19</f>
        <v>147</v>
      </c>
      <c r="F25" s="153">
        <f>Misc!E19</f>
        <v>639</v>
      </c>
      <c r="G25" s="135">
        <f>Misc!F19</f>
        <v>580</v>
      </c>
      <c r="H25" s="2"/>
      <c r="I25" s="73" t="s">
        <v>1</v>
      </c>
      <c r="J25" s="126">
        <f>COUNTIFS('Week by Week Scores'!C5:C40,"&gt;399",'Week by Week Scores'!C5:C40,"&lt;500")</f>
        <v>0</v>
      </c>
      <c r="K25" s="126">
        <f>COUNTIFS('Week by Week Scores'!C5:C40,"&gt;499",'Week by Week Scores'!C5:C40,"&lt;600")</f>
        <v>2</v>
      </c>
      <c r="L25" s="126">
        <f>COUNTIFS('Week by Week Scores'!C5:C40,"&gt;599",'Week by Week Scores'!C5:C40,"&lt;700")</f>
        <v>1</v>
      </c>
      <c r="M25" s="130">
        <f>COUNTIFS('Week by Week Scores'!C5:C40,"&gt;699",'Week by Week Scores'!C5:C40,"&lt;800")</f>
        <v>0</v>
      </c>
      <c r="N25" s="4"/>
      <c r="O25" s="4"/>
    </row>
    <row r="26" spans="1:18" ht="35.15" customHeight="1" thickBot="1" x14ac:dyDescent="0.4">
      <c r="A26" s="118" t="s">
        <v>4</v>
      </c>
      <c r="B26" s="161">
        <f>Misc!B20</f>
        <v>179.66666666666666</v>
      </c>
      <c r="C26" s="162" t="str">
        <f>Misc!G20</f>
        <v>(4-2)</v>
      </c>
      <c r="D26" s="163">
        <f>Misc!C20</f>
        <v>220</v>
      </c>
      <c r="E26" s="163">
        <f>Misc!D20</f>
        <v>143</v>
      </c>
      <c r="F26" s="163">
        <f>Misc!E20</f>
        <v>580</v>
      </c>
      <c r="G26" s="164">
        <f>Misc!F20</f>
        <v>498</v>
      </c>
      <c r="H26" s="2"/>
      <c r="I26" s="74" t="s">
        <v>2</v>
      </c>
      <c r="J26" s="126">
        <f>COUNTIFS('Week by Week Scores'!D5:D40,"&gt;399",'Week by Week Scores'!D5:D40,"&lt;500")</f>
        <v>0</v>
      </c>
      <c r="K26" s="126">
        <f>COUNTIFS('Week by Week Scores'!D5:D40,"&gt;499",'Week by Week Scores'!D5:D40,"&lt;600")</f>
        <v>1</v>
      </c>
      <c r="L26" s="126">
        <f>COUNTIFS('Week by Week Scores'!D5:D40,"&gt;599",'Week by Week Scores'!D5:D40,"&lt;700")</f>
        <v>2</v>
      </c>
      <c r="M26" s="130">
        <f>COUNTIFS('Week by Week Scores'!D5:D40,"&gt;699",'Week by Week Scores'!D5:D40,"&lt;800")</f>
        <v>0</v>
      </c>
      <c r="N26" s="4"/>
      <c r="O26" s="4"/>
    </row>
    <row r="27" spans="1:18" ht="35.15" customHeight="1" thickBot="1" x14ac:dyDescent="0.4">
      <c r="A27" s="4"/>
      <c r="B27" s="4"/>
      <c r="C27" s="114"/>
      <c r="D27" s="115"/>
      <c r="E27" s="155"/>
      <c r="F27" s="155"/>
      <c r="G27" s="2"/>
      <c r="H27" s="2"/>
      <c r="I27" s="75" t="s">
        <v>3</v>
      </c>
      <c r="J27" s="126">
        <f>COUNTIFS('Week by Week Scores'!E5:E40,"&gt;399",'Week by Week Scores'!E5:E40,"&lt;500")</f>
        <v>0</v>
      </c>
      <c r="K27" s="126">
        <f>COUNTIFS('Week by Week Scores'!E5:E40,"&gt;499",'Week by Week Scores'!E5:E40,"&lt;600")</f>
        <v>2</v>
      </c>
      <c r="L27" s="126">
        <f>COUNTIFS('Week by Week Scores'!E5:E40,"&gt;599",'Week by Week Scores'!E5:E40,"&lt;700")</f>
        <v>1</v>
      </c>
      <c r="M27" s="130">
        <f>COUNTIFS('Week by Week Scores'!E5:E40,"&gt;699",'Week by Week Scores'!E5:E40,"&lt;800")</f>
        <v>0</v>
      </c>
      <c r="N27" s="4"/>
      <c r="O27" s="4"/>
    </row>
    <row r="28" spans="1:18" ht="35.15" customHeight="1" thickBot="1" x14ac:dyDescent="0.4">
      <c r="A28" s="233" t="s">
        <v>190</v>
      </c>
      <c r="B28" s="234"/>
      <c r="C28" s="234"/>
      <c r="D28" s="234"/>
      <c r="E28" s="234"/>
      <c r="F28" s="234"/>
      <c r="G28" s="235"/>
      <c r="H28" s="2"/>
      <c r="I28" s="118" t="s">
        <v>4</v>
      </c>
      <c r="J28" s="132">
        <f>COUNTIFS('Week by Week Scores'!F5:F40,"&gt;399",'Week by Week Scores'!F5:F40,"&lt;500")</f>
        <v>1</v>
      </c>
      <c r="K28" s="132">
        <f>COUNTIFS('Week by Week Scores'!F5:F40,"&gt;499",'Week by Week Scores'!F5:F40,"&lt;600")</f>
        <v>1</v>
      </c>
      <c r="L28" s="132">
        <f>COUNTIFS('Week by Week Scores'!F5:F40,"&gt;599",'Week by Week Scores'!F5:F40,"&lt;700")</f>
        <v>0</v>
      </c>
      <c r="M28" s="133">
        <f>COUNTIFS('Week by Week Scores'!F5:F40,"&gt;699",'Week by Week Scores'!F5:F40,"&lt;800")</f>
        <v>0</v>
      </c>
      <c r="N28" s="4"/>
      <c r="O28" s="4"/>
    </row>
    <row r="29" spans="1:18" ht="27" customHeight="1" thickBot="1" x14ac:dyDescent="0.4">
      <c r="A29" s="157" t="s">
        <v>157</v>
      </c>
      <c r="B29" s="158" t="s">
        <v>185</v>
      </c>
      <c r="C29" s="159" t="s">
        <v>189</v>
      </c>
      <c r="D29" s="159" t="s">
        <v>186</v>
      </c>
      <c r="E29" s="159" t="s">
        <v>187</v>
      </c>
      <c r="F29" s="159" t="s">
        <v>188</v>
      </c>
      <c r="G29" s="160" t="s">
        <v>191</v>
      </c>
      <c r="H29" s="2"/>
      <c r="I29" s="4"/>
      <c r="J29" s="2"/>
      <c r="K29" s="2"/>
      <c r="L29" s="2"/>
      <c r="M29" s="2"/>
      <c r="N29" s="2"/>
      <c r="O29" s="2"/>
    </row>
    <row r="30" spans="1:18" ht="35.15" customHeight="1" x14ac:dyDescent="0.35">
      <c r="A30" s="134" t="s">
        <v>0</v>
      </c>
      <c r="B30" s="156" t="e">
        <f>Misc!B27</f>
        <v>#DIV/0!</v>
      </c>
      <c r="C30" s="153">
        <f>Misc!G27</f>
        <v>0</v>
      </c>
      <c r="D30" s="153">
        <f>Misc!C27</f>
        <v>0</v>
      </c>
      <c r="E30" s="153">
        <f>Misc!D27</f>
        <v>0</v>
      </c>
      <c r="F30" s="153">
        <f>Misc!E27</f>
        <v>0</v>
      </c>
      <c r="G30" s="135">
        <f>Misc!F27</f>
        <v>0</v>
      </c>
      <c r="H30" s="2"/>
      <c r="I30" s="127" t="s">
        <v>157</v>
      </c>
      <c r="J30" s="128" t="s">
        <v>210</v>
      </c>
      <c r="K30" s="128" t="s">
        <v>211</v>
      </c>
      <c r="L30" s="128" t="s">
        <v>212</v>
      </c>
      <c r="M30" s="129" t="s">
        <v>213</v>
      </c>
      <c r="N30" s="20"/>
      <c r="O30" s="20"/>
    </row>
    <row r="31" spans="1:18" ht="35.15" customHeight="1" x14ac:dyDescent="0.35">
      <c r="A31" s="73" t="s">
        <v>1</v>
      </c>
      <c r="B31" s="156" t="e">
        <f>Misc!B28</f>
        <v>#DIV/0!</v>
      </c>
      <c r="C31" s="154">
        <f>Misc!G28</f>
        <v>0</v>
      </c>
      <c r="D31" s="153">
        <f>Misc!C28</f>
        <v>0</v>
      </c>
      <c r="E31" s="153">
        <f>Misc!D28</f>
        <v>0</v>
      </c>
      <c r="F31" s="153">
        <f>Misc!E28</f>
        <v>0</v>
      </c>
      <c r="G31" s="135">
        <f>Misc!F28</f>
        <v>0</v>
      </c>
      <c r="H31" s="2"/>
      <c r="I31" s="131" t="s">
        <v>0</v>
      </c>
      <c r="J31" s="126">
        <f>COUNTIF('Game by Game Scores'!B5:B112,"&lt;150")</f>
        <v>0</v>
      </c>
      <c r="K31" s="126">
        <f>COUNTIFS('Game by Game Scores'!$B$5:$B$112,"&gt;149",'Game by Game Scores'!$B$5:$B$112,"&lt;200")</f>
        <v>2</v>
      </c>
      <c r="L31" s="126">
        <f>COUNTIFS('Game by Game Scores'!$B$5:$B$112,"&gt;199",'Game by Game Scores'!$B$5:$B$112,"&lt;250")</f>
        <v>4</v>
      </c>
      <c r="M31" s="130">
        <f>COUNTIF('Game by Game Scores'!$B$5:$B$112,"&gt;249")</f>
        <v>0</v>
      </c>
      <c r="N31" s="4"/>
      <c r="O31" s="4"/>
    </row>
    <row r="32" spans="1:18" ht="35.15" customHeight="1" x14ac:dyDescent="0.35">
      <c r="A32" s="74" t="s">
        <v>2</v>
      </c>
      <c r="B32" s="156" t="e">
        <f>Misc!B29</f>
        <v>#DIV/0!</v>
      </c>
      <c r="C32" s="154">
        <f>Misc!G29</f>
        <v>0</v>
      </c>
      <c r="D32" s="153">
        <f>Misc!C29</f>
        <v>0</v>
      </c>
      <c r="E32" s="153">
        <f>Misc!D29</f>
        <v>0</v>
      </c>
      <c r="F32" s="153">
        <f>Misc!E29</f>
        <v>0</v>
      </c>
      <c r="G32" s="135">
        <f>Misc!F29</f>
        <v>0</v>
      </c>
      <c r="H32" s="2"/>
      <c r="I32" s="73" t="s">
        <v>1</v>
      </c>
      <c r="J32" s="126">
        <f>COUNTIF('Game by Game Scores'!C5:C112,"&lt;150")</f>
        <v>0</v>
      </c>
      <c r="K32" s="126">
        <f>COUNTIFS('Game by Game Scores'!$C$5:$C$112,"&gt;149",'Game by Game Scores'!$C$5:$C$112,"&lt;200")</f>
        <v>3</v>
      </c>
      <c r="L32" s="126">
        <f>COUNTIFS('Game by Game Scores'!$C$5:$C$112,"&gt;199",'Game by Game Scores'!$C$5:$C$112,"&lt;250")</f>
        <v>6</v>
      </c>
      <c r="M32" s="130">
        <f>COUNTIF('Game by Game Scores'!$C$5:$C$112,"&gt;249")</f>
        <v>0</v>
      </c>
      <c r="N32" s="4"/>
      <c r="O32" s="4"/>
    </row>
    <row r="33" spans="1:15" ht="35.15" customHeight="1" x14ac:dyDescent="0.35">
      <c r="A33" s="75" t="s">
        <v>3</v>
      </c>
      <c r="B33" s="156" t="e">
        <f>Misc!B30</f>
        <v>#DIV/0!</v>
      </c>
      <c r="C33" s="154">
        <f>Misc!G30</f>
        <v>0</v>
      </c>
      <c r="D33" s="153">
        <f>Misc!C30</f>
        <v>0</v>
      </c>
      <c r="E33" s="153">
        <f>Misc!D30</f>
        <v>0</v>
      </c>
      <c r="F33" s="153">
        <f>Misc!E30</f>
        <v>0</v>
      </c>
      <c r="G33" s="135">
        <f>Misc!F30</f>
        <v>0</v>
      </c>
      <c r="H33" s="2"/>
      <c r="I33" s="74" t="s">
        <v>2</v>
      </c>
      <c r="J33" s="126">
        <f>COUNTIF('Game by Game Scores'!D5:D112,"&lt;150")</f>
        <v>0</v>
      </c>
      <c r="K33" s="126">
        <f>COUNTIFS('Game by Game Scores'!$D$5:$D$112,"&gt;149",'Game by Game Scores'!$D$5:$D$112,"&lt;200")</f>
        <v>2</v>
      </c>
      <c r="L33" s="126">
        <f>COUNTIFS('Game by Game Scores'!$D$5:$D$112,"&gt;199",'Game by Game Scores'!$D$5:$D$112,"&lt;250")</f>
        <v>7</v>
      </c>
      <c r="M33" s="130">
        <f>COUNTIF('Game by Game Scores'!$D$5:$D$112,"&gt;249")</f>
        <v>0</v>
      </c>
      <c r="N33" s="4"/>
      <c r="O33" s="4"/>
    </row>
    <row r="34" spans="1:15" ht="35.15" customHeight="1" thickBot="1" x14ac:dyDescent="0.4">
      <c r="A34" s="118" t="s">
        <v>4</v>
      </c>
      <c r="B34" s="161" t="e">
        <f>Misc!B31</f>
        <v>#DIV/0!</v>
      </c>
      <c r="C34" s="162">
        <f>Misc!G31</f>
        <v>0</v>
      </c>
      <c r="D34" s="163">
        <f>Misc!C31</f>
        <v>0</v>
      </c>
      <c r="E34" s="163">
        <f>Misc!D31</f>
        <v>0</v>
      </c>
      <c r="F34" s="163">
        <f>Misc!E31</f>
        <v>0</v>
      </c>
      <c r="G34" s="164">
        <f>Misc!F31</f>
        <v>0</v>
      </c>
      <c r="H34" s="2"/>
      <c r="I34" s="75" t="s">
        <v>3</v>
      </c>
      <c r="J34" s="126">
        <f>COUNTIF('Game by Game Scores'!E5:E112,"&lt;150")</f>
        <v>1</v>
      </c>
      <c r="K34" s="126">
        <f>COUNTIFS('Game by Game Scores'!$E$5:$E$112,"&gt;149",'Game by Game Scores'!$E$5:$E$112,"&lt;200")</f>
        <v>4</v>
      </c>
      <c r="L34" s="126">
        <f>COUNTIFS('Game by Game Scores'!$E$5:$E$112,"&gt;199",'Game by Game Scores'!$E$5:$E$112,"&lt;250")</f>
        <v>3</v>
      </c>
      <c r="M34" s="130">
        <f>COUNTIF('Game by Game Scores'!$E$5:$E$112,"&gt;249")</f>
        <v>1</v>
      </c>
      <c r="N34" s="4"/>
      <c r="O34" s="4"/>
    </row>
    <row r="35" spans="1:15" ht="35.15" customHeight="1" thickBot="1" x14ac:dyDescent="0.4">
      <c r="A35" s="2"/>
      <c r="B35" s="2"/>
      <c r="C35" s="2"/>
      <c r="D35" s="2"/>
      <c r="E35" s="2"/>
      <c r="F35" s="2"/>
      <c r="G35" s="2"/>
      <c r="H35" s="2"/>
      <c r="I35" s="118" t="s">
        <v>4</v>
      </c>
      <c r="J35" s="126">
        <f>COUNTIF('Game by Game Scores'!F5:F112,"&lt;150")</f>
        <v>1</v>
      </c>
      <c r="K35" s="126">
        <f>COUNTIFS('Game by Game Scores'!$F$5:$F$112,"&gt;149",'Game by Game Scores'!$F$5:$F$112,"&lt;200")</f>
        <v>3</v>
      </c>
      <c r="L35" s="126">
        <f>COUNTIFS('Game by Game Scores'!$F$5:$F$112,"&gt;199",'Game by Game Scores'!$F$5:$F$112,"&lt;250")</f>
        <v>2</v>
      </c>
      <c r="M35" s="130">
        <f>COUNTIF('Game by Game Scores'!$F$5:$F$112,"&gt;249")</f>
        <v>0</v>
      </c>
      <c r="N35" s="4"/>
      <c r="O35" s="4"/>
    </row>
    <row r="36" spans="1:15" ht="35.15" customHeight="1" thickBot="1" x14ac:dyDescent="0.4">
      <c r="A36" s="233" t="s">
        <v>209</v>
      </c>
      <c r="B36" s="234"/>
      <c r="C36" s="234"/>
      <c r="D36" s="234"/>
      <c r="E36" s="234"/>
      <c r="F36" s="234"/>
      <c r="G36" s="235"/>
      <c r="H36" s="2"/>
      <c r="I36" s="2"/>
      <c r="J36" s="2"/>
      <c r="K36" s="2"/>
      <c r="L36" s="2"/>
      <c r="M36" s="2"/>
      <c r="N36" s="2"/>
      <c r="O36" s="2"/>
    </row>
    <row r="37" spans="1:15" ht="35.15" customHeight="1" x14ac:dyDescent="0.35">
      <c r="A37" s="157" t="s">
        <v>157</v>
      </c>
      <c r="B37" s="158" t="s">
        <v>185</v>
      </c>
      <c r="C37" s="159" t="s">
        <v>189</v>
      </c>
      <c r="D37" s="159" t="s">
        <v>186</v>
      </c>
      <c r="E37" s="159" t="s">
        <v>187</v>
      </c>
      <c r="F37" s="159" t="s">
        <v>188</v>
      </c>
      <c r="G37" s="160" t="s">
        <v>191</v>
      </c>
      <c r="H37" s="2"/>
      <c r="I37" s="127" t="s">
        <v>157</v>
      </c>
      <c r="J37" s="128" t="s">
        <v>235</v>
      </c>
      <c r="K37" s="128" t="s">
        <v>236</v>
      </c>
      <c r="L37" s="128" t="s">
        <v>241</v>
      </c>
      <c r="M37" s="128" t="s">
        <v>237</v>
      </c>
      <c r="N37" s="128" t="s">
        <v>240</v>
      </c>
      <c r="O37" s="129" t="s">
        <v>304</v>
      </c>
    </row>
    <row r="38" spans="1:15" ht="34.5" customHeight="1" x14ac:dyDescent="0.35">
      <c r="A38" s="134" t="s">
        <v>0</v>
      </c>
      <c r="B38" s="156" t="e">
        <f>Misc!B38</f>
        <v>#DIV/0!</v>
      </c>
      <c r="C38" s="153">
        <f>Misc!G38</f>
        <v>0</v>
      </c>
      <c r="D38" s="153">
        <f>Misc!C38</f>
        <v>0</v>
      </c>
      <c r="E38" s="153">
        <f>Misc!D38</f>
        <v>0</v>
      </c>
      <c r="F38" s="153">
        <f>Misc!E38</f>
        <v>0</v>
      </c>
      <c r="G38" s="135">
        <f>Misc!F38</f>
        <v>0</v>
      </c>
      <c r="H38" s="2"/>
      <c r="I38" s="131" t="s">
        <v>0</v>
      </c>
      <c r="J38" s="126">
        <f>SUM(Strikes!B2:B2)</f>
        <v>34</v>
      </c>
      <c r="K38" s="126">
        <f>SUM(Spares!B6:B6)</f>
        <v>23</v>
      </c>
      <c r="L38" s="183">
        <f>J38/(Misc!I2*3)</f>
        <v>5.666666666666667</v>
      </c>
      <c r="M38" s="184">
        <f>Spares!B6/(Spares!B6+Spares!J6)</f>
        <v>0.74193548387096775</v>
      </c>
      <c r="N38" s="126">
        <f>SUM(Splits!B2:B2)</f>
        <v>5</v>
      </c>
      <c r="O38" s="184">
        <f>COUNTIFS(FramebyFrame!B2:B1151,"*Spare (Split)*")/N38</f>
        <v>0.2</v>
      </c>
    </row>
    <row r="39" spans="1:15" ht="34.5" customHeight="1" x14ac:dyDescent="0.35">
      <c r="A39" s="73" t="s">
        <v>1</v>
      </c>
      <c r="B39" s="156" t="e">
        <f>Misc!B39</f>
        <v>#DIV/0!</v>
      </c>
      <c r="C39" s="153">
        <f>Misc!G39</f>
        <v>0</v>
      </c>
      <c r="D39" s="153">
        <f>Misc!C39</f>
        <v>0</v>
      </c>
      <c r="E39" s="153">
        <f>Misc!D39</f>
        <v>0</v>
      </c>
      <c r="F39" s="153">
        <f>Misc!E39</f>
        <v>0</v>
      </c>
      <c r="G39" s="135">
        <f>Misc!F39</f>
        <v>0</v>
      </c>
      <c r="H39" s="2"/>
      <c r="I39" s="73" t="s">
        <v>1</v>
      </c>
      <c r="J39" s="126">
        <f>SUM(Strikes!C2:C2)</f>
        <v>49</v>
      </c>
      <c r="K39" s="126">
        <f>SUM(Spares!C6:C6)</f>
        <v>40</v>
      </c>
      <c r="L39" s="183">
        <f>J39/(Misc!I3*3)</f>
        <v>5.4444444444444446</v>
      </c>
      <c r="M39" s="184">
        <f>Spares!C6/(Spares!C6+Spares!K6)</f>
        <v>0.81632653061224492</v>
      </c>
      <c r="N39" s="126">
        <f>SUM(Splits!C2:C2)</f>
        <v>6</v>
      </c>
      <c r="O39" s="184">
        <f>COUNTIFS(FramebyFrame!C2:C1151,"*Spare (Split)*")/N39</f>
        <v>0.33333333333333331</v>
      </c>
    </row>
    <row r="40" spans="1:15" ht="35.15" customHeight="1" x14ac:dyDescent="0.35">
      <c r="A40" s="74" t="s">
        <v>2</v>
      </c>
      <c r="B40" s="156" t="e">
        <f>Misc!B40</f>
        <v>#DIV/0!</v>
      </c>
      <c r="C40" s="153">
        <f>Misc!G40</f>
        <v>0</v>
      </c>
      <c r="D40" s="153">
        <f>Misc!C40</f>
        <v>0</v>
      </c>
      <c r="E40" s="153">
        <f>Misc!D40</f>
        <v>0</v>
      </c>
      <c r="F40" s="153">
        <f>Misc!E40</f>
        <v>0</v>
      </c>
      <c r="G40" s="135">
        <f>Misc!F40</f>
        <v>0</v>
      </c>
      <c r="H40" s="2"/>
      <c r="I40" s="74" t="s">
        <v>2</v>
      </c>
      <c r="J40" s="126">
        <f>SUM(Strikes!D2:D2)</f>
        <v>56</v>
      </c>
      <c r="K40" s="126">
        <f>SUM(Spares!D6:D6)</f>
        <v>30</v>
      </c>
      <c r="L40" s="183">
        <f>J40/(Misc!I4*3)</f>
        <v>6.2222222222222223</v>
      </c>
      <c r="M40" s="184">
        <f>Spares!D6/(Spares!D6+Spares!L6)</f>
        <v>0.68181818181818177</v>
      </c>
      <c r="N40" s="126">
        <f>SUM(Splits!D2:D2)</f>
        <v>9</v>
      </c>
      <c r="O40" s="184">
        <f>COUNTIFS(FramebyFrame!D2:D1151,"*Spare (Split)*")/N40</f>
        <v>0.55555555555555558</v>
      </c>
    </row>
    <row r="41" spans="1:15" ht="34.5" customHeight="1" x14ac:dyDescent="0.35">
      <c r="A41" s="75" t="s">
        <v>3</v>
      </c>
      <c r="B41" s="156" t="e">
        <f>Misc!B41</f>
        <v>#DIV/0!</v>
      </c>
      <c r="C41" s="153">
        <f>Misc!G41</f>
        <v>0</v>
      </c>
      <c r="D41" s="153">
        <f>Misc!C41</f>
        <v>0</v>
      </c>
      <c r="E41" s="153">
        <f>Misc!D41</f>
        <v>0</v>
      </c>
      <c r="F41" s="153">
        <f>Misc!E41</f>
        <v>0</v>
      </c>
      <c r="G41" s="135">
        <f>Misc!F41</f>
        <v>0</v>
      </c>
      <c r="H41" s="2"/>
      <c r="I41" s="75" t="s">
        <v>3</v>
      </c>
      <c r="J41" s="126">
        <f>SUM(Strikes!E2:E2)</f>
        <v>53</v>
      </c>
      <c r="K41" s="126">
        <f>SUM(Spares!E6:E6)</f>
        <v>23</v>
      </c>
      <c r="L41" s="183">
        <f>J41/(Misc!I5*3)</f>
        <v>5.8888888888888893</v>
      </c>
      <c r="M41" s="184">
        <f>Spares!E6/(Spares!E6+Spares!M6)</f>
        <v>0.51111111111111107</v>
      </c>
      <c r="N41" s="126">
        <f>SUM(Splits!E2:E2)</f>
        <v>15</v>
      </c>
      <c r="O41" s="184">
        <f>COUNTIFS(FramebyFrame!E2:E1151,"*Spare (Split)*")/N41</f>
        <v>0.13333333333333333</v>
      </c>
    </row>
    <row r="42" spans="1:15" ht="35.15" customHeight="1" thickBot="1" x14ac:dyDescent="0.4">
      <c r="A42" s="118" t="s">
        <v>4</v>
      </c>
      <c r="B42" s="161" t="e">
        <f>Misc!B42</f>
        <v>#DIV/0!</v>
      </c>
      <c r="C42" s="163">
        <f>Misc!G42</f>
        <v>0</v>
      </c>
      <c r="D42" s="163">
        <f>Misc!C42</f>
        <v>0</v>
      </c>
      <c r="E42" s="163">
        <f>Misc!D42</f>
        <v>0</v>
      </c>
      <c r="F42" s="163">
        <f>Misc!E42</f>
        <v>0</v>
      </c>
      <c r="G42" s="164">
        <f>Misc!F42</f>
        <v>0</v>
      </c>
      <c r="H42" s="2"/>
      <c r="I42" s="118" t="s">
        <v>4</v>
      </c>
      <c r="J42" s="132">
        <f>SUM(Strikes!F2:F2)</f>
        <v>32</v>
      </c>
      <c r="K42" s="132">
        <f>SUM(Spares!F6:F6)</f>
        <v>18</v>
      </c>
      <c r="L42" s="183">
        <f>J42/(Misc!I6*3)</f>
        <v>5.333333333333333</v>
      </c>
      <c r="M42" s="184">
        <f>Spares!F6/(Spares!F6+Spares!N6)</f>
        <v>0.51428571428571423</v>
      </c>
      <c r="N42" s="132">
        <f>SUM(Splits!F2:F2)</f>
        <v>6</v>
      </c>
      <c r="O42" s="184">
        <f>COUNTIFS(FramebyFrame!F2:F1151,"*Spare (Split)*")/N42</f>
        <v>0.16666666666666666</v>
      </c>
    </row>
    <row r="43" spans="1:15" ht="35.15" customHeight="1" thickBot="1" x14ac:dyDescent="0.4">
      <c r="A43" s="2"/>
      <c r="B43" s="2"/>
      <c r="C43" s="2"/>
      <c r="D43" s="2"/>
      <c r="E43" s="2"/>
      <c r="F43" s="2"/>
      <c r="G43" s="2"/>
      <c r="H43" s="2"/>
      <c r="I43" s="2"/>
      <c r="J43" s="2"/>
      <c r="K43" s="2"/>
      <c r="L43" s="2"/>
      <c r="M43" s="2"/>
      <c r="N43" s="2"/>
      <c r="O43" s="2"/>
    </row>
    <row r="44" spans="1:15" ht="35.15" customHeight="1" thickBot="1" x14ac:dyDescent="0.4">
      <c r="A44" s="233" t="s">
        <v>215</v>
      </c>
      <c r="B44" s="234"/>
      <c r="C44" s="234"/>
      <c r="D44" s="234"/>
      <c r="E44" s="234"/>
      <c r="F44" s="234"/>
      <c r="G44" s="235"/>
      <c r="H44" s="2"/>
      <c r="I44" s="127" t="s">
        <v>157</v>
      </c>
      <c r="J44" s="128" t="s">
        <v>306</v>
      </c>
      <c r="K44" s="129" t="s">
        <v>315</v>
      </c>
      <c r="L44" s="2"/>
      <c r="M44" s="157" t="s">
        <v>157</v>
      </c>
      <c r="N44" s="160" t="s">
        <v>316</v>
      </c>
      <c r="O44" s="20"/>
    </row>
    <row r="45" spans="1:15" ht="35.15" customHeight="1" x14ac:dyDescent="0.35">
      <c r="A45" s="127" t="s">
        <v>157</v>
      </c>
      <c r="B45" s="128" t="s">
        <v>185</v>
      </c>
      <c r="C45" s="128" t="s">
        <v>189</v>
      </c>
      <c r="D45" s="128" t="s">
        <v>186</v>
      </c>
      <c r="E45" s="128" t="s">
        <v>187</v>
      </c>
      <c r="F45" s="128" t="s">
        <v>188</v>
      </c>
      <c r="G45" s="129" t="s">
        <v>191</v>
      </c>
      <c r="H45" s="2"/>
      <c r="I45" s="131" t="s">
        <v>0</v>
      </c>
      <c r="J45" s="183">
        <f>DSUM(Table1[[#All],[Bowler]:[Frame 9]],J44,I44:I45)</f>
        <v>9.8333333333333339</v>
      </c>
      <c r="K45" s="210">
        <f>'FramebyFrame Totals'!T17</f>
        <v>21.166666666666668</v>
      </c>
      <c r="L45" s="2"/>
      <c r="M45" s="39" t="s">
        <v>0</v>
      </c>
      <c r="N45" s="215">
        <f>AVERAGE('10,7 Pins %'!B2:B2)</f>
        <v>0.75</v>
      </c>
      <c r="O45" s="213"/>
    </row>
    <row r="46" spans="1:15" ht="34.5" customHeight="1" x14ac:dyDescent="0.35">
      <c r="A46" s="131" t="s">
        <v>0</v>
      </c>
      <c r="B46" s="119" t="e">
        <f>Misc!B49</f>
        <v>#DIV/0!</v>
      </c>
      <c r="C46" s="119">
        <f>Misc!G49</f>
        <v>0</v>
      </c>
      <c r="D46" s="117">
        <f>Misc!C49</f>
        <v>0</v>
      </c>
      <c r="E46" s="117">
        <f>Misc!D49</f>
        <v>0</v>
      </c>
      <c r="F46" s="117">
        <f>Misc!E49</f>
        <v>0</v>
      </c>
      <c r="G46" s="165">
        <f>Misc!F49</f>
        <v>0</v>
      </c>
      <c r="H46" s="2"/>
      <c r="I46" s="73" t="s">
        <v>1</v>
      </c>
      <c r="J46" s="183">
        <f>DSUM(Table1[[#All],[Bowler]:[Frame 9]],J44,I44:I46)-(J45)</f>
        <v>10.000000000000002</v>
      </c>
      <c r="K46" s="210">
        <f>'FramebyFrame Totals'!T18</f>
        <v>20.333333333333332</v>
      </c>
      <c r="L46" s="2"/>
      <c r="M46" s="40" t="s">
        <v>1</v>
      </c>
      <c r="N46" s="215">
        <f>AVERAGE('10,7 Pins %'!C2:C2)</f>
        <v>0.8</v>
      </c>
      <c r="O46" s="213"/>
    </row>
    <row r="47" spans="1:15" ht="34.5" customHeight="1" x14ac:dyDescent="0.35">
      <c r="A47" s="73" t="s">
        <v>1</v>
      </c>
      <c r="B47" s="119" t="e">
        <f>Misc!B50</f>
        <v>#DIV/0!</v>
      </c>
      <c r="C47" s="119">
        <f>Misc!G50</f>
        <v>0</v>
      </c>
      <c r="D47" s="117">
        <f>Misc!C50</f>
        <v>0</v>
      </c>
      <c r="E47" s="117">
        <f>Misc!D50</f>
        <v>0</v>
      </c>
      <c r="F47" s="117">
        <f>Misc!E50</f>
        <v>0</v>
      </c>
      <c r="G47" s="165">
        <f>Misc!F50</f>
        <v>0</v>
      </c>
      <c r="H47" s="2"/>
      <c r="I47" s="74" t="s">
        <v>2</v>
      </c>
      <c r="J47" s="183">
        <f>DSUM(Table1[[#All],[Bowler]:[Frame 9]],J44,I44:I47)-(J45+J46)</f>
        <v>9.5555555555555571</v>
      </c>
      <c r="K47" s="210">
        <f>'FramebyFrame Totals'!T19</f>
        <v>21.222222222222221</v>
      </c>
      <c r="L47" s="20"/>
      <c r="M47" s="41" t="s">
        <v>2</v>
      </c>
      <c r="N47" s="215">
        <f>AVERAGE('10,7 Pins %'!D2:D2)</f>
        <v>0.55555555555555558</v>
      </c>
      <c r="O47" s="213"/>
    </row>
    <row r="48" spans="1:15" ht="35.15" customHeight="1" x14ac:dyDescent="0.35">
      <c r="A48" s="74" t="s">
        <v>2</v>
      </c>
      <c r="B48" s="119" t="e">
        <f>Misc!B51</f>
        <v>#DIV/0!</v>
      </c>
      <c r="C48" s="119">
        <f>Misc!G51</f>
        <v>0</v>
      </c>
      <c r="D48" s="117">
        <f>Misc!C51</f>
        <v>0</v>
      </c>
      <c r="E48" s="117">
        <f>Misc!D51</f>
        <v>0</v>
      </c>
      <c r="F48" s="117">
        <f>Misc!E51</f>
        <v>0</v>
      </c>
      <c r="G48" s="165">
        <f>Misc!F51</f>
        <v>0</v>
      </c>
      <c r="H48" s="2"/>
      <c r="I48" s="75" t="s">
        <v>3</v>
      </c>
      <c r="J48" s="183">
        <f>DSUM(Table1[[#All],[Bowler]:[Frame 9]],J44,I44:I48)-(J45+J46+J47)</f>
        <v>9.8888888888888928</v>
      </c>
      <c r="K48" s="210">
        <f>'FramebyFrame Totals'!T20</f>
        <v>20.222222222222221</v>
      </c>
      <c r="L48" s="4"/>
      <c r="M48" s="42" t="s">
        <v>3</v>
      </c>
      <c r="N48" s="215">
        <f>AVERAGE('10,7 Pins %'!E2:E2)</f>
        <v>0.7</v>
      </c>
      <c r="O48" s="213"/>
    </row>
    <row r="49" spans="1:15" ht="35.15" customHeight="1" thickBot="1" x14ac:dyDescent="0.4">
      <c r="A49" s="75" t="s">
        <v>3</v>
      </c>
      <c r="B49" s="119" t="e">
        <f>Misc!B52</f>
        <v>#DIV/0!</v>
      </c>
      <c r="C49" s="119">
        <f>Misc!G52</f>
        <v>0</v>
      </c>
      <c r="D49" s="117">
        <f>Misc!C52</f>
        <v>0</v>
      </c>
      <c r="E49" s="117">
        <f>Misc!D52</f>
        <v>0</v>
      </c>
      <c r="F49" s="117">
        <f>Misc!E52</f>
        <v>0</v>
      </c>
      <c r="G49" s="165">
        <f>Misc!F52</f>
        <v>0</v>
      </c>
      <c r="H49" s="2"/>
      <c r="I49" s="118" t="s">
        <v>4</v>
      </c>
      <c r="J49" s="211">
        <f>DSUM(Table1[[#All],[Bowler]:[Frame 9]],J44,I44:I49)-(J45+J46+J47+J48)</f>
        <v>9.8333333333333357</v>
      </c>
      <c r="K49" s="212">
        <f>'FramebyFrame Totals'!T21</f>
        <v>22.666666666666668</v>
      </c>
      <c r="L49" s="4"/>
      <c r="M49" s="214" t="s">
        <v>4</v>
      </c>
      <c r="N49" s="215">
        <f>AVERAGE('10,7 Pins %'!F2:F2)</f>
        <v>0.33333333333333331</v>
      </c>
      <c r="O49" s="213"/>
    </row>
    <row r="50" spans="1:15" ht="35.15" customHeight="1" thickBot="1" x14ac:dyDescent="0.4">
      <c r="A50" s="118" t="s">
        <v>4</v>
      </c>
      <c r="B50" s="120" t="e">
        <f>Misc!B53</f>
        <v>#DIV/0!</v>
      </c>
      <c r="C50" s="120">
        <f>Misc!G53</f>
        <v>0</v>
      </c>
      <c r="D50" s="166">
        <f>Misc!C53</f>
        <v>0</v>
      </c>
      <c r="E50" s="166">
        <f>Misc!D53</f>
        <v>0</v>
      </c>
      <c r="F50" s="166">
        <f>Misc!E53</f>
        <v>0</v>
      </c>
      <c r="G50" s="167">
        <f>Misc!F53</f>
        <v>0</v>
      </c>
      <c r="H50" s="2"/>
      <c r="I50" s="2"/>
      <c r="J50" s="2"/>
      <c r="K50" s="2"/>
      <c r="L50" s="2"/>
      <c r="M50" s="2"/>
      <c r="N50" s="2"/>
      <c r="O50" s="2"/>
    </row>
    <row r="51" spans="1:15" x14ac:dyDescent="0.35">
      <c r="A51" s="2"/>
      <c r="B51" s="2"/>
      <c r="C51" s="2"/>
      <c r="D51" s="2"/>
      <c r="E51" s="2"/>
      <c r="F51" s="2"/>
      <c r="G51" s="2"/>
      <c r="H51" s="2"/>
      <c r="I51" s="2"/>
      <c r="J51" s="2"/>
      <c r="K51" s="2"/>
      <c r="L51" s="2"/>
      <c r="M51" s="2"/>
      <c r="N51" s="2"/>
      <c r="O51" s="2"/>
    </row>
    <row r="52" spans="1:15" x14ac:dyDescent="0.35">
      <c r="A52" s="2"/>
      <c r="B52" s="2"/>
      <c r="C52" s="2"/>
      <c r="D52" s="2"/>
      <c r="E52" s="2"/>
      <c r="F52" s="2"/>
      <c r="G52" s="2"/>
      <c r="H52" s="2"/>
      <c r="I52" s="2"/>
      <c r="J52" s="2"/>
      <c r="K52" s="2"/>
      <c r="L52" s="2"/>
      <c r="M52" s="2"/>
      <c r="N52" s="2"/>
      <c r="O52" s="2"/>
    </row>
    <row r="53" spans="1:15" x14ac:dyDescent="0.35">
      <c r="A53" s="2"/>
      <c r="B53" s="2"/>
      <c r="C53" s="2"/>
      <c r="D53" s="2"/>
      <c r="E53" s="2"/>
      <c r="F53" s="2"/>
      <c r="G53" s="2"/>
      <c r="H53" s="2"/>
      <c r="I53" s="2"/>
      <c r="J53" s="2"/>
      <c r="K53" s="2"/>
      <c r="L53" s="2"/>
      <c r="M53" s="2"/>
      <c r="N53" s="2"/>
      <c r="O53" s="2"/>
    </row>
    <row r="54" spans="1:15" x14ac:dyDescent="0.35">
      <c r="A54" s="2"/>
      <c r="B54" s="2"/>
      <c r="C54" s="2"/>
      <c r="D54" s="2"/>
      <c r="E54" s="2"/>
      <c r="F54" s="2"/>
      <c r="G54" s="2"/>
      <c r="H54" s="2"/>
      <c r="I54" s="2"/>
      <c r="J54" s="2"/>
      <c r="K54" s="2"/>
      <c r="L54" s="2"/>
      <c r="M54" s="2"/>
      <c r="N54" s="2"/>
      <c r="O54" s="2"/>
    </row>
    <row r="55" spans="1:15" x14ac:dyDescent="0.35">
      <c r="A55" s="2"/>
      <c r="B55" s="2"/>
      <c r="C55" s="2"/>
      <c r="D55" s="2"/>
      <c r="E55" s="2"/>
      <c r="F55" s="2"/>
      <c r="G55" s="2"/>
      <c r="H55" s="2"/>
      <c r="I55" s="2"/>
      <c r="J55" s="2"/>
      <c r="K55" s="2"/>
      <c r="L55" s="2"/>
      <c r="M55" s="2"/>
      <c r="N55" s="2"/>
      <c r="O55" s="2"/>
    </row>
    <row r="56" spans="1:15" x14ac:dyDescent="0.35">
      <c r="A56" s="2"/>
      <c r="B56" s="2"/>
      <c r="C56" s="2"/>
      <c r="D56" s="2"/>
      <c r="E56" s="2"/>
      <c r="F56" s="2"/>
      <c r="G56" s="2"/>
      <c r="H56" s="2"/>
      <c r="I56" s="2"/>
      <c r="J56" s="2"/>
      <c r="K56" s="2"/>
      <c r="L56" s="2"/>
      <c r="M56" s="2"/>
      <c r="N56" s="2"/>
      <c r="O56" s="2"/>
    </row>
    <row r="57" spans="1:15" x14ac:dyDescent="0.35">
      <c r="A57" s="2"/>
      <c r="B57" s="2"/>
      <c r="C57" s="2"/>
      <c r="D57" s="2"/>
      <c r="E57" s="2"/>
      <c r="F57" s="2"/>
      <c r="G57" s="2"/>
      <c r="H57" s="2"/>
      <c r="I57" s="2"/>
      <c r="J57" s="2"/>
      <c r="K57" s="2"/>
      <c r="L57" s="2"/>
      <c r="M57" s="2"/>
      <c r="N57" s="2"/>
      <c r="O57" s="2"/>
    </row>
    <row r="58" spans="1:15" x14ac:dyDescent="0.35">
      <c r="A58" s="2"/>
      <c r="B58" s="2"/>
      <c r="C58" s="2"/>
      <c r="D58" s="2"/>
      <c r="E58" s="2"/>
      <c r="F58" s="2"/>
      <c r="G58" s="2"/>
      <c r="H58" s="2"/>
      <c r="I58" s="2"/>
      <c r="J58" s="2"/>
      <c r="K58" s="2"/>
      <c r="L58" s="2"/>
      <c r="M58" s="2"/>
      <c r="N58" s="2"/>
      <c r="O58" s="2"/>
    </row>
    <row r="59" spans="1:15" x14ac:dyDescent="0.35">
      <c r="A59" s="2"/>
      <c r="B59" s="2"/>
      <c r="C59" s="2"/>
      <c r="D59" s="2"/>
      <c r="E59" s="2"/>
      <c r="F59" s="2"/>
      <c r="G59" s="2"/>
      <c r="H59" s="2"/>
      <c r="I59" s="2"/>
      <c r="J59" s="2"/>
      <c r="K59" s="2"/>
      <c r="L59" s="2"/>
      <c r="M59" s="2"/>
      <c r="N59" s="2"/>
      <c r="O59" s="2"/>
    </row>
    <row r="60" spans="1:15" x14ac:dyDescent="0.35">
      <c r="A60" s="2"/>
      <c r="B60" s="2"/>
      <c r="C60" s="2"/>
      <c r="D60" s="2"/>
      <c r="E60" s="2"/>
      <c r="F60" s="2"/>
      <c r="G60" s="2"/>
      <c r="H60" s="2"/>
      <c r="I60" s="2"/>
      <c r="J60" s="2"/>
      <c r="K60" s="2"/>
      <c r="L60" s="2"/>
      <c r="M60" s="2"/>
      <c r="N60" s="2"/>
      <c r="O60" s="2"/>
    </row>
    <row r="61" spans="1:15" x14ac:dyDescent="0.35">
      <c r="A61" s="2"/>
      <c r="B61" s="2"/>
      <c r="C61" s="2"/>
      <c r="D61" s="2"/>
      <c r="E61" s="2"/>
      <c r="F61" s="2"/>
      <c r="G61" s="2"/>
      <c r="H61" s="2"/>
      <c r="I61" s="2"/>
      <c r="J61" s="2"/>
      <c r="K61" s="2"/>
      <c r="L61" s="2"/>
      <c r="M61" s="2"/>
      <c r="N61" s="2"/>
      <c r="O61" s="2"/>
    </row>
    <row r="62" spans="1:15" x14ac:dyDescent="0.35">
      <c r="A62" s="2"/>
      <c r="B62" s="2"/>
      <c r="C62" s="2"/>
      <c r="D62" s="2"/>
      <c r="E62" s="2"/>
      <c r="F62" s="2"/>
      <c r="G62" s="2"/>
      <c r="H62" s="2"/>
      <c r="I62" s="2"/>
      <c r="J62" s="2"/>
      <c r="K62" s="2"/>
      <c r="L62" s="2"/>
      <c r="M62" s="2"/>
      <c r="N62" s="2"/>
      <c r="O62" s="2"/>
    </row>
    <row r="63" spans="1:15" x14ac:dyDescent="0.35">
      <c r="A63" s="2"/>
      <c r="B63" s="2"/>
      <c r="C63" s="2"/>
      <c r="D63" s="2"/>
      <c r="E63" s="2"/>
      <c r="F63" s="2"/>
      <c r="G63" s="2"/>
      <c r="H63" s="2"/>
      <c r="I63" s="2"/>
      <c r="J63" s="2"/>
      <c r="K63" s="2"/>
      <c r="L63" s="2"/>
      <c r="M63" s="2"/>
      <c r="N63" s="2"/>
      <c r="O63" s="2"/>
    </row>
    <row r="64" spans="1:15" x14ac:dyDescent="0.35">
      <c r="A64" s="2"/>
      <c r="B64" s="2"/>
      <c r="C64" s="2"/>
      <c r="D64" s="2"/>
      <c r="E64" s="2"/>
      <c r="F64" s="2"/>
      <c r="G64" s="2"/>
      <c r="H64" s="2"/>
      <c r="I64" s="2"/>
      <c r="J64" s="2"/>
      <c r="K64" s="2"/>
      <c r="L64" s="2"/>
      <c r="M64" s="2"/>
      <c r="N64" s="2"/>
      <c r="O64" s="2"/>
    </row>
    <row r="65" spans="1:15" x14ac:dyDescent="0.35">
      <c r="A65" s="2"/>
      <c r="B65" s="2"/>
      <c r="C65" s="2"/>
      <c r="D65" s="2"/>
      <c r="E65" s="2"/>
      <c r="F65" s="2"/>
      <c r="G65" s="2"/>
      <c r="H65" s="2"/>
      <c r="I65" s="2"/>
      <c r="J65" s="2"/>
      <c r="K65" s="2"/>
      <c r="L65" s="2"/>
      <c r="M65" s="2"/>
      <c r="N65" s="2"/>
      <c r="O65" s="2"/>
    </row>
    <row r="66" spans="1:15" x14ac:dyDescent="0.35">
      <c r="A66" s="2"/>
      <c r="B66" s="2"/>
      <c r="C66" s="2"/>
      <c r="D66" s="2"/>
      <c r="E66" s="2"/>
      <c r="F66" s="2"/>
      <c r="G66" s="2"/>
      <c r="H66" s="2"/>
      <c r="I66" s="2"/>
      <c r="J66" s="2"/>
      <c r="K66" s="2"/>
      <c r="L66" s="2"/>
      <c r="M66" s="2"/>
      <c r="N66" s="2"/>
      <c r="O66" s="2"/>
    </row>
    <row r="67" spans="1:15" x14ac:dyDescent="0.35">
      <c r="A67" s="2"/>
      <c r="B67" s="2"/>
      <c r="C67" s="2"/>
      <c r="D67" s="2"/>
      <c r="E67" s="2"/>
      <c r="F67" s="2"/>
      <c r="G67" s="2"/>
      <c r="H67" s="2"/>
      <c r="I67" s="2"/>
      <c r="J67" s="2"/>
      <c r="K67" s="2"/>
      <c r="L67" s="2"/>
      <c r="M67" s="2"/>
      <c r="N67" s="2"/>
      <c r="O67" s="2"/>
    </row>
    <row r="68" spans="1:15" x14ac:dyDescent="0.35">
      <c r="A68" s="2"/>
      <c r="B68" s="2"/>
      <c r="C68" s="2"/>
      <c r="D68" s="2"/>
      <c r="E68" s="2"/>
      <c r="F68" s="2"/>
      <c r="G68" s="2"/>
      <c r="H68" s="2"/>
      <c r="I68" s="2"/>
      <c r="J68" s="2"/>
      <c r="K68" s="2"/>
      <c r="L68" s="2"/>
      <c r="M68" s="2"/>
      <c r="N68" s="2"/>
      <c r="O68" s="2"/>
    </row>
    <row r="69" spans="1:15" x14ac:dyDescent="0.35">
      <c r="A69" s="2"/>
      <c r="B69" s="2"/>
      <c r="C69" s="2"/>
      <c r="D69" s="2"/>
      <c r="E69" s="2"/>
      <c r="F69" s="2"/>
      <c r="G69" s="2"/>
      <c r="H69" s="2"/>
      <c r="I69" s="2"/>
      <c r="J69" s="2"/>
      <c r="K69" s="2"/>
      <c r="L69" s="2"/>
      <c r="M69" s="2"/>
      <c r="N69" s="2"/>
      <c r="O69" s="2"/>
    </row>
    <row r="70" spans="1:15" x14ac:dyDescent="0.35">
      <c r="A70" s="2"/>
      <c r="B70" s="2"/>
      <c r="C70" s="2"/>
      <c r="D70" s="2"/>
      <c r="E70" s="2"/>
      <c r="F70" s="2"/>
      <c r="G70" s="2"/>
      <c r="H70" s="2"/>
      <c r="I70" s="2"/>
      <c r="J70" s="2"/>
      <c r="K70" s="2"/>
      <c r="L70" s="2"/>
      <c r="M70" s="2"/>
      <c r="N70" s="2"/>
      <c r="O70" s="2"/>
    </row>
    <row r="71" spans="1:15" x14ac:dyDescent="0.35">
      <c r="A71" s="2"/>
      <c r="B71" s="2"/>
      <c r="C71" s="2"/>
      <c r="D71" s="2"/>
      <c r="E71" s="2"/>
      <c r="F71" s="2"/>
      <c r="G71" s="2"/>
      <c r="H71" s="2"/>
      <c r="I71" s="2"/>
      <c r="J71" s="2"/>
      <c r="K71" s="2"/>
      <c r="L71" s="2"/>
      <c r="M71" s="2"/>
      <c r="N71" s="2"/>
      <c r="O71" s="2"/>
    </row>
  </sheetData>
  <mergeCells count="10">
    <mergeCell ref="K11:L11"/>
    <mergeCell ref="I20:J20"/>
    <mergeCell ref="I21:J21"/>
    <mergeCell ref="C11:F11"/>
    <mergeCell ref="A20:G20"/>
    <mergeCell ref="A28:G28"/>
    <mergeCell ref="A36:G36"/>
    <mergeCell ref="A44:G44"/>
    <mergeCell ref="B2:C2"/>
    <mergeCell ref="H11:I11"/>
  </mergeCells>
  <conditionalFormatting sqref="C13:F17">
    <cfRule type="containsText" dxfId="11" priority="1" operator="containsText" text="Ron">
      <formula>NOT(ISERROR(SEARCH("Ron",C13)))</formula>
    </cfRule>
    <cfRule type="containsText" dxfId="10" priority="2" operator="containsText" text="Greenman">
      <formula>NOT(ISERROR(SEARCH("Greenman",C13)))</formula>
    </cfRule>
    <cfRule type="containsText" dxfId="9" priority="3" operator="containsText" text="Eric">
      <formula>NOT(ISERROR(SEARCH("Eric",C13)))</formula>
    </cfRule>
    <cfRule type="containsText" dxfId="8" priority="4" operator="containsText" text="Mike">
      <formula>NOT(ISERROR(SEARCH("Mike",C13)))</formula>
    </cfRule>
    <cfRule type="containsText" dxfId="7" priority="5" operator="containsText" text="Nick">
      <formula>NOT(ISERROR(SEARCH("Nick",C13)))</formula>
    </cfRule>
    <cfRule type="containsText" dxfId="6" priority="6" operator="containsText" text="John">
      <formula>NOT(ISERROR(SEARCH("John",C13)))</formula>
    </cfRule>
  </conditionalFormatting>
  <conditionalFormatting sqref="D19">
    <cfRule type="containsText" dxfId="5" priority="43" operator="containsText" text="Ron">
      <formula>NOT(ISERROR(SEARCH("Ron",D19)))</formula>
    </cfRule>
    <cfRule type="containsText" dxfId="4" priority="44" operator="containsText" text="Greenman">
      <formula>NOT(ISERROR(SEARCH("Greenman",D19)))</formula>
    </cfRule>
    <cfRule type="containsText" dxfId="3" priority="45" operator="containsText" text="Eric">
      <formula>NOT(ISERROR(SEARCH("Eric",D19)))</formula>
    </cfRule>
    <cfRule type="containsText" dxfId="2" priority="46" operator="containsText" text="Mike">
      <formula>NOT(ISERROR(SEARCH("Mike",D19)))</formula>
    </cfRule>
    <cfRule type="containsText" dxfId="1" priority="47" operator="containsText" text="Nick">
      <formula>NOT(ISERROR(SEARCH("Nick",D19)))</formula>
    </cfRule>
    <cfRule type="containsText" dxfId="0" priority="48" operator="containsText" text="John">
      <formula>NOT(ISERROR(SEARCH("John",D19)))</formula>
    </cfRule>
  </conditionalFormatting>
  <dataValidations count="2">
    <dataValidation type="list" allowBlank="1" showInputMessage="1" showErrorMessage="1" sqref="D19" xr:uid="{71C25849-026D-48FD-B25F-F68E14C89835}">
      <formula1>$A$3:$A$8</formula1>
    </dataValidation>
    <dataValidation type="list" allowBlank="1" showInputMessage="1" showErrorMessage="1" sqref="A22 M45 I45 I38 A46 I31 A30 I24 A38" xr:uid="{067F2D90-A2E1-4E3E-B376-DB87C19287BB}">
      <formula1>$A$3:$A$7</formula1>
    </dataValidation>
  </dataValidations>
  <pageMargins left="0.7" right="0.7" top="0.75" bottom="0.75" header="0.3" footer="0.3"/>
  <headerFooter>
    <oddHeader>&amp;L&amp;"Aptos"&amp;12&amp;K03C03C Public&amp;1#_x000D_</oddHead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FC68C12-8F70-46E2-8C79-C3D12048D064}">
          <x14:formula1>
            <xm:f>Misc!$B$26:$F$26</xm:f>
          </x14:formula1>
          <xm:sqref>F45 F21 B29 B45 B37 F29 F37</xm:sqref>
        </x14:dataValidation>
        <x14:dataValidation type="list" allowBlank="1" showInputMessage="1" showErrorMessage="1" xr:uid="{7B5F355D-13FD-454E-9940-AA7313890F92}">
          <x14:formula1>
            <xm:f>'FramebyFrame Totals'!$K$16:$S$16</xm:f>
          </x14:formula1>
          <xm:sqref>J44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23F02-C6A9-4B20-8AA6-A2A8F448C909}">
  <dimension ref="A1:Q45"/>
  <sheetViews>
    <sheetView workbookViewId="0">
      <pane ySplit="4" topLeftCell="A5" activePane="bottomLeft" state="frozen"/>
      <selection pane="bottomLeft" activeCell="N7" sqref="N7"/>
    </sheetView>
  </sheetViews>
  <sheetFormatPr defaultRowHeight="14.5" x14ac:dyDescent="0.35"/>
  <cols>
    <col min="2" max="7" width="11.54296875" customWidth="1"/>
    <col min="11" max="16" width="11.54296875" customWidth="1"/>
  </cols>
  <sheetData>
    <row r="1" spans="1:17" x14ac:dyDescent="0.35">
      <c r="A1" s="3"/>
      <c r="B1" s="3"/>
      <c r="C1" s="4"/>
      <c r="D1" s="4"/>
      <c r="E1" s="4"/>
      <c r="F1" s="4"/>
      <c r="G1" s="4"/>
      <c r="H1" s="2"/>
      <c r="I1" s="2"/>
      <c r="J1" s="2"/>
      <c r="K1" s="2"/>
      <c r="L1" s="2"/>
      <c r="M1" s="2"/>
      <c r="N1" s="2"/>
      <c r="O1" s="2"/>
      <c r="P1" s="2"/>
      <c r="Q1" s="2"/>
    </row>
    <row r="2" spans="1:17" x14ac:dyDescent="0.35">
      <c r="A2" s="3"/>
      <c r="B2" s="19"/>
      <c r="C2" s="244" t="s">
        <v>42</v>
      </c>
      <c r="D2" s="245"/>
      <c r="E2" s="245"/>
      <c r="F2" s="245"/>
      <c r="G2" s="19"/>
      <c r="H2" s="2"/>
      <c r="I2" s="2"/>
      <c r="J2" s="3"/>
      <c r="K2" s="19"/>
      <c r="L2" s="244" t="s">
        <v>43</v>
      </c>
      <c r="M2" s="245"/>
      <c r="N2" s="245"/>
      <c r="O2" s="245"/>
      <c r="P2" s="19"/>
      <c r="Q2" s="2"/>
    </row>
    <row r="3" spans="1:17" x14ac:dyDescent="0.35">
      <c r="A3" s="3"/>
      <c r="B3" s="19"/>
      <c r="C3" s="19"/>
      <c r="D3" s="19"/>
      <c r="E3" s="19"/>
      <c r="F3" s="19"/>
      <c r="G3" s="19"/>
      <c r="H3" s="2"/>
      <c r="I3" s="2"/>
      <c r="J3" s="3"/>
      <c r="K3" s="19"/>
      <c r="L3" s="19"/>
      <c r="M3" s="19"/>
      <c r="N3" s="19"/>
      <c r="O3" s="19"/>
      <c r="P3" s="19"/>
      <c r="Q3" s="2"/>
    </row>
    <row r="4" spans="1:17" x14ac:dyDescent="0.35">
      <c r="A4" s="1"/>
      <c r="B4" s="15" t="s">
        <v>0</v>
      </c>
      <c r="C4" s="16" t="s">
        <v>1</v>
      </c>
      <c r="D4" s="30" t="s">
        <v>2</v>
      </c>
      <c r="E4" s="24" t="s">
        <v>3</v>
      </c>
      <c r="F4" s="25" t="s">
        <v>4</v>
      </c>
      <c r="G4" s="26" t="s">
        <v>5</v>
      </c>
      <c r="H4" s="2"/>
      <c r="I4" s="2"/>
      <c r="J4" s="29"/>
      <c r="K4" s="27" t="s">
        <v>0</v>
      </c>
      <c r="L4" s="16" t="s">
        <v>1</v>
      </c>
      <c r="M4" s="17" t="s">
        <v>2</v>
      </c>
      <c r="N4" s="24" t="s">
        <v>3</v>
      </c>
      <c r="O4" s="23" t="s">
        <v>4</v>
      </c>
      <c r="P4" s="18" t="s">
        <v>5</v>
      </c>
      <c r="Q4" s="2"/>
    </row>
    <row r="5" spans="1:17" x14ac:dyDescent="0.35">
      <c r="A5" s="5" t="s">
        <v>6</v>
      </c>
      <c r="B5" s="8">
        <f>SUM('Game by Game Scores'!B5:B7)</f>
        <v>647</v>
      </c>
      <c r="C5" s="9">
        <f>SUM('Game by Game Scores'!C5:C7)</f>
        <v>658</v>
      </c>
      <c r="D5" s="10">
        <f>SUM('Game by Game Scores'!D5:D7)</f>
        <v>559</v>
      </c>
      <c r="E5" s="32">
        <f>SUM('Game by Game Scores'!E5:E7)</f>
        <v>639</v>
      </c>
      <c r="F5" s="22">
        <f>SUM('Game by Game Scores'!F5:F7)</f>
        <v>580</v>
      </c>
      <c r="G5" s="177"/>
      <c r="H5" s="4"/>
      <c r="I5" s="4"/>
      <c r="J5" s="13" t="s">
        <v>6</v>
      </c>
      <c r="K5" s="8">
        <f>SUM('Game by Game Scores'!K5:K7)</f>
        <v>707</v>
      </c>
      <c r="L5" s="9">
        <f>SUM('Game by Game Scores'!L5:L7)</f>
        <v>658</v>
      </c>
      <c r="M5" s="10">
        <f>SUM('Game by Game Scores'!M5:M7)</f>
        <v>559</v>
      </c>
      <c r="N5" s="32">
        <f>SUM('Game by Game Scores'!N5:N7)</f>
        <v>639</v>
      </c>
      <c r="O5" s="22">
        <f>SUM('Game by Game Scores'!O5:O7)</f>
        <v>592</v>
      </c>
      <c r="P5" s="177"/>
      <c r="Q5" s="2"/>
    </row>
    <row r="6" spans="1:17" x14ac:dyDescent="0.35">
      <c r="A6" s="5" t="s">
        <v>7</v>
      </c>
      <c r="B6" s="8">
        <f>SUM('Game by Game Scores'!B8:B10)</f>
        <v>610</v>
      </c>
      <c r="C6" s="9">
        <f>SUM('Game by Game Scores'!C8:C10)</f>
        <v>594</v>
      </c>
      <c r="D6" s="10">
        <f>SUM('Game by Game Scores'!D8:D10)</f>
        <v>683</v>
      </c>
      <c r="E6" s="32">
        <f>SUM('Game by Game Scores'!E8:E10)</f>
        <v>580</v>
      </c>
      <c r="F6" s="22">
        <f>SUM('Game by Game Scores'!F8:F10)</f>
        <v>498</v>
      </c>
      <c r="G6" s="177"/>
      <c r="H6" s="2"/>
      <c r="I6" s="2"/>
      <c r="J6" s="13" t="s">
        <v>7</v>
      </c>
      <c r="K6" s="8">
        <f>SUM('Game by Game Scores'!K8:K10)</f>
        <v>658</v>
      </c>
      <c r="L6" s="9">
        <f>SUM('Game by Game Scores'!L8:L10)</f>
        <v>594</v>
      </c>
      <c r="M6" s="10">
        <f>SUM('Game by Game Scores'!M8:M10)</f>
        <v>683</v>
      </c>
      <c r="N6" s="32">
        <f>SUM('Game by Game Scores'!N8:N10)</f>
        <v>592</v>
      </c>
      <c r="O6" s="22">
        <f>SUM('Game by Game Scores'!O8:O10)</f>
        <v>498</v>
      </c>
      <c r="P6" s="177"/>
      <c r="Q6" s="2"/>
    </row>
    <row r="7" spans="1:17" x14ac:dyDescent="0.35">
      <c r="A7" s="5" t="s">
        <v>8</v>
      </c>
      <c r="B7" s="177"/>
      <c r="C7" s="9">
        <f>SUM('Game by Game Scores'!C11:C13)</f>
        <v>568</v>
      </c>
      <c r="D7" s="10">
        <f>SUM('Game by Game Scores'!D11:D13)</f>
        <v>638</v>
      </c>
      <c r="E7" s="32">
        <f>SUM('Game by Game Scores'!E11:E13)</f>
        <v>558</v>
      </c>
      <c r="F7" s="177"/>
      <c r="G7" s="6">
        <f>SUM('Game by Game Scores'!G11:G13)</f>
        <v>577</v>
      </c>
      <c r="H7" s="2"/>
      <c r="I7" s="2"/>
      <c r="J7" s="28" t="s">
        <v>8</v>
      </c>
      <c r="K7" s="177"/>
      <c r="L7" s="9">
        <f>SUM('Game by Game Scores'!L11:L13)</f>
        <v>628</v>
      </c>
      <c r="M7" s="10">
        <f>SUM('Game by Game Scores'!M11:M13)</f>
        <v>638</v>
      </c>
      <c r="N7" s="32">
        <f>SUM('Game by Game Scores'!N11:N13)</f>
        <v>558</v>
      </c>
      <c r="O7" s="177"/>
      <c r="P7" s="6">
        <f>SUM('Game by Game Scores'!P11:P13)</f>
        <v>577</v>
      </c>
      <c r="Q7" s="2"/>
    </row>
    <row r="8" spans="1:17" x14ac:dyDescent="0.35">
      <c r="A8" s="5" t="s">
        <v>9</v>
      </c>
      <c r="B8" s="8">
        <f>SUM('Game by Game Scores'!B14:B16)</f>
        <v>0</v>
      </c>
      <c r="C8" s="9">
        <f>SUM('Game by Game Scores'!C14:C16)</f>
        <v>0</v>
      </c>
      <c r="D8" s="10">
        <f>SUM('Game by Game Scores'!D14:D16)</f>
        <v>0</v>
      </c>
      <c r="E8" s="32">
        <f>SUM('Game by Game Scores'!E14:E16)</f>
        <v>0</v>
      </c>
      <c r="F8" s="22">
        <f>SUM('Game by Game Scores'!F14:F16)</f>
        <v>0</v>
      </c>
      <c r="G8" s="6">
        <f>SUM('Game by Game Scores'!G14:G16)</f>
        <v>0</v>
      </c>
      <c r="H8" s="2"/>
      <c r="I8" s="2"/>
      <c r="J8" s="5" t="s">
        <v>9</v>
      </c>
      <c r="K8" s="8">
        <f>SUM('Game by Game Scores'!K14:K16)</f>
        <v>0</v>
      </c>
      <c r="L8" s="9">
        <f>SUM('Game by Game Scores'!L14:L16)</f>
        <v>0</v>
      </c>
      <c r="M8" s="10">
        <f>SUM('Game by Game Scores'!M14:M16)</f>
        <v>0</v>
      </c>
      <c r="N8" s="32">
        <f>SUM('Game by Game Scores'!N14:N16)</f>
        <v>0</v>
      </c>
      <c r="O8" s="22">
        <f>SUM('Game by Game Scores'!O14:O16)</f>
        <v>0</v>
      </c>
      <c r="P8" s="6">
        <f>SUM('Game by Game Scores'!P14:P16)</f>
        <v>0</v>
      </c>
      <c r="Q8" s="2"/>
    </row>
    <row r="9" spans="1:17" x14ac:dyDescent="0.35">
      <c r="A9" s="5" t="s">
        <v>10</v>
      </c>
      <c r="B9" s="8">
        <f>SUM('Game by Game Scores'!B17:B19)</f>
        <v>0</v>
      </c>
      <c r="C9" s="9">
        <f>SUM('Game by Game Scores'!C17:C19)</f>
        <v>0</v>
      </c>
      <c r="D9" s="10">
        <f>SUM('Game by Game Scores'!D17:D19)</f>
        <v>0</v>
      </c>
      <c r="E9" s="32">
        <f>SUM('Game by Game Scores'!E17:E19)</f>
        <v>0</v>
      </c>
      <c r="F9" s="22">
        <f>SUM('Game by Game Scores'!F17:F19)</f>
        <v>0</v>
      </c>
      <c r="G9" s="6">
        <f>SUM('Game by Game Scores'!G17:G19)</f>
        <v>0</v>
      </c>
      <c r="H9" s="2"/>
      <c r="I9" s="2"/>
      <c r="J9" s="5" t="s">
        <v>10</v>
      </c>
      <c r="K9" s="8">
        <f>SUM('Game by Game Scores'!K17:K19)</f>
        <v>0</v>
      </c>
      <c r="L9" s="9">
        <f>SUM('Game by Game Scores'!L17:L19)</f>
        <v>0</v>
      </c>
      <c r="M9" s="10">
        <f>SUM('Game by Game Scores'!M17:M19)</f>
        <v>0</v>
      </c>
      <c r="N9" s="32">
        <f>SUM('Game by Game Scores'!N17:N19)</f>
        <v>0</v>
      </c>
      <c r="O9" s="22">
        <f>SUM('Game by Game Scores'!O17:O19)</f>
        <v>0</v>
      </c>
      <c r="P9" s="6">
        <f>SUM('Game by Game Scores'!P17:P19)</f>
        <v>0</v>
      </c>
      <c r="Q9" s="2"/>
    </row>
    <row r="10" spans="1:17" x14ac:dyDescent="0.35">
      <c r="A10" s="5" t="s">
        <v>11</v>
      </c>
      <c r="B10" s="8">
        <f>SUM('Game by Game Scores'!B20:B22)</f>
        <v>0</v>
      </c>
      <c r="C10" s="9">
        <f>SUM('Game by Game Scores'!C20:C22)</f>
        <v>0</v>
      </c>
      <c r="D10" s="10">
        <f>SUM('Game by Game Scores'!D20:D22)</f>
        <v>0</v>
      </c>
      <c r="E10" s="32">
        <f>SUM('Game by Game Scores'!E20:E22)</f>
        <v>0</v>
      </c>
      <c r="F10" s="22">
        <f>SUM('Game by Game Scores'!F20:F22)</f>
        <v>0</v>
      </c>
      <c r="G10" s="6">
        <f>SUM('Game by Game Scores'!G20:G22)</f>
        <v>0</v>
      </c>
      <c r="H10" s="2"/>
      <c r="I10" s="2"/>
      <c r="J10" s="5" t="s">
        <v>11</v>
      </c>
      <c r="K10" s="8">
        <f>SUM('Game by Game Scores'!K20:K22)</f>
        <v>0</v>
      </c>
      <c r="L10" s="9">
        <f>SUM('Game by Game Scores'!L20:L22)</f>
        <v>0</v>
      </c>
      <c r="M10" s="10">
        <f>SUM('Game by Game Scores'!M20:M22)</f>
        <v>0</v>
      </c>
      <c r="N10" s="32">
        <f>SUM('Game by Game Scores'!N20:N22)</f>
        <v>0</v>
      </c>
      <c r="O10" s="22">
        <f>SUM('Game by Game Scores'!O20:O22)</f>
        <v>0</v>
      </c>
      <c r="P10" s="6">
        <f>SUM('Game by Game Scores'!P20:P22)</f>
        <v>0</v>
      </c>
      <c r="Q10" s="2"/>
    </row>
    <row r="11" spans="1:17" x14ac:dyDescent="0.35">
      <c r="A11" s="5" t="s">
        <v>12</v>
      </c>
      <c r="B11" s="8">
        <f>SUM('Game by Game Scores'!B23:B25)</f>
        <v>0</v>
      </c>
      <c r="C11" s="9">
        <f>SUM('Game by Game Scores'!C23:C25)</f>
        <v>0</v>
      </c>
      <c r="D11" s="10">
        <f>SUM('Game by Game Scores'!D23:D25)</f>
        <v>0</v>
      </c>
      <c r="E11" s="32">
        <f>SUM('Game by Game Scores'!E23:E25)</f>
        <v>0</v>
      </c>
      <c r="F11" s="22">
        <f>SUM('Game by Game Scores'!F23:F25)</f>
        <v>0</v>
      </c>
      <c r="G11" s="6">
        <f>SUM('Game by Game Scores'!G23:G25)</f>
        <v>0</v>
      </c>
      <c r="H11" s="2"/>
      <c r="I11" s="2"/>
      <c r="J11" s="5" t="s">
        <v>12</v>
      </c>
      <c r="K11" s="8">
        <f>SUM('Game by Game Scores'!K23:K25)</f>
        <v>0</v>
      </c>
      <c r="L11" s="9">
        <f>SUM('Game by Game Scores'!L23:L25)</f>
        <v>0</v>
      </c>
      <c r="M11" s="10">
        <f>SUM('Game by Game Scores'!M23:M25)</f>
        <v>0</v>
      </c>
      <c r="N11" s="32">
        <f>SUM('Game by Game Scores'!N23:N25)</f>
        <v>0</v>
      </c>
      <c r="O11" s="22">
        <f>SUM('Game by Game Scores'!O23:O25)</f>
        <v>0</v>
      </c>
      <c r="P11" s="6">
        <f>SUM('Game by Game Scores'!P23:P25)</f>
        <v>0</v>
      </c>
      <c r="Q11" s="2"/>
    </row>
    <row r="12" spans="1:17" x14ac:dyDescent="0.35">
      <c r="A12" s="5" t="s">
        <v>13</v>
      </c>
      <c r="B12" s="8">
        <f>SUM('Game by Game Scores'!B26:B28)</f>
        <v>0</v>
      </c>
      <c r="C12" s="9">
        <f>SUM('Game by Game Scores'!C26:C28)</f>
        <v>0</v>
      </c>
      <c r="D12" s="10">
        <f>SUM('Game by Game Scores'!D26:D28)</f>
        <v>0</v>
      </c>
      <c r="E12" s="32">
        <f>SUM('Game by Game Scores'!E26:E28)</f>
        <v>0</v>
      </c>
      <c r="F12" s="22">
        <f>SUM('Game by Game Scores'!F26:F28)</f>
        <v>0</v>
      </c>
      <c r="G12" s="6">
        <f>SUM('Game by Game Scores'!G26:G28)</f>
        <v>0</v>
      </c>
      <c r="H12" s="2"/>
      <c r="I12" s="2"/>
      <c r="J12" s="5" t="s">
        <v>13</v>
      </c>
      <c r="K12" s="8">
        <f>SUM('Game by Game Scores'!K26:K28)</f>
        <v>0</v>
      </c>
      <c r="L12" s="9">
        <f>SUM('Game by Game Scores'!L26:L28)</f>
        <v>0</v>
      </c>
      <c r="M12" s="10">
        <f>SUM('Game by Game Scores'!M26:M28)</f>
        <v>0</v>
      </c>
      <c r="N12" s="32">
        <f>SUM('Game by Game Scores'!N26:N28)</f>
        <v>0</v>
      </c>
      <c r="O12" s="22">
        <f>SUM('Game by Game Scores'!O26:O28)</f>
        <v>0</v>
      </c>
      <c r="P12" s="6">
        <f>SUM('Game by Game Scores'!P26:P28)</f>
        <v>0</v>
      </c>
      <c r="Q12" s="2"/>
    </row>
    <row r="13" spans="1:17" x14ac:dyDescent="0.35">
      <c r="A13" s="5" t="s">
        <v>14</v>
      </c>
      <c r="B13" s="8">
        <f>SUM('Game by Game Scores'!B29:B31)</f>
        <v>0</v>
      </c>
      <c r="C13" s="9">
        <f>SUM('Game by Game Scores'!C29:C31)</f>
        <v>0</v>
      </c>
      <c r="D13" s="10">
        <f>SUM('Game by Game Scores'!D29:D31)</f>
        <v>0</v>
      </c>
      <c r="E13" s="32">
        <f>SUM('Game by Game Scores'!E29:E31)</f>
        <v>0</v>
      </c>
      <c r="F13" s="22">
        <f>SUM('Game by Game Scores'!F29:F31)</f>
        <v>0</v>
      </c>
      <c r="G13" s="6">
        <f>SUM('Game by Game Scores'!G29:G31)</f>
        <v>0</v>
      </c>
      <c r="H13" s="2"/>
      <c r="I13" s="2"/>
      <c r="J13" s="5" t="s">
        <v>14</v>
      </c>
      <c r="K13" s="8">
        <f>SUM('Game by Game Scores'!K29:K31)</f>
        <v>0</v>
      </c>
      <c r="L13" s="9">
        <f>SUM('Game by Game Scores'!L29:L31)</f>
        <v>0</v>
      </c>
      <c r="M13" s="10">
        <f>SUM('Game by Game Scores'!M29:M31)</f>
        <v>0</v>
      </c>
      <c r="N13" s="32">
        <f>SUM('Game by Game Scores'!N29:N31)</f>
        <v>0</v>
      </c>
      <c r="O13" s="22">
        <f>SUM('Game by Game Scores'!O29:O31)</f>
        <v>0</v>
      </c>
      <c r="P13" s="6">
        <f>SUM('Game by Game Scores'!P29:P31)</f>
        <v>0</v>
      </c>
      <c r="Q13" s="2"/>
    </row>
    <row r="14" spans="1:17" x14ac:dyDescent="0.35">
      <c r="A14" s="5" t="s">
        <v>15</v>
      </c>
      <c r="B14" s="8">
        <f>SUM('Game by Game Scores'!B32:B34)</f>
        <v>0</v>
      </c>
      <c r="C14" s="9">
        <f>SUM('Game by Game Scores'!C32:C34)</f>
        <v>0</v>
      </c>
      <c r="D14" s="10">
        <f>SUM('Game by Game Scores'!D32:D34)</f>
        <v>0</v>
      </c>
      <c r="E14" s="32">
        <f>SUM('Game by Game Scores'!E32:E34)</f>
        <v>0</v>
      </c>
      <c r="F14" s="22">
        <f>SUM('Game by Game Scores'!F32:F34)</f>
        <v>0</v>
      </c>
      <c r="G14" s="6">
        <f>SUM('Game by Game Scores'!G32:G34)</f>
        <v>0</v>
      </c>
      <c r="H14" s="2"/>
      <c r="I14" s="2"/>
      <c r="J14" s="5" t="s">
        <v>15</v>
      </c>
      <c r="K14" s="8">
        <f>SUM('Game by Game Scores'!K32:K34)</f>
        <v>0</v>
      </c>
      <c r="L14" s="9">
        <f>SUM('Game by Game Scores'!L32:L34)</f>
        <v>0</v>
      </c>
      <c r="M14" s="10">
        <f>SUM('Game by Game Scores'!M32:M34)</f>
        <v>0</v>
      </c>
      <c r="N14" s="32">
        <f>SUM('Game by Game Scores'!N32:N34)</f>
        <v>0</v>
      </c>
      <c r="O14" s="22">
        <f>SUM('Game by Game Scores'!O32:O34)</f>
        <v>0</v>
      </c>
      <c r="P14" s="6">
        <f>SUM('Game by Game Scores'!P32:P34)</f>
        <v>0</v>
      </c>
      <c r="Q14" s="2"/>
    </row>
    <row r="15" spans="1:17" x14ac:dyDescent="0.35">
      <c r="A15" s="5" t="s">
        <v>16</v>
      </c>
      <c r="B15" s="8">
        <f>SUM('Game by Game Scores'!B35:B37)</f>
        <v>0</v>
      </c>
      <c r="C15" s="9">
        <f>SUM('Game by Game Scores'!C35:C37)</f>
        <v>0</v>
      </c>
      <c r="D15" s="10">
        <f>SUM('Game by Game Scores'!D35:D37)</f>
        <v>0</v>
      </c>
      <c r="E15" s="32">
        <f>SUM('Game by Game Scores'!E35:E37)</f>
        <v>0</v>
      </c>
      <c r="F15" s="22">
        <f>SUM('Game by Game Scores'!F35:F37)</f>
        <v>0</v>
      </c>
      <c r="G15" s="6">
        <f>SUM('Game by Game Scores'!G35:G37)</f>
        <v>0</v>
      </c>
      <c r="H15" s="2"/>
      <c r="I15" s="2"/>
      <c r="J15" s="5" t="s">
        <v>16</v>
      </c>
      <c r="K15" s="8">
        <f>SUM('Game by Game Scores'!K35:K37)</f>
        <v>0</v>
      </c>
      <c r="L15" s="9">
        <f>SUM('Game by Game Scores'!L35:L37)</f>
        <v>0</v>
      </c>
      <c r="M15" s="10">
        <f>SUM('Game by Game Scores'!M35:M37)</f>
        <v>0</v>
      </c>
      <c r="N15" s="32">
        <f>SUM('Game by Game Scores'!N35:N37)</f>
        <v>0</v>
      </c>
      <c r="O15" s="22">
        <f>SUM('Game by Game Scores'!O35:O37)</f>
        <v>0</v>
      </c>
      <c r="P15" s="6">
        <f>SUM('Game by Game Scores'!P35:P37)</f>
        <v>0</v>
      </c>
      <c r="Q15" s="2"/>
    </row>
    <row r="16" spans="1:17" x14ac:dyDescent="0.35">
      <c r="A16" s="5" t="s">
        <v>17</v>
      </c>
      <c r="B16" s="8">
        <f>SUM('Game by Game Scores'!B38:B40)</f>
        <v>0</v>
      </c>
      <c r="C16" s="9">
        <f>SUM('Game by Game Scores'!C38:C40)</f>
        <v>0</v>
      </c>
      <c r="D16" s="10">
        <f>SUM('Game by Game Scores'!D38:D40)</f>
        <v>0</v>
      </c>
      <c r="E16" s="32">
        <f>SUM('Game by Game Scores'!E38:E40)</f>
        <v>0</v>
      </c>
      <c r="F16" s="22">
        <f>SUM('Game by Game Scores'!F38:F40)</f>
        <v>0</v>
      </c>
      <c r="G16" s="6">
        <f>SUM('Game by Game Scores'!G38:G40)</f>
        <v>0</v>
      </c>
      <c r="H16" s="2"/>
      <c r="I16" s="2"/>
      <c r="J16" s="5" t="s">
        <v>17</v>
      </c>
      <c r="K16" s="8">
        <f>SUM('Game by Game Scores'!K38:K40)</f>
        <v>0</v>
      </c>
      <c r="L16" s="9">
        <f>SUM('Game by Game Scores'!L38:L40)</f>
        <v>0</v>
      </c>
      <c r="M16" s="10">
        <f>SUM('Game by Game Scores'!M38:M40)</f>
        <v>0</v>
      </c>
      <c r="N16" s="32">
        <f>SUM('Game by Game Scores'!N38:N40)</f>
        <v>0</v>
      </c>
      <c r="O16" s="22">
        <f>SUM('Game by Game Scores'!O38:O40)</f>
        <v>0</v>
      </c>
      <c r="P16" s="6">
        <f>SUM('Game by Game Scores'!P38:P40)</f>
        <v>0</v>
      </c>
      <c r="Q16" s="2"/>
    </row>
    <row r="17" spans="1:17" x14ac:dyDescent="0.35">
      <c r="A17" s="5" t="s">
        <v>18</v>
      </c>
      <c r="B17" s="8">
        <f>SUM('Game by Game Scores'!B41:B43)</f>
        <v>0</v>
      </c>
      <c r="C17" s="9">
        <f>SUM('Game by Game Scores'!C41:C43)</f>
        <v>0</v>
      </c>
      <c r="D17" s="10">
        <f>SUM('Game by Game Scores'!D41:D43)</f>
        <v>0</v>
      </c>
      <c r="E17" s="32">
        <f>SUM('Game by Game Scores'!E41:E43)</f>
        <v>0</v>
      </c>
      <c r="F17" s="22">
        <f>SUM('Game by Game Scores'!F41:F43)</f>
        <v>0</v>
      </c>
      <c r="G17" s="6">
        <f>SUM('Game by Game Scores'!G41:G43)</f>
        <v>0</v>
      </c>
      <c r="H17" s="2"/>
      <c r="I17" s="2"/>
      <c r="J17" s="5" t="s">
        <v>18</v>
      </c>
      <c r="K17" s="8">
        <f>SUM('Game by Game Scores'!K41:K43)</f>
        <v>0</v>
      </c>
      <c r="L17" s="9">
        <f>SUM('Game by Game Scores'!L41:L43)</f>
        <v>0</v>
      </c>
      <c r="M17" s="10">
        <f>SUM('Game by Game Scores'!M41:M43)</f>
        <v>0</v>
      </c>
      <c r="N17" s="32">
        <f>SUM('Game by Game Scores'!N41:N43)</f>
        <v>0</v>
      </c>
      <c r="O17" s="22">
        <f>SUM('Game by Game Scores'!O41:O43)</f>
        <v>0</v>
      </c>
      <c r="P17" s="6">
        <f>SUM('Game by Game Scores'!P41:P43)</f>
        <v>0</v>
      </c>
      <c r="Q17" s="2"/>
    </row>
    <row r="18" spans="1:17" x14ac:dyDescent="0.35">
      <c r="A18" s="5" t="s">
        <v>19</v>
      </c>
      <c r="B18" s="8">
        <f>SUM('Game by Game Scores'!B44:B46)</f>
        <v>0</v>
      </c>
      <c r="C18" s="9">
        <f>SUM('Game by Game Scores'!C44:C46)</f>
        <v>0</v>
      </c>
      <c r="D18" s="10">
        <f>SUM('Game by Game Scores'!D44:D46)</f>
        <v>0</v>
      </c>
      <c r="E18" s="32">
        <f>SUM('Game by Game Scores'!E44:E46)</f>
        <v>0</v>
      </c>
      <c r="F18" s="22">
        <f>SUM('Game by Game Scores'!F44:F46)</f>
        <v>0</v>
      </c>
      <c r="G18" s="6">
        <f>SUM('Game by Game Scores'!G44:G46)</f>
        <v>0</v>
      </c>
      <c r="H18" s="2"/>
      <c r="I18" s="2"/>
      <c r="J18" s="5" t="s">
        <v>19</v>
      </c>
      <c r="K18" s="8">
        <f>SUM('Game by Game Scores'!K44:K46)</f>
        <v>0</v>
      </c>
      <c r="L18" s="9">
        <f>SUM('Game by Game Scores'!L44:L46)</f>
        <v>0</v>
      </c>
      <c r="M18" s="10">
        <f>SUM('Game by Game Scores'!M44:M46)</f>
        <v>0</v>
      </c>
      <c r="N18" s="32">
        <f>SUM('Game by Game Scores'!N44:N46)</f>
        <v>0</v>
      </c>
      <c r="O18" s="22">
        <f>SUM('Game by Game Scores'!O44:O46)</f>
        <v>0</v>
      </c>
      <c r="P18" s="6">
        <f>SUM('Game by Game Scores'!P44:P46)</f>
        <v>0</v>
      </c>
      <c r="Q18" s="2"/>
    </row>
    <row r="19" spans="1:17" x14ac:dyDescent="0.35">
      <c r="A19" s="5" t="s">
        <v>20</v>
      </c>
      <c r="B19" s="8">
        <f>SUM('Game by Game Scores'!B47:B49)</f>
        <v>0</v>
      </c>
      <c r="C19" s="9">
        <f>SUM('Game by Game Scores'!C47:C49)</f>
        <v>0</v>
      </c>
      <c r="D19" s="10">
        <f>SUM('Game by Game Scores'!D47:D49)</f>
        <v>0</v>
      </c>
      <c r="E19" s="32">
        <f>SUM('Game by Game Scores'!E47:E49)</f>
        <v>0</v>
      </c>
      <c r="F19" s="22">
        <f>SUM('Game by Game Scores'!F47:F49)</f>
        <v>0</v>
      </c>
      <c r="G19" s="6">
        <f>SUM('Game by Game Scores'!G47:G49)</f>
        <v>0</v>
      </c>
      <c r="H19" s="2"/>
      <c r="I19" s="2"/>
      <c r="J19" s="5" t="s">
        <v>20</v>
      </c>
      <c r="K19" s="8">
        <f>SUM('Game by Game Scores'!K47:K49)</f>
        <v>0</v>
      </c>
      <c r="L19" s="9">
        <f>SUM('Game by Game Scores'!L47:L49)</f>
        <v>0</v>
      </c>
      <c r="M19" s="10">
        <f>SUM('Game by Game Scores'!M47:M49)</f>
        <v>0</v>
      </c>
      <c r="N19" s="32">
        <f>SUM('Game by Game Scores'!N47:N49)</f>
        <v>0</v>
      </c>
      <c r="O19" s="22">
        <f>SUM('Game by Game Scores'!O47:O49)</f>
        <v>0</v>
      </c>
      <c r="P19" s="6">
        <f>SUM('Game by Game Scores'!P47:P49)</f>
        <v>0</v>
      </c>
      <c r="Q19" s="2"/>
    </row>
    <row r="20" spans="1:17" x14ac:dyDescent="0.35">
      <c r="A20" s="5" t="s">
        <v>21</v>
      </c>
      <c r="B20" s="8">
        <f>SUM('Game by Game Scores'!B50:B52)</f>
        <v>0</v>
      </c>
      <c r="C20" s="9">
        <f>SUM('Game by Game Scores'!C50:C52)</f>
        <v>0</v>
      </c>
      <c r="D20" s="10">
        <f>SUM('Game by Game Scores'!D50:D52)</f>
        <v>0</v>
      </c>
      <c r="E20" s="32">
        <f>SUM('Game by Game Scores'!E50:E52)</f>
        <v>0</v>
      </c>
      <c r="F20" s="22">
        <f>SUM('Game by Game Scores'!F50:F52)</f>
        <v>0</v>
      </c>
      <c r="G20" s="6">
        <f>SUM('Game by Game Scores'!G50:G52)</f>
        <v>0</v>
      </c>
      <c r="H20" s="2"/>
      <c r="I20" s="2"/>
      <c r="J20" s="5" t="s">
        <v>21</v>
      </c>
      <c r="K20" s="8">
        <f>SUM('Game by Game Scores'!K50:K52)</f>
        <v>0</v>
      </c>
      <c r="L20" s="9">
        <f>SUM('Game by Game Scores'!L50:L52)</f>
        <v>0</v>
      </c>
      <c r="M20" s="10">
        <f>SUM('Game by Game Scores'!M50:M52)</f>
        <v>0</v>
      </c>
      <c r="N20" s="32">
        <f>SUM('Game by Game Scores'!N50:N52)</f>
        <v>0</v>
      </c>
      <c r="O20" s="22">
        <f>SUM('Game by Game Scores'!O50:O52)</f>
        <v>0</v>
      </c>
      <c r="P20" s="6">
        <f>SUM('Game by Game Scores'!P50:P52)</f>
        <v>0</v>
      </c>
      <c r="Q20" s="2"/>
    </row>
    <row r="21" spans="1:17" x14ac:dyDescent="0.35">
      <c r="A21" s="5" t="s">
        <v>22</v>
      </c>
      <c r="B21" s="8">
        <f>SUM('Game by Game Scores'!B53:B55)</f>
        <v>0</v>
      </c>
      <c r="C21" s="9">
        <f>SUM('Game by Game Scores'!C53:C55)</f>
        <v>0</v>
      </c>
      <c r="D21" s="10">
        <f>SUM('Game by Game Scores'!D53:D55)</f>
        <v>0</v>
      </c>
      <c r="E21" s="32">
        <f>SUM('Game by Game Scores'!E53:E55)</f>
        <v>0</v>
      </c>
      <c r="F21" s="22">
        <f>SUM('Game by Game Scores'!F53:F55)</f>
        <v>0</v>
      </c>
      <c r="G21" s="6">
        <f>SUM('Game by Game Scores'!G53:G55)</f>
        <v>0</v>
      </c>
      <c r="H21" s="2"/>
      <c r="I21" s="2"/>
      <c r="J21" s="5" t="s">
        <v>22</v>
      </c>
      <c r="K21" s="8">
        <f>SUM('Game by Game Scores'!K53:K55)</f>
        <v>0</v>
      </c>
      <c r="L21" s="9">
        <f>SUM('Game by Game Scores'!L53:L55)</f>
        <v>0</v>
      </c>
      <c r="M21" s="10">
        <f>SUM('Game by Game Scores'!M53:M55)</f>
        <v>0</v>
      </c>
      <c r="N21" s="32">
        <f>SUM('Game by Game Scores'!N53:N55)</f>
        <v>0</v>
      </c>
      <c r="O21" s="22">
        <f>SUM('Game by Game Scores'!O53:O55)</f>
        <v>0</v>
      </c>
      <c r="P21" s="6">
        <f>SUM('Game by Game Scores'!P53:P55)</f>
        <v>0</v>
      </c>
      <c r="Q21" s="2"/>
    </row>
    <row r="22" spans="1:17" x14ac:dyDescent="0.35">
      <c r="A22" s="5" t="s">
        <v>23</v>
      </c>
      <c r="B22" s="8">
        <f>SUM('Game by Game Scores'!B56:B58)</f>
        <v>0</v>
      </c>
      <c r="C22" s="9">
        <f>SUM('Game by Game Scores'!C56:C58)</f>
        <v>0</v>
      </c>
      <c r="D22" s="10">
        <f>SUM('Game by Game Scores'!D56:D58)</f>
        <v>0</v>
      </c>
      <c r="E22" s="32">
        <f>SUM('Game by Game Scores'!E56:E58)</f>
        <v>0</v>
      </c>
      <c r="F22" s="22">
        <f>SUM('Game by Game Scores'!F56:F58)</f>
        <v>0</v>
      </c>
      <c r="G22" s="6">
        <f>SUM('Game by Game Scores'!G56:G58)</f>
        <v>0</v>
      </c>
      <c r="H22" s="2"/>
      <c r="I22" s="2"/>
      <c r="J22" s="5" t="s">
        <v>23</v>
      </c>
      <c r="K22" s="8">
        <f>SUM('Game by Game Scores'!K56:K58)</f>
        <v>0</v>
      </c>
      <c r="L22" s="9">
        <f>SUM('Game by Game Scores'!L56:L58)</f>
        <v>0</v>
      </c>
      <c r="M22" s="10">
        <f>SUM('Game by Game Scores'!M56:M58)</f>
        <v>0</v>
      </c>
      <c r="N22" s="32">
        <f>SUM('Game by Game Scores'!N56:N58)</f>
        <v>0</v>
      </c>
      <c r="O22" s="22">
        <f>SUM('Game by Game Scores'!O56:O58)</f>
        <v>0</v>
      </c>
      <c r="P22" s="6">
        <f>SUM('Game by Game Scores'!P56:P58)</f>
        <v>0</v>
      </c>
      <c r="Q22" s="2"/>
    </row>
    <row r="23" spans="1:17" x14ac:dyDescent="0.35">
      <c r="A23" s="5" t="s">
        <v>24</v>
      </c>
      <c r="B23" s="8">
        <f>SUM('Game by Game Scores'!B59:B61)</f>
        <v>0</v>
      </c>
      <c r="C23" s="9">
        <f>SUM('Game by Game Scores'!C59:C61)</f>
        <v>0</v>
      </c>
      <c r="D23" s="10">
        <f>SUM('Game by Game Scores'!D59:D61)</f>
        <v>0</v>
      </c>
      <c r="E23" s="32">
        <f>SUM('Game by Game Scores'!E59:E61)</f>
        <v>0</v>
      </c>
      <c r="F23" s="22">
        <f>SUM('Game by Game Scores'!F59:F61)</f>
        <v>0</v>
      </c>
      <c r="G23" s="6">
        <f>SUM('Game by Game Scores'!G59:G61)</f>
        <v>0</v>
      </c>
      <c r="H23" s="2"/>
      <c r="I23" s="2"/>
      <c r="J23" s="5" t="s">
        <v>24</v>
      </c>
      <c r="K23" s="8">
        <f>SUM('Game by Game Scores'!K59:K61)</f>
        <v>0</v>
      </c>
      <c r="L23" s="9">
        <f>SUM('Game by Game Scores'!L59:L61)</f>
        <v>0</v>
      </c>
      <c r="M23" s="10">
        <f>SUM('Game by Game Scores'!M59:M61)</f>
        <v>0</v>
      </c>
      <c r="N23" s="32">
        <f>SUM('Game by Game Scores'!N59:N61)</f>
        <v>0</v>
      </c>
      <c r="O23" s="22">
        <f>SUM('Game by Game Scores'!O59:O61)</f>
        <v>0</v>
      </c>
      <c r="P23" s="6">
        <f>SUM('Game by Game Scores'!P59:P61)</f>
        <v>0</v>
      </c>
      <c r="Q23" s="2"/>
    </row>
    <row r="24" spans="1:17" x14ac:dyDescent="0.35">
      <c r="A24" s="5" t="s">
        <v>25</v>
      </c>
      <c r="B24" s="8">
        <f>SUM('Game by Game Scores'!B62:B64)</f>
        <v>0</v>
      </c>
      <c r="C24" s="9">
        <f>SUM('Game by Game Scores'!C62:C64)</f>
        <v>0</v>
      </c>
      <c r="D24" s="10">
        <f>SUM('Game by Game Scores'!D62:D64)</f>
        <v>0</v>
      </c>
      <c r="E24" s="32">
        <f>SUM('Game by Game Scores'!E62:E64)</f>
        <v>0</v>
      </c>
      <c r="F24" s="22">
        <f>SUM('Game by Game Scores'!F62:F64)</f>
        <v>0</v>
      </c>
      <c r="G24" s="6">
        <f>SUM('Game by Game Scores'!G62:G64)</f>
        <v>0</v>
      </c>
      <c r="H24" s="2"/>
      <c r="I24" s="2"/>
      <c r="J24" s="5" t="s">
        <v>25</v>
      </c>
      <c r="K24" s="8">
        <f>SUM('Game by Game Scores'!K62:K64)</f>
        <v>0</v>
      </c>
      <c r="L24" s="9">
        <f>SUM('Game by Game Scores'!L62:L64)</f>
        <v>0</v>
      </c>
      <c r="M24" s="10">
        <f>SUM('Game by Game Scores'!M62:M64)</f>
        <v>0</v>
      </c>
      <c r="N24" s="32">
        <f>SUM('Game by Game Scores'!N62:N64)</f>
        <v>0</v>
      </c>
      <c r="O24" s="22">
        <f>SUM('Game by Game Scores'!O62:O64)</f>
        <v>0</v>
      </c>
      <c r="P24" s="6">
        <f>SUM('Game by Game Scores'!P62:P64)</f>
        <v>0</v>
      </c>
      <c r="Q24" s="2"/>
    </row>
    <row r="25" spans="1:17" x14ac:dyDescent="0.35">
      <c r="A25" s="5" t="s">
        <v>26</v>
      </c>
      <c r="B25" s="8">
        <f>SUM('Game by Game Scores'!B65:B67)</f>
        <v>0</v>
      </c>
      <c r="C25" s="9">
        <f>SUM('Game by Game Scores'!C65:C67)</f>
        <v>0</v>
      </c>
      <c r="D25" s="10">
        <f>SUM('Game by Game Scores'!D65:D67)</f>
        <v>0</v>
      </c>
      <c r="E25" s="32">
        <f>SUM('Game by Game Scores'!E65:E67)</f>
        <v>0</v>
      </c>
      <c r="F25" s="22">
        <f>SUM('Game by Game Scores'!F65:F67)</f>
        <v>0</v>
      </c>
      <c r="G25" s="6">
        <f>SUM('Game by Game Scores'!G65:G67)</f>
        <v>0</v>
      </c>
      <c r="H25" s="2"/>
      <c r="I25" s="2"/>
      <c r="J25" s="5" t="s">
        <v>26</v>
      </c>
      <c r="K25" s="8">
        <f>SUM('Game by Game Scores'!K65:K67)</f>
        <v>0</v>
      </c>
      <c r="L25" s="9">
        <f>SUM('Game by Game Scores'!L65:L67)</f>
        <v>0</v>
      </c>
      <c r="M25" s="10">
        <f>SUM('Game by Game Scores'!M65:M67)</f>
        <v>0</v>
      </c>
      <c r="N25" s="32">
        <f>SUM('Game by Game Scores'!N65:N67)</f>
        <v>0</v>
      </c>
      <c r="O25" s="22">
        <f>SUM('Game by Game Scores'!O65:O67)</f>
        <v>0</v>
      </c>
      <c r="P25" s="6">
        <f>SUM('Game by Game Scores'!P65:P67)</f>
        <v>0</v>
      </c>
      <c r="Q25" s="2"/>
    </row>
    <row r="26" spans="1:17" x14ac:dyDescent="0.35">
      <c r="A26" s="5" t="s">
        <v>27</v>
      </c>
      <c r="B26" s="8">
        <f>SUM('Game by Game Scores'!B68:B70)</f>
        <v>0</v>
      </c>
      <c r="C26" s="9">
        <f>SUM('Game by Game Scores'!C68:C70)</f>
        <v>0</v>
      </c>
      <c r="D26" s="10">
        <f>SUM('Game by Game Scores'!D68:D70)</f>
        <v>0</v>
      </c>
      <c r="E26" s="32">
        <f>SUM('Game by Game Scores'!E68:E70)</f>
        <v>0</v>
      </c>
      <c r="F26" s="22">
        <f>SUM('Game by Game Scores'!F68:F70)</f>
        <v>0</v>
      </c>
      <c r="G26" s="6">
        <f>SUM('Game by Game Scores'!G68:G70)</f>
        <v>0</v>
      </c>
      <c r="H26" s="2"/>
      <c r="I26" s="2"/>
      <c r="J26" s="5" t="s">
        <v>27</v>
      </c>
      <c r="K26" s="8">
        <f>SUM('Game by Game Scores'!K68:K70)</f>
        <v>0</v>
      </c>
      <c r="L26" s="9">
        <f>SUM('Game by Game Scores'!L68:L70)</f>
        <v>0</v>
      </c>
      <c r="M26" s="10">
        <f>SUM('Game by Game Scores'!M68:M70)</f>
        <v>0</v>
      </c>
      <c r="N26" s="32">
        <f>SUM('Game by Game Scores'!N68:N70)</f>
        <v>0</v>
      </c>
      <c r="O26" s="22">
        <f>SUM('Game by Game Scores'!O68:O70)</f>
        <v>0</v>
      </c>
      <c r="P26" s="6">
        <f>SUM('Game by Game Scores'!P68:P70)</f>
        <v>0</v>
      </c>
      <c r="Q26" s="2"/>
    </row>
    <row r="27" spans="1:17" x14ac:dyDescent="0.35">
      <c r="A27" s="5" t="s">
        <v>28</v>
      </c>
      <c r="B27" s="8">
        <f>SUM('Game by Game Scores'!B71:B73)</f>
        <v>0</v>
      </c>
      <c r="C27" s="9">
        <f>SUM('Game by Game Scores'!C71:C73)</f>
        <v>0</v>
      </c>
      <c r="D27" s="10">
        <f>SUM('Game by Game Scores'!D71:D73)</f>
        <v>0</v>
      </c>
      <c r="E27" s="32">
        <f>SUM('Game by Game Scores'!E71:E73)</f>
        <v>0</v>
      </c>
      <c r="F27" s="22">
        <f>SUM('Game by Game Scores'!F71:F73)</f>
        <v>0</v>
      </c>
      <c r="G27" s="6">
        <f>SUM('Game by Game Scores'!G71:G73)</f>
        <v>0</v>
      </c>
      <c r="H27" s="2"/>
      <c r="I27" s="2"/>
      <c r="J27" s="5" t="s">
        <v>28</v>
      </c>
      <c r="K27" s="8">
        <f>SUM('Game by Game Scores'!K71:K73)</f>
        <v>0</v>
      </c>
      <c r="L27" s="9">
        <f>SUM('Game by Game Scores'!L71:L73)</f>
        <v>0</v>
      </c>
      <c r="M27" s="10">
        <f>SUM('Game by Game Scores'!M71:M73)</f>
        <v>0</v>
      </c>
      <c r="N27" s="32">
        <f>SUM('Game by Game Scores'!N71:N73)</f>
        <v>0</v>
      </c>
      <c r="O27" s="22">
        <f>SUM('Game by Game Scores'!O71:O73)</f>
        <v>0</v>
      </c>
      <c r="P27" s="6">
        <f>SUM('Game by Game Scores'!P71:P73)</f>
        <v>0</v>
      </c>
      <c r="Q27" s="2"/>
    </row>
    <row r="28" spans="1:17" x14ac:dyDescent="0.35">
      <c r="A28" s="5" t="s">
        <v>29</v>
      </c>
      <c r="B28" s="8">
        <f>SUM('Game by Game Scores'!B74:B76)</f>
        <v>0</v>
      </c>
      <c r="C28" s="9">
        <f>SUM('Game by Game Scores'!C74:C76)</f>
        <v>0</v>
      </c>
      <c r="D28" s="10">
        <f>SUM('Game by Game Scores'!D74:D76)</f>
        <v>0</v>
      </c>
      <c r="E28" s="32">
        <f>SUM('Game by Game Scores'!E74:E76)</f>
        <v>0</v>
      </c>
      <c r="F28" s="22">
        <f>SUM('Game by Game Scores'!F74:F76)</f>
        <v>0</v>
      </c>
      <c r="G28" s="6">
        <f>SUM('Game by Game Scores'!G74:G76)</f>
        <v>0</v>
      </c>
      <c r="H28" s="2"/>
      <c r="I28" s="2"/>
      <c r="J28" s="5" t="s">
        <v>29</v>
      </c>
      <c r="K28" s="8">
        <f>SUM('Game by Game Scores'!K74:K76)</f>
        <v>0</v>
      </c>
      <c r="L28" s="9">
        <f>SUM('Game by Game Scores'!L74:L76)</f>
        <v>0</v>
      </c>
      <c r="M28" s="10">
        <f>SUM('Game by Game Scores'!M74:M76)</f>
        <v>0</v>
      </c>
      <c r="N28" s="32">
        <f>SUM('Game by Game Scores'!N74:N76)</f>
        <v>0</v>
      </c>
      <c r="O28" s="22">
        <f>SUM('Game by Game Scores'!O74:O76)</f>
        <v>0</v>
      </c>
      <c r="P28" s="6">
        <f>SUM('Game by Game Scores'!P74:P76)</f>
        <v>0</v>
      </c>
      <c r="Q28" s="2"/>
    </row>
    <row r="29" spans="1:17" x14ac:dyDescent="0.35">
      <c r="A29" s="5" t="s">
        <v>30</v>
      </c>
      <c r="B29" s="8">
        <f>SUM('Game by Game Scores'!B77:B79)</f>
        <v>0</v>
      </c>
      <c r="C29" s="9">
        <f>SUM('Game by Game Scores'!C77:C79)</f>
        <v>0</v>
      </c>
      <c r="D29" s="10">
        <f>SUM('Game by Game Scores'!D77:D79)</f>
        <v>0</v>
      </c>
      <c r="E29" s="32">
        <f>SUM('Game by Game Scores'!E77:E79)</f>
        <v>0</v>
      </c>
      <c r="F29" s="22">
        <f>SUM('Game by Game Scores'!F77:F79)</f>
        <v>0</v>
      </c>
      <c r="G29" s="6">
        <f>SUM('Game by Game Scores'!G77:G79)</f>
        <v>0</v>
      </c>
      <c r="H29" s="2"/>
      <c r="I29" s="2"/>
      <c r="J29" s="5" t="s">
        <v>30</v>
      </c>
      <c r="K29" s="8">
        <f>SUM('Game by Game Scores'!K77:K79)</f>
        <v>0</v>
      </c>
      <c r="L29" s="9">
        <f>SUM('Game by Game Scores'!L77:L79)</f>
        <v>0</v>
      </c>
      <c r="M29" s="10">
        <f>SUM('Game by Game Scores'!M77:M79)</f>
        <v>0</v>
      </c>
      <c r="N29" s="32">
        <f>SUM('Game by Game Scores'!N77:N79)</f>
        <v>0</v>
      </c>
      <c r="O29" s="22">
        <f>SUM('Game by Game Scores'!O77:O79)</f>
        <v>0</v>
      </c>
      <c r="P29" s="6">
        <f>SUM('Game by Game Scores'!P77:P79)</f>
        <v>0</v>
      </c>
      <c r="Q29" s="2"/>
    </row>
    <row r="30" spans="1:17" x14ac:dyDescent="0.35">
      <c r="A30" s="5" t="s">
        <v>31</v>
      </c>
      <c r="B30" s="8">
        <f>SUM('Game by Game Scores'!B80:B82)</f>
        <v>0</v>
      </c>
      <c r="C30" s="9">
        <f>SUM('Game by Game Scores'!C80:C82)</f>
        <v>0</v>
      </c>
      <c r="D30" s="10">
        <f>SUM('Game by Game Scores'!D80:D82)</f>
        <v>0</v>
      </c>
      <c r="E30" s="32">
        <f>SUM('Game by Game Scores'!E80:E82)</f>
        <v>0</v>
      </c>
      <c r="F30" s="22">
        <f>SUM('Game by Game Scores'!F80:F82)</f>
        <v>0</v>
      </c>
      <c r="G30" s="6">
        <f>SUM('Game by Game Scores'!G80:G82)</f>
        <v>0</v>
      </c>
      <c r="H30" s="2"/>
      <c r="I30" s="2"/>
      <c r="J30" s="5" t="s">
        <v>31</v>
      </c>
      <c r="K30" s="8">
        <f>SUM('Game by Game Scores'!K80:K82)</f>
        <v>0</v>
      </c>
      <c r="L30" s="9">
        <f>SUM('Game by Game Scores'!L80:L82)</f>
        <v>0</v>
      </c>
      <c r="M30" s="10">
        <f>SUM('Game by Game Scores'!M80:M82)</f>
        <v>0</v>
      </c>
      <c r="N30" s="32">
        <f>SUM('Game by Game Scores'!N80:N82)</f>
        <v>0</v>
      </c>
      <c r="O30" s="22">
        <f>SUM('Game by Game Scores'!O80:O82)</f>
        <v>0</v>
      </c>
      <c r="P30" s="6">
        <f>SUM('Game by Game Scores'!P80:P82)</f>
        <v>0</v>
      </c>
      <c r="Q30" s="2"/>
    </row>
    <row r="31" spans="1:17" x14ac:dyDescent="0.35">
      <c r="A31" s="5" t="s">
        <v>32</v>
      </c>
      <c r="B31" s="8">
        <f>SUM('Game by Game Scores'!B83:B85)</f>
        <v>0</v>
      </c>
      <c r="C31" s="9">
        <f>SUM('Game by Game Scores'!C83:C85)</f>
        <v>0</v>
      </c>
      <c r="D31" s="10">
        <f>SUM('Game by Game Scores'!D83:D85)</f>
        <v>0</v>
      </c>
      <c r="E31" s="32">
        <f>SUM('Game by Game Scores'!E83:E85)</f>
        <v>0</v>
      </c>
      <c r="F31" s="22">
        <f>SUM('Game by Game Scores'!F83:F85)</f>
        <v>0</v>
      </c>
      <c r="G31" s="6">
        <f>SUM('Game by Game Scores'!G83:G85)</f>
        <v>0</v>
      </c>
      <c r="H31" s="2"/>
      <c r="I31" s="2"/>
      <c r="J31" s="5" t="s">
        <v>32</v>
      </c>
      <c r="K31" s="8">
        <f>SUM('Game by Game Scores'!K83:K85)</f>
        <v>0</v>
      </c>
      <c r="L31" s="9">
        <f>SUM('Game by Game Scores'!L83:L85)</f>
        <v>0</v>
      </c>
      <c r="M31" s="10">
        <f>SUM('Game by Game Scores'!M83:M85)</f>
        <v>0</v>
      </c>
      <c r="N31" s="32">
        <f>SUM('Game by Game Scores'!N83:N85)</f>
        <v>0</v>
      </c>
      <c r="O31" s="22">
        <f>SUM('Game by Game Scores'!O83:O85)</f>
        <v>0</v>
      </c>
      <c r="P31" s="6">
        <f>SUM('Game by Game Scores'!P83:P85)</f>
        <v>0</v>
      </c>
      <c r="Q31" s="2"/>
    </row>
    <row r="32" spans="1:17" x14ac:dyDescent="0.35">
      <c r="A32" s="5" t="s">
        <v>33</v>
      </c>
      <c r="B32" s="8">
        <f>SUM('Game by Game Scores'!B86:B88)</f>
        <v>0</v>
      </c>
      <c r="C32" s="9">
        <f>SUM('Game by Game Scores'!C86:C88)</f>
        <v>0</v>
      </c>
      <c r="D32" s="10">
        <f>SUM('Game by Game Scores'!D86:D88)</f>
        <v>0</v>
      </c>
      <c r="E32" s="32">
        <f>SUM('Game by Game Scores'!E86:E88)</f>
        <v>0</v>
      </c>
      <c r="F32" s="22">
        <f>SUM('Game by Game Scores'!F86:F88)</f>
        <v>0</v>
      </c>
      <c r="G32" s="6">
        <f>SUM('Game by Game Scores'!G86:G88)</f>
        <v>0</v>
      </c>
      <c r="H32" s="2"/>
      <c r="I32" s="2"/>
      <c r="J32" s="5" t="s">
        <v>33</v>
      </c>
      <c r="K32" s="8">
        <f>SUM('Game by Game Scores'!K86:K88)</f>
        <v>0</v>
      </c>
      <c r="L32" s="9">
        <f>SUM('Game by Game Scores'!L86:L88)</f>
        <v>0</v>
      </c>
      <c r="M32" s="10">
        <f>SUM('Game by Game Scores'!M86:M88)</f>
        <v>0</v>
      </c>
      <c r="N32" s="32">
        <f>SUM('Game by Game Scores'!N86:N88)</f>
        <v>0</v>
      </c>
      <c r="O32" s="22">
        <f>SUM('Game by Game Scores'!O86:O88)</f>
        <v>0</v>
      </c>
      <c r="P32" s="6">
        <f>SUM('Game by Game Scores'!P86:P88)</f>
        <v>0</v>
      </c>
      <c r="Q32" s="2"/>
    </row>
    <row r="33" spans="1:17" x14ac:dyDescent="0.35">
      <c r="A33" s="5" t="s">
        <v>34</v>
      </c>
      <c r="B33" s="8">
        <f>SUM('Game by Game Scores'!B89:B91)</f>
        <v>0</v>
      </c>
      <c r="C33" s="9">
        <f>SUM('Game by Game Scores'!C89:C91)</f>
        <v>0</v>
      </c>
      <c r="D33" s="10">
        <f>SUM('Game by Game Scores'!D89:D91)</f>
        <v>0</v>
      </c>
      <c r="E33" s="32">
        <f>SUM('Game by Game Scores'!E89:E91)</f>
        <v>0</v>
      </c>
      <c r="F33" s="22">
        <f>SUM('Game by Game Scores'!F89:F91)</f>
        <v>0</v>
      </c>
      <c r="G33" s="6">
        <f>SUM('Game by Game Scores'!G89:G91)</f>
        <v>0</v>
      </c>
      <c r="H33" s="2"/>
      <c r="I33" s="2"/>
      <c r="J33" s="5" t="s">
        <v>34</v>
      </c>
      <c r="K33" s="8">
        <f>SUM('Game by Game Scores'!K89:K91)</f>
        <v>0</v>
      </c>
      <c r="L33" s="9">
        <f>SUM('Game by Game Scores'!L89:L91)</f>
        <v>0</v>
      </c>
      <c r="M33" s="10">
        <f>SUM('Game by Game Scores'!M89:M91)</f>
        <v>0</v>
      </c>
      <c r="N33" s="32">
        <f>SUM('Game by Game Scores'!N89:N91)</f>
        <v>0</v>
      </c>
      <c r="O33" s="22">
        <f>SUM('Game by Game Scores'!O89:O91)</f>
        <v>0</v>
      </c>
      <c r="P33" s="6">
        <f>SUM('Game by Game Scores'!P89:P91)</f>
        <v>0</v>
      </c>
      <c r="Q33" s="2"/>
    </row>
    <row r="34" spans="1:17" x14ac:dyDescent="0.35">
      <c r="A34" s="5" t="s">
        <v>35</v>
      </c>
      <c r="B34" s="8">
        <f>SUM('Game by Game Scores'!B92:B94)</f>
        <v>0</v>
      </c>
      <c r="C34" s="9">
        <f>SUM('Game by Game Scores'!C92:C94)</f>
        <v>0</v>
      </c>
      <c r="D34" s="10">
        <f>SUM('Game by Game Scores'!D92:D94)</f>
        <v>0</v>
      </c>
      <c r="E34" s="32">
        <f>SUM('Game by Game Scores'!E92:E94)</f>
        <v>0</v>
      </c>
      <c r="F34" s="22">
        <f>SUM('Game by Game Scores'!F92:F94)</f>
        <v>0</v>
      </c>
      <c r="G34" s="6">
        <f>SUM('Game by Game Scores'!G92:G94)</f>
        <v>0</v>
      </c>
      <c r="H34" s="2"/>
      <c r="I34" s="2"/>
      <c r="J34" s="5" t="s">
        <v>35</v>
      </c>
      <c r="K34" s="8">
        <f>SUM('Game by Game Scores'!K92:K94)</f>
        <v>0</v>
      </c>
      <c r="L34" s="9">
        <f>SUM('Game by Game Scores'!L92:L94)</f>
        <v>0</v>
      </c>
      <c r="M34" s="10">
        <f>SUM('Game by Game Scores'!M92:M94)</f>
        <v>0</v>
      </c>
      <c r="N34" s="32">
        <f>SUM('Game by Game Scores'!N92:N94)</f>
        <v>0</v>
      </c>
      <c r="O34" s="22">
        <f>SUM('Game by Game Scores'!O92:O94)</f>
        <v>0</v>
      </c>
      <c r="P34" s="6">
        <f>SUM('Game by Game Scores'!P92:P94)</f>
        <v>0</v>
      </c>
      <c r="Q34" s="2"/>
    </row>
    <row r="35" spans="1:17" x14ac:dyDescent="0.35">
      <c r="A35" s="5" t="s">
        <v>36</v>
      </c>
      <c r="B35" s="8">
        <f>SUM('Game by Game Scores'!B95:B97)</f>
        <v>0</v>
      </c>
      <c r="C35" s="9">
        <f>SUM('Game by Game Scores'!C95:C97)</f>
        <v>0</v>
      </c>
      <c r="D35" s="10">
        <f>SUM('Game by Game Scores'!D95:D97)</f>
        <v>0</v>
      </c>
      <c r="E35" s="32">
        <f>SUM('Game by Game Scores'!E95:E97)</f>
        <v>0</v>
      </c>
      <c r="F35" s="22">
        <f>SUM('Game by Game Scores'!F95:F97)</f>
        <v>0</v>
      </c>
      <c r="G35" s="6">
        <f>SUM('Game by Game Scores'!G95:G97)</f>
        <v>0</v>
      </c>
      <c r="H35" s="2"/>
      <c r="I35" s="2"/>
      <c r="J35" s="5" t="s">
        <v>36</v>
      </c>
      <c r="K35" s="8">
        <f>SUM('Game by Game Scores'!K95:K97)</f>
        <v>0</v>
      </c>
      <c r="L35" s="9">
        <f>SUM('Game by Game Scores'!L95:L97)</f>
        <v>0</v>
      </c>
      <c r="M35" s="10">
        <f>SUM('Game by Game Scores'!M95:M97)</f>
        <v>0</v>
      </c>
      <c r="N35" s="32">
        <f>SUM('Game by Game Scores'!N95:N97)</f>
        <v>0</v>
      </c>
      <c r="O35" s="22">
        <f>SUM('Game by Game Scores'!O95:O97)</f>
        <v>0</v>
      </c>
      <c r="P35" s="6">
        <f>SUM('Game by Game Scores'!P95:P97)</f>
        <v>0</v>
      </c>
      <c r="Q35" s="2"/>
    </row>
    <row r="36" spans="1:17" x14ac:dyDescent="0.35">
      <c r="A36" s="5" t="s">
        <v>37</v>
      </c>
      <c r="B36" s="8">
        <f>SUM('Game by Game Scores'!B98:B100)</f>
        <v>0</v>
      </c>
      <c r="C36" s="9">
        <f>SUM('Game by Game Scores'!C98:C100)</f>
        <v>0</v>
      </c>
      <c r="D36" s="10">
        <f>SUM('Game by Game Scores'!D98:D100)</f>
        <v>0</v>
      </c>
      <c r="E36" s="32">
        <f>SUM('Game by Game Scores'!E98:E100)</f>
        <v>0</v>
      </c>
      <c r="F36" s="22">
        <f>SUM('Game by Game Scores'!F98:F100)</f>
        <v>0</v>
      </c>
      <c r="G36" s="6">
        <f>SUM('Game by Game Scores'!G98:G100)</f>
        <v>0</v>
      </c>
      <c r="H36" s="2"/>
      <c r="I36" s="2"/>
      <c r="J36" s="5" t="s">
        <v>37</v>
      </c>
      <c r="K36" s="8">
        <f>SUM('Game by Game Scores'!K98:K100)</f>
        <v>0</v>
      </c>
      <c r="L36" s="9">
        <f>SUM('Game by Game Scores'!L98:L100)</f>
        <v>0</v>
      </c>
      <c r="M36" s="10">
        <f>SUM('Game by Game Scores'!M98:M100)</f>
        <v>0</v>
      </c>
      <c r="N36" s="32">
        <f>SUM('Game by Game Scores'!N98:N100)</f>
        <v>0</v>
      </c>
      <c r="O36" s="22">
        <f>SUM('Game by Game Scores'!O98:O100)</f>
        <v>0</v>
      </c>
      <c r="P36" s="6">
        <f>SUM('Game by Game Scores'!P98:P100)</f>
        <v>0</v>
      </c>
      <c r="Q36" s="2"/>
    </row>
    <row r="37" spans="1:17" x14ac:dyDescent="0.35">
      <c r="A37" s="5" t="s">
        <v>38</v>
      </c>
      <c r="B37" s="8">
        <f>SUM('Game by Game Scores'!B101:B103)</f>
        <v>0</v>
      </c>
      <c r="C37" s="9">
        <f>SUM('Game by Game Scores'!C101:C103)</f>
        <v>0</v>
      </c>
      <c r="D37" s="10">
        <f>SUM('Game by Game Scores'!D101:D103)</f>
        <v>0</v>
      </c>
      <c r="E37" s="32">
        <f>SUM('Game by Game Scores'!E101:E103)</f>
        <v>0</v>
      </c>
      <c r="F37" s="22">
        <f>SUM('Game by Game Scores'!F101:F103)</f>
        <v>0</v>
      </c>
      <c r="G37" s="6">
        <f>SUM('Game by Game Scores'!G101:G103)</f>
        <v>0</v>
      </c>
      <c r="H37" s="2"/>
      <c r="I37" s="2"/>
      <c r="J37" s="5" t="s">
        <v>38</v>
      </c>
      <c r="K37" s="8">
        <f>SUM('Game by Game Scores'!K101:K103)</f>
        <v>0</v>
      </c>
      <c r="L37" s="9">
        <f>SUM('Game by Game Scores'!L101:L103)</f>
        <v>0</v>
      </c>
      <c r="M37" s="10">
        <f>SUM('Game by Game Scores'!M101:M103)</f>
        <v>0</v>
      </c>
      <c r="N37" s="32">
        <f>SUM('Game by Game Scores'!N101:N103)</f>
        <v>0</v>
      </c>
      <c r="O37" s="22">
        <f>SUM('Game by Game Scores'!O101:O103)</f>
        <v>0</v>
      </c>
      <c r="P37" s="6">
        <f>SUM('Game by Game Scores'!P101:P103)</f>
        <v>0</v>
      </c>
      <c r="Q37" s="2"/>
    </row>
    <row r="38" spans="1:17" x14ac:dyDescent="0.35">
      <c r="A38" s="5" t="s">
        <v>39</v>
      </c>
      <c r="B38" s="8">
        <f>SUM('Game by Game Scores'!B104:B106)</f>
        <v>0</v>
      </c>
      <c r="C38" s="9">
        <f>SUM('Game by Game Scores'!C104:C106)</f>
        <v>0</v>
      </c>
      <c r="D38" s="10">
        <f>SUM('Game by Game Scores'!D104:D106)</f>
        <v>0</v>
      </c>
      <c r="E38" s="32">
        <f>SUM('Game by Game Scores'!E104:E106)</f>
        <v>0</v>
      </c>
      <c r="F38" s="22">
        <f>SUM('Game by Game Scores'!F104:F106)</f>
        <v>0</v>
      </c>
      <c r="G38" s="6">
        <f>SUM('Game by Game Scores'!G104:G106)</f>
        <v>0</v>
      </c>
      <c r="H38" s="2"/>
      <c r="I38" s="2"/>
      <c r="J38" s="5" t="s">
        <v>39</v>
      </c>
      <c r="K38" s="8">
        <f>SUM('Game by Game Scores'!K104:K106)</f>
        <v>0</v>
      </c>
      <c r="L38" s="9">
        <f>SUM('Game by Game Scores'!L104:L106)</f>
        <v>0</v>
      </c>
      <c r="M38" s="10">
        <f>SUM('Game by Game Scores'!M104:M106)</f>
        <v>0</v>
      </c>
      <c r="N38" s="32">
        <f>SUM('Game by Game Scores'!N104:N106)</f>
        <v>0</v>
      </c>
      <c r="O38" s="22">
        <f>SUM('Game by Game Scores'!O104:O106)</f>
        <v>0</v>
      </c>
      <c r="P38" s="6">
        <f>SUM('Game by Game Scores'!P104:P106)</f>
        <v>0</v>
      </c>
      <c r="Q38" s="2"/>
    </row>
    <row r="39" spans="1:17" x14ac:dyDescent="0.35">
      <c r="A39" s="5" t="s">
        <v>40</v>
      </c>
      <c r="B39" s="8">
        <f>SUM('Game by Game Scores'!B107:B109)</f>
        <v>0</v>
      </c>
      <c r="C39" s="9">
        <f>SUM('Game by Game Scores'!C107:C109)</f>
        <v>0</v>
      </c>
      <c r="D39" s="10">
        <f>SUM('Game by Game Scores'!D107:D109)</f>
        <v>0</v>
      </c>
      <c r="E39" s="32">
        <f>SUM('Game by Game Scores'!E107:E109)</f>
        <v>0</v>
      </c>
      <c r="F39" s="22">
        <f>SUM('Game by Game Scores'!F107:F109)</f>
        <v>0</v>
      </c>
      <c r="G39" s="6">
        <f>SUM('Game by Game Scores'!G107:G109)</f>
        <v>0</v>
      </c>
      <c r="H39" s="2"/>
      <c r="I39" s="2"/>
      <c r="J39" s="5" t="s">
        <v>40</v>
      </c>
      <c r="K39" s="8">
        <f>SUM('Game by Game Scores'!K107:K109)</f>
        <v>0</v>
      </c>
      <c r="L39" s="9">
        <f>SUM('Game by Game Scores'!L107:L109)</f>
        <v>0</v>
      </c>
      <c r="M39" s="10">
        <f>SUM('Game by Game Scores'!M107:M109)</f>
        <v>0</v>
      </c>
      <c r="N39" s="32">
        <f>SUM('Game by Game Scores'!N107:N109)</f>
        <v>0</v>
      </c>
      <c r="O39" s="22">
        <f>SUM('Game by Game Scores'!O107:O109)</f>
        <v>0</v>
      </c>
      <c r="P39" s="6">
        <f>SUM('Game by Game Scores'!P107:P109)</f>
        <v>0</v>
      </c>
      <c r="Q39" s="2"/>
    </row>
    <row r="40" spans="1:17" x14ac:dyDescent="0.35">
      <c r="A40" s="5" t="s">
        <v>41</v>
      </c>
      <c r="B40" s="8">
        <f>SUM('Game by Game Scores'!B110:B112)</f>
        <v>0</v>
      </c>
      <c r="C40" s="9">
        <f>SUM('Game by Game Scores'!C110:C112)</f>
        <v>0</v>
      </c>
      <c r="D40" s="10">
        <f>SUM('Game by Game Scores'!D110:D112)</f>
        <v>0</v>
      </c>
      <c r="E40" s="32">
        <f>SUM('Game by Game Scores'!E110:E112)</f>
        <v>0</v>
      </c>
      <c r="F40" s="22">
        <f>SUM('Game by Game Scores'!F110:F112)</f>
        <v>0</v>
      </c>
      <c r="G40" s="6">
        <f>SUM('Game by Game Scores'!G110:G112)</f>
        <v>0</v>
      </c>
      <c r="H40" s="2"/>
      <c r="I40" s="2"/>
      <c r="J40" s="5" t="s">
        <v>41</v>
      </c>
      <c r="K40" s="8">
        <f>SUM('Game by Game Scores'!K110:K112)</f>
        <v>0</v>
      </c>
      <c r="L40" s="9">
        <f>SUM('Game by Game Scores'!L110:L112)</f>
        <v>0</v>
      </c>
      <c r="M40" s="10">
        <f>SUM('Game by Game Scores'!M110:M112)</f>
        <v>0</v>
      </c>
      <c r="N40" s="32">
        <f>SUM('Game by Game Scores'!N110:N112)</f>
        <v>0</v>
      </c>
      <c r="O40" s="22">
        <f>SUM('Game by Game Scores'!O110:O112)</f>
        <v>0</v>
      </c>
      <c r="P40" s="6">
        <f>SUM('Game by Game Scores'!P110:P112)</f>
        <v>0</v>
      </c>
      <c r="Q40" s="2"/>
    </row>
    <row r="41" spans="1:17" x14ac:dyDescent="0.35">
      <c r="A41" s="2"/>
      <c r="B41" s="2"/>
      <c r="C41" s="2"/>
      <c r="D41" s="2"/>
      <c r="E41" s="2"/>
      <c r="F41" s="2"/>
      <c r="G41" s="2"/>
      <c r="H41" s="2"/>
      <c r="I41" s="2"/>
      <c r="J41" s="2"/>
      <c r="K41" s="2"/>
      <c r="L41" s="2"/>
      <c r="M41" s="2"/>
      <c r="N41" s="2"/>
      <c r="O41" s="2"/>
      <c r="P41" s="2"/>
      <c r="Q41" s="2"/>
    </row>
    <row r="42" spans="1:17" x14ac:dyDescent="0.35">
      <c r="A42" s="2"/>
      <c r="B42" s="2"/>
      <c r="C42" s="2"/>
      <c r="D42" s="2"/>
      <c r="E42" s="2"/>
      <c r="F42" s="2"/>
      <c r="G42" s="2"/>
      <c r="H42" s="2"/>
      <c r="I42" s="2"/>
      <c r="J42" s="2"/>
      <c r="K42" s="2"/>
      <c r="L42" s="2"/>
      <c r="M42" s="2"/>
      <c r="N42" s="2"/>
      <c r="O42" s="2"/>
      <c r="P42" s="2"/>
      <c r="Q42" s="2"/>
    </row>
    <row r="43" spans="1:17" x14ac:dyDescent="0.35">
      <c r="A43" s="2"/>
      <c r="B43" s="2"/>
      <c r="C43" s="2"/>
      <c r="D43" s="2"/>
      <c r="E43" s="2"/>
      <c r="F43" s="2"/>
      <c r="G43" s="2"/>
      <c r="H43" s="2"/>
      <c r="I43" s="2"/>
      <c r="J43" s="2"/>
      <c r="K43" s="2"/>
      <c r="L43" s="2"/>
      <c r="M43" s="2"/>
      <c r="N43" s="2"/>
      <c r="O43" s="2"/>
      <c r="P43" s="2"/>
      <c r="Q43" s="2"/>
    </row>
    <row r="44" spans="1:17" x14ac:dyDescent="0.35">
      <c r="A44" s="2"/>
      <c r="B44" s="2"/>
      <c r="C44" s="2"/>
      <c r="D44" s="2"/>
      <c r="E44" s="2"/>
      <c r="F44" s="2"/>
      <c r="G44" s="2"/>
      <c r="H44" s="2"/>
      <c r="I44" s="2"/>
      <c r="J44" s="2"/>
      <c r="K44" s="2"/>
      <c r="L44" s="2"/>
      <c r="M44" s="2"/>
      <c r="N44" s="2"/>
      <c r="O44" s="2"/>
      <c r="P44" s="2"/>
      <c r="Q44" s="2"/>
    </row>
    <row r="45" spans="1:17" x14ac:dyDescent="0.35">
      <c r="A45" s="2"/>
      <c r="B45" s="2"/>
      <c r="C45" s="2"/>
      <c r="D45" s="2"/>
      <c r="E45" s="2"/>
      <c r="F45" s="2"/>
      <c r="G45" s="2"/>
      <c r="H45" s="2"/>
      <c r="I45" s="2"/>
      <c r="J45" s="2"/>
      <c r="K45" s="2"/>
      <c r="L45" s="2"/>
      <c r="M45" s="2"/>
      <c r="N45" s="2"/>
      <c r="O45" s="2"/>
      <c r="P45" s="2"/>
      <c r="Q45" s="2"/>
    </row>
  </sheetData>
  <mergeCells count="2">
    <mergeCell ref="C2:F2"/>
    <mergeCell ref="L2:O2"/>
  </mergeCells>
  <phoneticPr fontId="4" type="noConversion"/>
  <pageMargins left="0.7" right="0.7" top="0.75" bottom="0.75" header="0.3" footer="0.3"/>
  <pageSetup orientation="portrait" r:id="rId1"/>
  <headerFooter>
    <oddHeader>&amp;L&amp;"Aptos"&amp;12&amp;K03C03C Public&amp;1#_x000D_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B3AA6-CE7B-4E75-8F03-23D6EAF4BC67}">
  <dimension ref="A1:Q45"/>
  <sheetViews>
    <sheetView topLeftCell="C1" workbookViewId="0">
      <pane ySplit="4" topLeftCell="A5" activePane="bottomLeft" state="frozen"/>
      <selection pane="bottomLeft" activeCell="Q7" sqref="Q7"/>
    </sheetView>
  </sheetViews>
  <sheetFormatPr defaultRowHeight="14.5" x14ac:dyDescent="0.35"/>
  <cols>
    <col min="2" max="7" width="11.54296875" customWidth="1"/>
    <col min="11" max="16" width="11.54296875" customWidth="1"/>
  </cols>
  <sheetData>
    <row r="1" spans="1:17" x14ac:dyDescent="0.35">
      <c r="A1" s="3"/>
      <c r="B1" s="3"/>
      <c r="C1" s="4"/>
      <c r="D1" s="4"/>
      <c r="E1" s="4"/>
      <c r="F1" s="4"/>
      <c r="G1" s="4"/>
      <c r="H1" s="2"/>
      <c r="I1" s="2"/>
      <c r="J1" s="2"/>
      <c r="K1" s="2"/>
      <c r="L1" s="2"/>
      <c r="M1" s="2"/>
      <c r="N1" s="2"/>
      <c r="O1" s="2"/>
      <c r="P1" s="2"/>
      <c r="Q1" s="2"/>
    </row>
    <row r="2" spans="1:17" x14ac:dyDescent="0.35">
      <c r="A2" s="3"/>
      <c r="B2" s="19"/>
      <c r="C2" s="244" t="s">
        <v>42</v>
      </c>
      <c r="D2" s="245"/>
      <c r="E2" s="245"/>
      <c r="F2" s="245"/>
      <c r="G2" s="19"/>
      <c r="H2" s="2"/>
      <c r="I2" s="2"/>
      <c r="J2" s="3"/>
      <c r="K2" s="19"/>
      <c r="L2" s="244" t="s">
        <v>43</v>
      </c>
      <c r="M2" s="245"/>
      <c r="N2" s="245"/>
      <c r="O2" s="245"/>
      <c r="P2" s="19"/>
      <c r="Q2" s="2"/>
    </row>
    <row r="3" spans="1:17" x14ac:dyDescent="0.35">
      <c r="A3" s="3"/>
      <c r="B3" s="19"/>
      <c r="C3" s="19"/>
      <c r="D3" s="19"/>
      <c r="E3" s="19"/>
      <c r="F3" s="19"/>
      <c r="G3" s="19"/>
      <c r="H3" s="2"/>
      <c r="I3" s="2"/>
      <c r="J3" s="3"/>
      <c r="K3" s="19"/>
      <c r="L3" s="19"/>
      <c r="M3" s="19"/>
      <c r="N3" s="19"/>
      <c r="O3" s="19"/>
      <c r="P3" s="19"/>
      <c r="Q3" s="2"/>
    </row>
    <row r="4" spans="1:17" x14ac:dyDescent="0.35">
      <c r="A4" s="1"/>
      <c r="B4" s="15" t="s">
        <v>0</v>
      </c>
      <c r="C4" s="16" t="s">
        <v>1</v>
      </c>
      <c r="D4" s="17" t="s">
        <v>2</v>
      </c>
      <c r="E4" s="24" t="s">
        <v>3</v>
      </c>
      <c r="F4" s="25" t="s">
        <v>4</v>
      </c>
      <c r="G4" s="26" t="s">
        <v>5</v>
      </c>
      <c r="H4" s="2"/>
      <c r="I4" s="2"/>
      <c r="J4" s="29"/>
      <c r="K4" s="27" t="s">
        <v>0</v>
      </c>
      <c r="L4" s="16" t="s">
        <v>1</v>
      </c>
      <c r="M4" s="17" t="s">
        <v>2</v>
      </c>
      <c r="N4" s="24" t="s">
        <v>3</v>
      </c>
      <c r="O4" s="23" t="s">
        <v>4</v>
      </c>
      <c r="P4" s="18" t="s">
        <v>5</v>
      </c>
      <c r="Q4" s="2"/>
    </row>
    <row r="5" spans="1:17" x14ac:dyDescent="0.35">
      <c r="A5" s="5" t="s">
        <v>6</v>
      </c>
      <c r="B5" s="8">
        <f>SUM('Opponent Game by Game Scores'!B5:B7)</f>
        <v>664</v>
      </c>
      <c r="C5" s="9">
        <f>SUM('Opponent Game by Game Scores'!C5:C7)</f>
        <v>543</v>
      </c>
      <c r="D5" s="10">
        <f>SUM('Opponent Game by Game Scores'!D5:D7)</f>
        <v>601</v>
      </c>
      <c r="E5" s="21">
        <f>SUM('Opponent Game by Game Scores'!E5:E7)</f>
        <v>641</v>
      </c>
      <c r="F5" s="22">
        <f>SUM('Opponent Game by Game Scores'!F5:F7)</f>
        <v>622</v>
      </c>
      <c r="G5" s="177"/>
      <c r="H5" s="4">
        <f>SUM('Opponent Game by Game Scores'!H5:H7)</f>
        <v>0</v>
      </c>
      <c r="I5" s="4">
        <f>SUM('Opponent Game by Game Scores'!I5:I7)</f>
        <v>0</v>
      </c>
      <c r="J5" s="28" t="s">
        <v>6</v>
      </c>
      <c r="K5" s="8">
        <f>SUM('Opponent Game by Game Scores'!K5:K7)</f>
        <v>664</v>
      </c>
      <c r="L5" s="9">
        <f>SUM('Opponent Game by Game Scores'!L5:L7)</f>
        <v>546</v>
      </c>
      <c r="M5" s="10">
        <f>SUM('Opponent Game by Game Scores'!M5:M7)</f>
        <v>601</v>
      </c>
      <c r="N5" s="21">
        <f>SUM('Opponent Game by Game Scores'!N5:N7)</f>
        <v>653</v>
      </c>
      <c r="O5" s="22">
        <f>SUM('Opponent Game by Game Scores'!O5:O7)</f>
        <v>622</v>
      </c>
      <c r="P5" s="177"/>
      <c r="Q5" s="2"/>
    </row>
    <row r="6" spans="1:17" x14ac:dyDescent="0.35">
      <c r="A6" s="5" t="s">
        <v>7</v>
      </c>
      <c r="B6" s="8">
        <f>SUM('Opponent Game by Game Scores'!B8:B10)</f>
        <v>642</v>
      </c>
      <c r="C6" s="9">
        <f>SUM('Opponent Game by Game Scores'!C8:C10)</f>
        <v>659</v>
      </c>
      <c r="D6" s="10">
        <f>SUM('Opponent Game by Game Scores'!D8:D10)</f>
        <v>621</v>
      </c>
      <c r="E6" s="21">
        <f>SUM('Opponent Game by Game Scores'!E8:E10)</f>
        <v>645</v>
      </c>
      <c r="F6" s="22">
        <f>SUM('Opponent Game by Game Scores'!F8:F10)</f>
        <v>492</v>
      </c>
      <c r="G6" s="177"/>
      <c r="H6" s="2"/>
      <c r="I6" s="2"/>
      <c r="J6" s="28" t="s">
        <v>7</v>
      </c>
      <c r="K6" s="8">
        <f>SUM('Opponent Game by Game Scores'!K8:K10)</f>
        <v>642</v>
      </c>
      <c r="L6" s="9">
        <f>SUM('Opponent Game by Game Scores'!L8:L10)</f>
        <v>674</v>
      </c>
      <c r="M6" s="10">
        <f>SUM('Opponent Game by Game Scores'!M8:M10)</f>
        <v>621</v>
      </c>
      <c r="N6" s="21">
        <f>SUM('Opponent Game by Game Scores'!N8:N10)</f>
        <v>645</v>
      </c>
      <c r="O6" s="22">
        <f>SUM('Opponent Game by Game Scores'!O8:O10)</f>
        <v>492</v>
      </c>
      <c r="P6" s="177"/>
      <c r="Q6" s="2"/>
    </row>
    <row r="7" spans="1:17" x14ac:dyDescent="0.35">
      <c r="A7" s="5" t="s">
        <v>8</v>
      </c>
      <c r="B7" s="177"/>
      <c r="C7" s="9">
        <f>SUM('Opponent Game by Game Scores'!C11:C13)</f>
        <v>707</v>
      </c>
      <c r="D7" s="10">
        <f>SUM('Opponent Game by Game Scores'!D11:D13)</f>
        <v>555</v>
      </c>
      <c r="E7" s="21">
        <f>SUM('Opponent Game by Game Scores'!E11:E13)</f>
        <v>555</v>
      </c>
      <c r="F7" s="177"/>
      <c r="G7" s="6">
        <f>SUM('Opponent Game by Game Scores'!G11:G13)</f>
        <v>514</v>
      </c>
      <c r="H7" s="2"/>
      <c r="I7" s="2"/>
      <c r="J7" s="28" t="s">
        <v>8</v>
      </c>
      <c r="K7" s="177"/>
      <c r="L7" s="9">
        <f>SUM('Opponent Game by Game Scores'!L11:L13)</f>
        <v>707</v>
      </c>
      <c r="M7" s="10">
        <f>SUM('Opponent Game by Game Scores'!M11:M13)</f>
        <v>561</v>
      </c>
      <c r="N7" s="21">
        <f>SUM('Opponent Game by Game Scores'!N11:N13)</f>
        <v>558</v>
      </c>
      <c r="O7" s="177"/>
      <c r="P7" s="6">
        <f>SUM('Opponent Game by Game Scores'!P11:P13)</f>
        <v>586</v>
      </c>
      <c r="Q7" s="2"/>
    </row>
    <row r="8" spans="1:17" x14ac:dyDescent="0.35">
      <c r="A8" s="5" t="s">
        <v>9</v>
      </c>
      <c r="B8" s="8">
        <f>SUM('Opponent Game by Game Scores'!B14:B16)</f>
        <v>0</v>
      </c>
      <c r="C8" s="9">
        <f>SUM('Opponent Game by Game Scores'!C14:C16)</f>
        <v>0</v>
      </c>
      <c r="D8" s="10">
        <f>SUM('Opponent Game by Game Scores'!D14:D16)</f>
        <v>0</v>
      </c>
      <c r="E8" s="21">
        <f>SUM('Opponent Game by Game Scores'!E14:E16)</f>
        <v>0</v>
      </c>
      <c r="F8" s="22">
        <f>SUM('Opponent Game by Game Scores'!F14:F16)</f>
        <v>0</v>
      </c>
      <c r="G8" s="6">
        <f>SUM('Opponent Game by Game Scores'!G14:G16)</f>
        <v>0</v>
      </c>
      <c r="H8" s="2"/>
      <c r="I8" s="2"/>
      <c r="J8" s="28" t="s">
        <v>9</v>
      </c>
      <c r="K8" s="8">
        <f>SUM('Opponent Game by Game Scores'!K14:K16)</f>
        <v>0</v>
      </c>
      <c r="L8" s="9">
        <f>SUM('Opponent Game by Game Scores'!L14:L16)</f>
        <v>0</v>
      </c>
      <c r="M8" s="10">
        <f>SUM('Opponent Game by Game Scores'!M14:M16)</f>
        <v>0</v>
      </c>
      <c r="N8" s="21">
        <f>SUM('Opponent Game by Game Scores'!N14:N16)</f>
        <v>0</v>
      </c>
      <c r="O8" s="22">
        <f>SUM('Opponent Game by Game Scores'!O14:O16)</f>
        <v>0</v>
      </c>
      <c r="P8" s="6">
        <f>SUM('Opponent Game by Game Scores'!P14:P16)</f>
        <v>0</v>
      </c>
      <c r="Q8" s="2"/>
    </row>
    <row r="9" spans="1:17" x14ac:dyDescent="0.35">
      <c r="A9" s="5" t="s">
        <v>10</v>
      </c>
      <c r="B9" s="8">
        <f>SUM('Opponent Game by Game Scores'!B17:B19)</f>
        <v>0</v>
      </c>
      <c r="C9" s="9">
        <f>SUM('Opponent Game by Game Scores'!C17:C19)</f>
        <v>0</v>
      </c>
      <c r="D9" s="10">
        <f>SUM('Opponent Game by Game Scores'!D17:D19)</f>
        <v>0</v>
      </c>
      <c r="E9" s="21">
        <f>SUM('Opponent Game by Game Scores'!E17:E19)</f>
        <v>0</v>
      </c>
      <c r="F9" s="22">
        <f>SUM('Opponent Game by Game Scores'!F17:F19)</f>
        <v>0</v>
      </c>
      <c r="G9" s="6">
        <f>SUM('Opponent Game by Game Scores'!G17:G19)</f>
        <v>0</v>
      </c>
      <c r="H9" s="2"/>
      <c r="I9" s="2"/>
      <c r="J9" s="5" t="s">
        <v>10</v>
      </c>
      <c r="K9" s="8">
        <f>SUM('Opponent Game by Game Scores'!K17:K19)</f>
        <v>0</v>
      </c>
      <c r="L9" s="9">
        <f>SUM('Opponent Game by Game Scores'!L17:L19)</f>
        <v>0</v>
      </c>
      <c r="M9" s="10">
        <f>SUM('Opponent Game by Game Scores'!M17:M19)</f>
        <v>0</v>
      </c>
      <c r="N9" s="21">
        <f>SUM('Opponent Game by Game Scores'!N17:N19)</f>
        <v>0</v>
      </c>
      <c r="O9" s="22">
        <f>SUM('Opponent Game by Game Scores'!O17:O19)</f>
        <v>0</v>
      </c>
      <c r="P9" s="6">
        <f>SUM('Opponent Game by Game Scores'!P17:P19)</f>
        <v>0</v>
      </c>
      <c r="Q9" s="2"/>
    </row>
    <row r="10" spans="1:17" x14ac:dyDescent="0.35">
      <c r="A10" s="5" t="s">
        <v>11</v>
      </c>
      <c r="B10" s="8">
        <f>SUM('Opponent Game by Game Scores'!B20:B22)</f>
        <v>0</v>
      </c>
      <c r="C10" s="9">
        <f>SUM('Opponent Game by Game Scores'!C20:C22)</f>
        <v>0</v>
      </c>
      <c r="D10" s="10">
        <f>SUM('Opponent Game by Game Scores'!D20:D22)</f>
        <v>0</v>
      </c>
      <c r="E10" s="21">
        <f>SUM('Opponent Game by Game Scores'!E20:E22)</f>
        <v>0</v>
      </c>
      <c r="F10" s="22">
        <f>SUM('Opponent Game by Game Scores'!F20:F22)</f>
        <v>0</v>
      </c>
      <c r="G10" s="6">
        <f>SUM('Opponent Game by Game Scores'!G20:G22)</f>
        <v>0</v>
      </c>
      <c r="H10" s="2"/>
      <c r="I10" s="2"/>
      <c r="J10" s="5" t="s">
        <v>11</v>
      </c>
      <c r="K10" s="8">
        <f>SUM('Opponent Game by Game Scores'!K20:K22)</f>
        <v>0</v>
      </c>
      <c r="L10" s="9">
        <f>SUM('Opponent Game by Game Scores'!L20:L22)</f>
        <v>0</v>
      </c>
      <c r="M10" s="10">
        <f>SUM('Opponent Game by Game Scores'!M20:M22)</f>
        <v>0</v>
      </c>
      <c r="N10" s="21">
        <f>SUM('Opponent Game by Game Scores'!N20:N22)</f>
        <v>0</v>
      </c>
      <c r="O10" s="22">
        <f>SUM('Opponent Game by Game Scores'!O20:O22)</f>
        <v>0</v>
      </c>
      <c r="P10" s="6">
        <f>SUM('Opponent Game by Game Scores'!P20:P22)</f>
        <v>0</v>
      </c>
      <c r="Q10" s="2"/>
    </row>
    <row r="11" spans="1:17" x14ac:dyDescent="0.35">
      <c r="A11" s="5" t="s">
        <v>12</v>
      </c>
      <c r="B11" s="8">
        <f>SUM('Opponent Game by Game Scores'!B23:B25)</f>
        <v>0</v>
      </c>
      <c r="C11" s="9">
        <f>SUM('Opponent Game by Game Scores'!C23:C25)</f>
        <v>0</v>
      </c>
      <c r="D11" s="10">
        <f>SUM('Opponent Game by Game Scores'!D23:D25)</f>
        <v>0</v>
      </c>
      <c r="E11" s="21">
        <f>SUM('Opponent Game by Game Scores'!E23:E25)</f>
        <v>0</v>
      </c>
      <c r="F11" s="22">
        <f>SUM('Opponent Game by Game Scores'!F23:F25)</f>
        <v>0</v>
      </c>
      <c r="G11" s="6">
        <f>SUM('Opponent Game by Game Scores'!G23:G25)</f>
        <v>0</v>
      </c>
      <c r="H11" s="2"/>
      <c r="I11" s="2"/>
      <c r="J11" s="5" t="s">
        <v>12</v>
      </c>
      <c r="K11" s="8">
        <f>SUM('Opponent Game by Game Scores'!K23:K25)</f>
        <v>0</v>
      </c>
      <c r="L11" s="9">
        <f>SUM('Opponent Game by Game Scores'!L23:L25)</f>
        <v>0</v>
      </c>
      <c r="M11" s="10">
        <f>SUM('Opponent Game by Game Scores'!M23:M25)</f>
        <v>0</v>
      </c>
      <c r="N11" s="21">
        <f>SUM('Opponent Game by Game Scores'!N23:N25)</f>
        <v>0</v>
      </c>
      <c r="O11" s="22">
        <f>SUM('Opponent Game by Game Scores'!O23:O25)</f>
        <v>0</v>
      </c>
      <c r="P11" s="6">
        <f>SUM('Opponent Game by Game Scores'!P23:P25)</f>
        <v>0</v>
      </c>
      <c r="Q11" s="2"/>
    </row>
    <row r="12" spans="1:17" x14ac:dyDescent="0.35">
      <c r="A12" s="5" t="s">
        <v>13</v>
      </c>
      <c r="B12" s="8">
        <f>SUM('Opponent Game by Game Scores'!B26:B28)</f>
        <v>0</v>
      </c>
      <c r="C12" s="9">
        <f>SUM('Opponent Game by Game Scores'!C26:C28)</f>
        <v>0</v>
      </c>
      <c r="D12" s="10">
        <f>SUM('Opponent Game by Game Scores'!D26:D28)</f>
        <v>0</v>
      </c>
      <c r="E12" s="21">
        <f>SUM('Opponent Game by Game Scores'!E26:E28)</f>
        <v>0</v>
      </c>
      <c r="F12" s="22">
        <f>SUM('Opponent Game by Game Scores'!F26:F28)</f>
        <v>0</v>
      </c>
      <c r="G12" s="6">
        <f>SUM('Opponent Game by Game Scores'!G26:G28)</f>
        <v>0</v>
      </c>
      <c r="H12" s="2"/>
      <c r="I12" s="2"/>
      <c r="J12" s="5" t="s">
        <v>13</v>
      </c>
      <c r="K12" s="8">
        <f>SUM('Opponent Game by Game Scores'!K26:K28)</f>
        <v>0</v>
      </c>
      <c r="L12" s="9">
        <f>SUM('Opponent Game by Game Scores'!L26:L28)</f>
        <v>0</v>
      </c>
      <c r="M12" s="10">
        <f>SUM('Opponent Game by Game Scores'!M26:M28)</f>
        <v>0</v>
      </c>
      <c r="N12" s="21">
        <f>SUM('Opponent Game by Game Scores'!N26:N28)</f>
        <v>0</v>
      </c>
      <c r="O12" s="22">
        <f>SUM('Opponent Game by Game Scores'!O26:O28)</f>
        <v>0</v>
      </c>
      <c r="P12" s="6">
        <f>SUM('Opponent Game by Game Scores'!P26:P28)</f>
        <v>0</v>
      </c>
      <c r="Q12" s="2"/>
    </row>
    <row r="13" spans="1:17" x14ac:dyDescent="0.35">
      <c r="A13" s="5" t="s">
        <v>14</v>
      </c>
      <c r="B13" s="8">
        <f>SUM('Opponent Game by Game Scores'!B29:B31)</f>
        <v>0</v>
      </c>
      <c r="C13" s="9">
        <f>SUM('Opponent Game by Game Scores'!C29:C31)</f>
        <v>0</v>
      </c>
      <c r="D13" s="10">
        <f>SUM('Opponent Game by Game Scores'!D29:D31)</f>
        <v>0</v>
      </c>
      <c r="E13" s="21">
        <f>SUM('Opponent Game by Game Scores'!E29:E31)</f>
        <v>0</v>
      </c>
      <c r="F13" s="22">
        <f>SUM('Opponent Game by Game Scores'!F29:F31)</f>
        <v>0</v>
      </c>
      <c r="G13" s="6">
        <f>SUM('Opponent Game by Game Scores'!G29:G31)</f>
        <v>0</v>
      </c>
      <c r="H13" s="2"/>
      <c r="I13" s="2"/>
      <c r="J13" s="5" t="s">
        <v>14</v>
      </c>
      <c r="K13" s="8">
        <f>SUM('Opponent Game by Game Scores'!K29:K31)</f>
        <v>0</v>
      </c>
      <c r="L13" s="9">
        <f>SUM('Opponent Game by Game Scores'!L29:L31)</f>
        <v>0</v>
      </c>
      <c r="M13" s="10">
        <f>SUM('Opponent Game by Game Scores'!M29:M31)</f>
        <v>0</v>
      </c>
      <c r="N13" s="21">
        <f>SUM('Opponent Game by Game Scores'!N29:N31)</f>
        <v>0</v>
      </c>
      <c r="O13" s="22">
        <f>SUM('Opponent Game by Game Scores'!O29:O31)</f>
        <v>0</v>
      </c>
      <c r="P13" s="6">
        <f>SUM('Opponent Game by Game Scores'!P29:P31)</f>
        <v>0</v>
      </c>
      <c r="Q13" s="2"/>
    </row>
    <row r="14" spans="1:17" x14ac:dyDescent="0.35">
      <c r="A14" s="5" t="s">
        <v>15</v>
      </c>
      <c r="B14" s="8">
        <f>SUM('Opponent Game by Game Scores'!B32:B34)</f>
        <v>0</v>
      </c>
      <c r="C14" s="9">
        <f>SUM('Opponent Game by Game Scores'!C32:C34)</f>
        <v>0</v>
      </c>
      <c r="D14" s="10">
        <f>SUM('Opponent Game by Game Scores'!D32:D34)</f>
        <v>0</v>
      </c>
      <c r="E14" s="21">
        <f>SUM('Opponent Game by Game Scores'!E32:E34)</f>
        <v>0</v>
      </c>
      <c r="F14" s="22">
        <f>SUM('Opponent Game by Game Scores'!F32:F34)</f>
        <v>0</v>
      </c>
      <c r="G14" s="6">
        <f>SUM('Opponent Game by Game Scores'!G32:G34)</f>
        <v>0</v>
      </c>
      <c r="H14" s="2"/>
      <c r="I14" s="2"/>
      <c r="J14" s="5" t="s">
        <v>15</v>
      </c>
      <c r="K14" s="8">
        <f>SUM('Opponent Game by Game Scores'!K32:K34)</f>
        <v>0</v>
      </c>
      <c r="L14" s="9">
        <f>SUM('Opponent Game by Game Scores'!L32:L34)</f>
        <v>0</v>
      </c>
      <c r="M14" s="10">
        <f>SUM('Opponent Game by Game Scores'!M32:M34)</f>
        <v>0</v>
      </c>
      <c r="N14" s="21">
        <f>SUM('Opponent Game by Game Scores'!N32:N34)</f>
        <v>0</v>
      </c>
      <c r="O14" s="22">
        <f>SUM('Opponent Game by Game Scores'!O32:O34)</f>
        <v>0</v>
      </c>
      <c r="P14" s="6">
        <f>SUM('Opponent Game by Game Scores'!P32:P34)</f>
        <v>0</v>
      </c>
      <c r="Q14" s="2"/>
    </row>
    <row r="15" spans="1:17" x14ac:dyDescent="0.35">
      <c r="A15" s="5" t="s">
        <v>16</v>
      </c>
      <c r="B15" s="8">
        <f>SUM('Opponent Game by Game Scores'!B35:B37)</f>
        <v>0</v>
      </c>
      <c r="C15" s="9">
        <f>SUM('Opponent Game by Game Scores'!C35:C37)</f>
        <v>0</v>
      </c>
      <c r="D15" s="10">
        <f>SUM('Opponent Game by Game Scores'!D35:D37)</f>
        <v>0</v>
      </c>
      <c r="E15" s="21">
        <f>SUM('Opponent Game by Game Scores'!E35:E37)</f>
        <v>0</v>
      </c>
      <c r="F15" s="22">
        <f>SUM('Opponent Game by Game Scores'!F35:F37)</f>
        <v>0</v>
      </c>
      <c r="G15" s="6">
        <f>SUM('Opponent Game by Game Scores'!G35:G37)</f>
        <v>0</v>
      </c>
      <c r="H15" s="2"/>
      <c r="I15" s="2"/>
      <c r="J15" s="5" t="s">
        <v>16</v>
      </c>
      <c r="K15" s="8">
        <f>SUM('Opponent Game by Game Scores'!K35:K37)</f>
        <v>0</v>
      </c>
      <c r="L15" s="9">
        <f>SUM('Opponent Game by Game Scores'!L35:L37)</f>
        <v>0</v>
      </c>
      <c r="M15" s="10">
        <f>SUM('Opponent Game by Game Scores'!M35:M37)</f>
        <v>0</v>
      </c>
      <c r="N15" s="21">
        <f>SUM('Opponent Game by Game Scores'!N35:N37)</f>
        <v>0</v>
      </c>
      <c r="O15" s="22">
        <f>SUM('Opponent Game by Game Scores'!O35:O37)</f>
        <v>0</v>
      </c>
      <c r="P15" s="6">
        <f>SUM('Opponent Game by Game Scores'!P35:P37)</f>
        <v>0</v>
      </c>
      <c r="Q15" s="2"/>
    </row>
    <row r="16" spans="1:17" x14ac:dyDescent="0.35">
      <c r="A16" s="5" t="s">
        <v>17</v>
      </c>
      <c r="B16" s="8">
        <f>SUM('Opponent Game by Game Scores'!B38:B40)</f>
        <v>0</v>
      </c>
      <c r="C16" s="9">
        <f>SUM('Opponent Game by Game Scores'!C38:C40)</f>
        <v>0</v>
      </c>
      <c r="D16" s="10">
        <f>SUM('Opponent Game by Game Scores'!D38:D40)</f>
        <v>0</v>
      </c>
      <c r="E16" s="21">
        <f>SUM('Opponent Game by Game Scores'!E38:E40)</f>
        <v>0</v>
      </c>
      <c r="F16" s="22">
        <f>SUM('Opponent Game by Game Scores'!F38:F40)</f>
        <v>0</v>
      </c>
      <c r="G16" s="6">
        <f>SUM('Opponent Game by Game Scores'!G38:G40)</f>
        <v>0</v>
      </c>
      <c r="H16" s="2"/>
      <c r="I16" s="2"/>
      <c r="J16" s="5" t="s">
        <v>17</v>
      </c>
      <c r="K16" s="8">
        <f>SUM('Opponent Game by Game Scores'!K38:K40)</f>
        <v>0</v>
      </c>
      <c r="L16" s="9">
        <f>SUM('Opponent Game by Game Scores'!L38:L40)</f>
        <v>0</v>
      </c>
      <c r="M16" s="10">
        <f>SUM('Opponent Game by Game Scores'!M38:M40)</f>
        <v>0</v>
      </c>
      <c r="N16" s="21">
        <f>SUM('Opponent Game by Game Scores'!N38:N40)</f>
        <v>0</v>
      </c>
      <c r="O16" s="22">
        <f>SUM('Opponent Game by Game Scores'!O38:O40)</f>
        <v>0</v>
      </c>
      <c r="P16" s="6">
        <f>SUM('Opponent Game by Game Scores'!P38:P40)</f>
        <v>0</v>
      </c>
      <c r="Q16" s="2"/>
    </row>
    <row r="17" spans="1:17" x14ac:dyDescent="0.35">
      <c r="A17" s="5" t="s">
        <v>18</v>
      </c>
      <c r="B17" s="8">
        <f>SUM('Opponent Game by Game Scores'!B41:B43)</f>
        <v>0</v>
      </c>
      <c r="C17" s="9">
        <f>SUM('Opponent Game by Game Scores'!C41:C43)</f>
        <v>0</v>
      </c>
      <c r="D17" s="10">
        <f>SUM('Opponent Game by Game Scores'!D41:D43)</f>
        <v>0</v>
      </c>
      <c r="E17" s="21">
        <f>SUM('Opponent Game by Game Scores'!E41:E43)</f>
        <v>0</v>
      </c>
      <c r="F17" s="22">
        <f>SUM('Opponent Game by Game Scores'!F41:F43)</f>
        <v>0</v>
      </c>
      <c r="G17" s="6">
        <f>SUM('Opponent Game by Game Scores'!G41:G43)</f>
        <v>0</v>
      </c>
      <c r="H17" s="2"/>
      <c r="I17" s="2"/>
      <c r="J17" s="5" t="s">
        <v>18</v>
      </c>
      <c r="K17" s="8">
        <f>SUM('Opponent Game by Game Scores'!K41:K43)</f>
        <v>0</v>
      </c>
      <c r="L17" s="9">
        <f>SUM('Opponent Game by Game Scores'!L41:L43)</f>
        <v>0</v>
      </c>
      <c r="M17" s="10">
        <f>SUM('Opponent Game by Game Scores'!M41:M43)</f>
        <v>0</v>
      </c>
      <c r="N17" s="21">
        <f>SUM('Opponent Game by Game Scores'!N41:N43)</f>
        <v>0</v>
      </c>
      <c r="O17" s="22">
        <f>SUM('Opponent Game by Game Scores'!O41:O43)</f>
        <v>0</v>
      </c>
      <c r="P17" s="6">
        <f>SUM('Opponent Game by Game Scores'!P41:P43)</f>
        <v>0</v>
      </c>
      <c r="Q17" s="2"/>
    </row>
    <row r="18" spans="1:17" x14ac:dyDescent="0.35">
      <c r="A18" s="5" t="s">
        <v>19</v>
      </c>
      <c r="B18" s="8">
        <f>SUM('Opponent Game by Game Scores'!B44:B46)</f>
        <v>0</v>
      </c>
      <c r="C18" s="9">
        <f>SUM('Opponent Game by Game Scores'!C44:C46)</f>
        <v>0</v>
      </c>
      <c r="D18" s="10">
        <f>SUM('Opponent Game by Game Scores'!D44:D46)</f>
        <v>0</v>
      </c>
      <c r="E18" s="21">
        <f>SUM('Opponent Game by Game Scores'!E44:E46)</f>
        <v>0</v>
      </c>
      <c r="F18" s="22">
        <f>SUM('Opponent Game by Game Scores'!F44:F46)</f>
        <v>0</v>
      </c>
      <c r="G18" s="6">
        <f>SUM('Opponent Game by Game Scores'!G44:G46)</f>
        <v>0</v>
      </c>
      <c r="H18" s="2"/>
      <c r="I18" s="2"/>
      <c r="J18" s="5" t="s">
        <v>19</v>
      </c>
      <c r="K18" s="8">
        <f>SUM('Opponent Game by Game Scores'!K44:K46)</f>
        <v>0</v>
      </c>
      <c r="L18" s="9">
        <f>SUM('Opponent Game by Game Scores'!L44:L46)</f>
        <v>0</v>
      </c>
      <c r="M18" s="10">
        <f>SUM('Opponent Game by Game Scores'!M44:M46)</f>
        <v>0</v>
      </c>
      <c r="N18" s="21">
        <f>SUM('Opponent Game by Game Scores'!N44:N46)</f>
        <v>0</v>
      </c>
      <c r="O18" s="22">
        <f>SUM('Opponent Game by Game Scores'!O44:O46)</f>
        <v>0</v>
      </c>
      <c r="P18" s="6">
        <f>SUM('Opponent Game by Game Scores'!P44:P46)</f>
        <v>0</v>
      </c>
      <c r="Q18" s="2"/>
    </row>
    <row r="19" spans="1:17" x14ac:dyDescent="0.35">
      <c r="A19" s="5" t="s">
        <v>20</v>
      </c>
      <c r="B19" s="8">
        <f>SUM('Opponent Game by Game Scores'!B47:B49)</f>
        <v>0</v>
      </c>
      <c r="C19" s="9">
        <f>SUM('Opponent Game by Game Scores'!C47:C49)</f>
        <v>0</v>
      </c>
      <c r="D19" s="10">
        <f>SUM('Opponent Game by Game Scores'!D47:D49)</f>
        <v>0</v>
      </c>
      <c r="E19" s="21">
        <f>SUM('Opponent Game by Game Scores'!E47:E49)</f>
        <v>0</v>
      </c>
      <c r="F19" s="22">
        <f>SUM('Opponent Game by Game Scores'!F47:F49)</f>
        <v>0</v>
      </c>
      <c r="G19" s="6">
        <f>SUM('Opponent Game by Game Scores'!G47:G49)</f>
        <v>0</v>
      </c>
      <c r="H19" s="2"/>
      <c r="I19" s="2"/>
      <c r="J19" s="5" t="s">
        <v>20</v>
      </c>
      <c r="K19" s="8">
        <f>SUM('Opponent Game by Game Scores'!K47:K49)</f>
        <v>0</v>
      </c>
      <c r="L19" s="9">
        <f>SUM('Opponent Game by Game Scores'!L47:L49)</f>
        <v>0</v>
      </c>
      <c r="M19" s="10">
        <f>SUM('Opponent Game by Game Scores'!M47:M49)</f>
        <v>0</v>
      </c>
      <c r="N19" s="21">
        <f>SUM('Opponent Game by Game Scores'!N47:N49)</f>
        <v>0</v>
      </c>
      <c r="O19" s="22">
        <f>SUM('Opponent Game by Game Scores'!O47:O49)</f>
        <v>0</v>
      </c>
      <c r="P19" s="6">
        <f>SUM('Opponent Game by Game Scores'!P47:P49)</f>
        <v>0</v>
      </c>
      <c r="Q19" s="2"/>
    </row>
    <row r="20" spans="1:17" x14ac:dyDescent="0.35">
      <c r="A20" s="5" t="s">
        <v>21</v>
      </c>
      <c r="B20" s="8">
        <f>SUM('Opponent Game by Game Scores'!B50:B52)</f>
        <v>0</v>
      </c>
      <c r="C20" s="9">
        <f>SUM('Opponent Game by Game Scores'!C50:C52)</f>
        <v>0</v>
      </c>
      <c r="D20" s="10">
        <f>SUM('Opponent Game by Game Scores'!D50:D52)</f>
        <v>0</v>
      </c>
      <c r="E20" s="21">
        <f>SUM('Opponent Game by Game Scores'!E50:E52)</f>
        <v>0</v>
      </c>
      <c r="F20" s="22">
        <f>SUM('Opponent Game by Game Scores'!F50:F52)</f>
        <v>0</v>
      </c>
      <c r="G20" s="6">
        <f>SUM('Opponent Game by Game Scores'!G50:G52)</f>
        <v>0</v>
      </c>
      <c r="H20" s="2"/>
      <c r="I20" s="2"/>
      <c r="J20" s="5" t="s">
        <v>21</v>
      </c>
      <c r="K20" s="8">
        <f>SUM('Opponent Game by Game Scores'!K50:K52)</f>
        <v>0</v>
      </c>
      <c r="L20" s="9">
        <f>SUM('Opponent Game by Game Scores'!L50:L52)</f>
        <v>0</v>
      </c>
      <c r="M20" s="10">
        <f>SUM('Opponent Game by Game Scores'!M50:M52)</f>
        <v>0</v>
      </c>
      <c r="N20" s="21">
        <f>SUM('Opponent Game by Game Scores'!N50:N52)</f>
        <v>0</v>
      </c>
      <c r="O20" s="22">
        <f>SUM('Opponent Game by Game Scores'!O50:O52)</f>
        <v>0</v>
      </c>
      <c r="P20" s="6">
        <f>SUM('Opponent Game by Game Scores'!P50:P52)</f>
        <v>0</v>
      </c>
      <c r="Q20" s="2"/>
    </row>
    <row r="21" spans="1:17" x14ac:dyDescent="0.35">
      <c r="A21" s="5" t="s">
        <v>22</v>
      </c>
      <c r="B21" s="8">
        <f>SUM('Opponent Game by Game Scores'!B53:B55)</f>
        <v>0</v>
      </c>
      <c r="C21" s="9">
        <f>SUM('Opponent Game by Game Scores'!C53:C55)</f>
        <v>0</v>
      </c>
      <c r="D21" s="10">
        <f>SUM('Opponent Game by Game Scores'!D53:D55)</f>
        <v>0</v>
      </c>
      <c r="E21" s="21">
        <f>SUM('Opponent Game by Game Scores'!E53:E55)</f>
        <v>0</v>
      </c>
      <c r="F21" s="22">
        <f>SUM('Opponent Game by Game Scores'!F53:F55)</f>
        <v>0</v>
      </c>
      <c r="G21" s="6">
        <f>SUM('Opponent Game by Game Scores'!G53:G55)</f>
        <v>0</v>
      </c>
      <c r="H21" s="2"/>
      <c r="I21" s="2"/>
      <c r="J21" s="5" t="s">
        <v>22</v>
      </c>
      <c r="K21" s="8">
        <f>SUM('Opponent Game by Game Scores'!K53:K55)</f>
        <v>0</v>
      </c>
      <c r="L21" s="9">
        <f>SUM('Opponent Game by Game Scores'!L53:L55)</f>
        <v>0</v>
      </c>
      <c r="M21" s="10">
        <f>SUM('Opponent Game by Game Scores'!M53:M55)</f>
        <v>0</v>
      </c>
      <c r="N21" s="21">
        <f>SUM('Opponent Game by Game Scores'!N53:N55)</f>
        <v>0</v>
      </c>
      <c r="O21" s="22">
        <f>SUM('Opponent Game by Game Scores'!O53:O55)</f>
        <v>0</v>
      </c>
      <c r="P21" s="6">
        <f>SUM('Opponent Game by Game Scores'!P53:P55)</f>
        <v>0</v>
      </c>
      <c r="Q21" s="2"/>
    </row>
    <row r="22" spans="1:17" x14ac:dyDescent="0.35">
      <c r="A22" s="5" t="s">
        <v>23</v>
      </c>
      <c r="B22" s="8">
        <f>SUM('Opponent Game by Game Scores'!B56:B58)</f>
        <v>0</v>
      </c>
      <c r="C22" s="9">
        <f>SUM('Opponent Game by Game Scores'!C56:C58)</f>
        <v>0</v>
      </c>
      <c r="D22" s="10">
        <f>SUM('Opponent Game by Game Scores'!D56:D58)</f>
        <v>0</v>
      </c>
      <c r="E22" s="21">
        <f>SUM('Opponent Game by Game Scores'!E56:E58)</f>
        <v>0</v>
      </c>
      <c r="F22" s="22">
        <f>SUM('Opponent Game by Game Scores'!F56:F58)</f>
        <v>0</v>
      </c>
      <c r="G22" s="6">
        <f>SUM('Opponent Game by Game Scores'!G56:G58)</f>
        <v>0</v>
      </c>
      <c r="H22" s="2"/>
      <c r="I22" s="2"/>
      <c r="J22" s="5" t="s">
        <v>23</v>
      </c>
      <c r="K22" s="8">
        <f>SUM('Opponent Game by Game Scores'!K56:K58)</f>
        <v>0</v>
      </c>
      <c r="L22" s="9">
        <f>SUM('Opponent Game by Game Scores'!L56:L58)</f>
        <v>0</v>
      </c>
      <c r="M22" s="10">
        <f>SUM('Opponent Game by Game Scores'!M56:M58)</f>
        <v>0</v>
      </c>
      <c r="N22" s="21">
        <f>SUM('Opponent Game by Game Scores'!N56:N58)</f>
        <v>0</v>
      </c>
      <c r="O22" s="22">
        <f>SUM('Opponent Game by Game Scores'!O56:O58)</f>
        <v>0</v>
      </c>
      <c r="P22" s="6">
        <f>SUM('Opponent Game by Game Scores'!P56:P58)</f>
        <v>0</v>
      </c>
      <c r="Q22" s="2"/>
    </row>
    <row r="23" spans="1:17" x14ac:dyDescent="0.35">
      <c r="A23" s="5" t="s">
        <v>24</v>
      </c>
      <c r="B23" s="8">
        <f>SUM('Opponent Game by Game Scores'!B59:B61)</f>
        <v>0</v>
      </c>
      <c r="C23" s="9">
        <f>SUM('Opponent Game by Game Scores'!C59:C61)</f>
        <v>0</v>
      </c>
      <c r="D23" s="10">
        <f>SUM('Opponent Game by Game Scores'!D59:D61)</f>
        <v>0</v>
      </c>
      <c r="E23" s="21">
        <f>SUM('Opponent Game by Game Scores'!E59:E61)</f>
        <v>0</v>
      </c>
      <c r="F23" s="22">
        <f>SUM('Opponent Game by Game Scores'!F59:F61)</f>
        <v>0</v>
      </c>
      <c r="G23" s="6">
        <f>SUM('Opponent Game by Game Scores'!G59:G61)</f>
        <v>0</v>
      </c>
      <c r="H23" s="2"/>
      <c r="I23" s="2"/>
      <c r="J23" s="5" t="s">
        <v>24</v>
      </c>
      <c r="K23" s="8">
        <f>SUM('Opponent Game by Game Scores'!K59:K61)</f>
        <v>0</v>
      </c>
      <c r="L23" s="9">
        <f>SUM('Opponent Game by Game Scores'!L59:L61)</f>
        <v>0</v>
      </c>
      <c r="M23" s="10">
        <f>SUM('Opponent Game by Game Scores'!M59:M61)</f>
        <v>0</v>
      </c>
      <c r="N23" s="21">
        <f>SUM('Opponent Game by Game Scores'!N59:N61)</f>
        <v>0</v>
      </c>
      <c r="O23" s="22">
        <f>SUM('Opponent Game by Game Scores'!O59:O61)</f>
        <v>0</v>
      </c>
      <c r="P23" s="6">
        <f>SUM('Opponent Game by Game Scores'!P59:P61)</f>
        <v>0</v>
      </c>
      <c r="Q23" s="2"/>
    </row>
    <row r="24" spans="1:17" x14ac:dyDescent="0.35">
      <c r="A24" s="5" t="s">
        <v>25</v>
      </c>
      <c r="B24" s="8">
        <f>SUM('Opponent Game by Game Scores'!B62:B64)</f>
        <v>0</v>
      </c>
      <c r="C24" s="9">
        <f>SUM('Opponent Game by Game Scores'!C62:C64)</f>
        <v>0</v>
      </c>
      <c r="D24" s="10">
        <f>SUM('Opponent Game by Game Scores'!D62:D64)</f>
        <v>0</v>
      </c>
      <c r="E24" s="21">
        <f>SUM('Opponent Game by Game Scores'!E62:E64)</f>
        <v>0</v>
      </c>
      <c r="F24" s="22">
        <f>SUM('Opponent Game by Game Scores'!F62:F64)</f>
        <v>0</v>
      </c>
      <c r="G24" s="6">
        <f>SUM('Opponent Game by Game Scores'!G62:G64)</f>
        <v>0</v>
      </c>
      <c r="H24" s="2"/>
      <c r="I24" s="2"/>
      <c r="J24" s="5" t="s">
        <v>25</v>
      </c>
      <c r="K24" s="8">
        <f>SUM('Opponent Game by Game Scores'!K62:K64)</f>
        <v>0</v>
      </c>
      <c r="L24" s="9">
        <f>SUM('Opponent Game by Game Scores'!L62:L64)</f>
        <v>0</v>
      </c>
      <c r="M24" s="10">
        <f>SUM('Opponent Game by Game Scores'!M62:M64)</f>
        <v>0</v>
      </c>
      <c r="N24" s="21">
        <f>SUM('Opponent Game by Game Scores'!N62:N64)</f>
        <v>0</v>
      </c>
      <c r="O24" s="22">
        <f>SUM('Opponent Game by Game Scores'!O62:O64)</f>
        <v>0</v>
      </c>
      <c r="P24" s="6">
        <f>SUM('Opponent Game by Game Scores'!P62:P64)</f>
        <v>0</v>
      </c>
      <c r="Q24" s="2"/>
    </row>
    <row r="25" spans="1:17" x14ac:dyDescent="0.35">
      <c r="A25" s="5" t="s">
        <v>26</v>
      </c>
      <c r="B25" s="8">
        <f>SUM('Opponent Game by Game Scores'!B65:B67)</f>
        <v>0</v>
      </c>
      <c r="C25" s="9">
        <f>SUM('Opponent Game by Game Scores'!C65:C67)</f>
        <v>0</v>
      </c>
      <c r="D25" s="10">
        <f>SUM('Opponent Game by Game Scores'!D65:D67)</f>
        <v>0</v>
      </c>
      <c r="E25" s="21">
        <f>SUM('Opponent Game by Game Scores'!E65:E67)</f>
        <v>0</v>
      </c>
      <c r="F25" s="22">
        <f>SUM('Opponent Game by Game Scores'!F65:F67)</f>
        <v>0</v>
      </c>
      <c r="G25" s="6">
        <f>SUM('Opponent Game by Game Scores'!G65:G67)</f>
        <v>0</v>
      </c>
      <c r="H25" s="2"/>
      <c r="I25" s="2"/>
      <c r="J25" s="5" t="s">
        <v>26</v>
      </c>
      <c r="K25" s="8">
        <f>SUM('Opponent Game by Game Scores'!K65:K67)</f>
        <v>0</v>
      </c>
      <c r="L25" s="9">
        <f>SUM('Opponent Game by Game Scores'!L65:L67)</f>
        <v>0</v>
      </c>
      <c r="M25" s="10">
        <f>SUM('Opponent Game by Game Scores'!M65:M67)</f>
        <v>0</v>
      </c>
      <c r="N25" s="21">
        <f>SUM('Opponent Game by Game Scores'!N65:N67)</f>
        <v>0</v>
      </c>
      <c r="O25" s="22">
        <f>SUM('Opponent Game by Game Scores'!O65:O67)</f>
        <v>0</v>
      </c>
      <c r="P25" s="6">
        <f>SUM('Opponent Game by Game Scores'!P65:P67)</f>
        <v>0</v>
      </c>
      <c r="Q25" s="2"/>
    </row>
    <row r="26" spans="1:17" x14ac:dyDescent="0.35">
      <c r="A26" s="5" t="s">
        <v>27</v>
      </c>
      <c r="B26" s="8">
        <f>SUM('Opponent Game by Game Scores'!B68:B70)</f>
        <v>0</v>
      </c>
      <c r="C26" s="9">
        <f>SUM('Opponent Game by Game Scores'!C68:C70)</f>
        <v>0</v>
      </c>
      <c r="D26" s="10">
        <f>SUM('Opponent Game by Game Scores'!D68:D70)</f>
        <v>0</v>
      </c>
      <c r="E26" s="21">
        <f>SUM('Opponent Game by Game Scores'!E68:E70)</f>
        <v>0</v>
      </c>
      <c r="F26" s="22">
        <f>SUM('Opponent Game by Game Scores'!F68:F70)</f>
        <v>0</v>
      </c>
      <c r="G26" s="6">
        <f>SUM('Opponent Game by Game Scores'!G68:G70)</f>
        <v>0</v>
      </c>
      <c r="H26" s="2"/>
      <c r="I26" s="2"/>
      <c r="J26" s="5" t="s">
        <v>27</v>
      </c>
      <c r="K26" s="8">
        <f>SUM('Opponent Game by Game Scores'!K68:K70)</f>
        <v>0</v>
      </c>
      <c r="L26" s="9">
        <f>SUM('Opponent Game by Game Scores'!L68:L70)</f>
        <v>0</v>
      </c>
      <c r="M26" s="10">
        <f>SUM('Opponent Game by Game Scores'!M68:M70)</f>
        <v>0</v>
      </c>
      <c r="N26" s="21">
        <f>SUM('Opponent Game by Game Scores'!N68:N70)</f>
        <v>0</v>
      </c>
      <c r="O26" s="22">
        <f>SUM('Opponent Game by Game Scores'!O68:O70)</f>
        <v>0</v>
      </c>
      <c r="P26" s="6">
        <f>SUM('Opponent Game by Game Scores'!P68:P70)</f>
        <v>0</v>
      </c>
      <c r="Q26" s="2"/>
    </row>
    <row r="27" spans="1:17" x14ac:dyDescent="0.35">
      <c r="A27" s="5" t="s">
        <v>28</v>
      </c>
      <c r="B27" s="8">
        <f>SUM('Opponent Game by Game Scores'!B71:B73)</f>
        <v>0</v>
      </c>
      <c r="C27" s="9">
        <f>SUM('Opponent Game by Game Scores'!C71:C73)</f>
        <v>0</v>
      </c>
      <c r="D27" s="10">
        <f>SUM('Opponent Game by Game Scores'!D71:D73)</f>
        <v>0</v>
      </c>
      <c r="E27" s="21">
        <f>SUM('Opponent Game by Game Scores'!E71:E73)</f>
        <v>0</v>
      </c>
      <c r="F27" s="22">
        <f>SUM('Opponent Game by Game Scores'!F71:F73)</f>
        <v>0</v>
      </c>
      <c r="G27" s="6">
        <f>SUM('Opponent Game by Game Scores'!G71:G73)</f>
        <v>0</v>
      </c>
      <c r="H27" s="2"/>
      <c r="I27" s="2"/>
      <c r="J27" s="5" t="s">
        <v>28</v>
      </c>
      <c r="K27" s="8">
        <f>SUM('Opponent Game by Game Scores'!K71:K73)</f>
        <v>0</v>
      </c>
      <c r="L27" s="9">
        <f>SUM('Opponent Game by Game Scores'!L71:L73)</f>
        <v>0</v>
      </c>
      <c r="M27" s="10">
        <f>SUM('Opponent Game by Game Scores'!M71:M73)</f>
        <v>0</v>
      </c>
      <c r="N27" s="21">
        <f>SUM('Opponent Game by Game Scores'!N71:N73)</f>
        <v>0</v>
      </c>
      <c r="O27" s="22">
        <f>SUM('Opponent Game by Game Scores'!O71:O73)</f>
        <v>0</v>
      </c>
      <c r="P27" s="6">
        <f>SUM('Opponent Game by Game Scores'!P71:P73)</f>
        <v>0</v>
      </c>
      <c r="Q27" s="2"/>
    </row>
    <row r="28" spans="1:17" x14ac:dyDescent="0.35">
      <c r="A28" s="5" t="s">
        <v>29</v>
      </c>
      <c r="B28" s="8">
        <f>SUM('Opponent Game by Game Scores'!B74:B76)</f>
        <v>0</v>
      </c>
      <c r="C28" s="9">
        <f>SUM('Opponent Game by Game Scores'!C74:C76)</f>
        <v>0</v>
      </c>
      <c r="D28" s="10">
        <f>SUM('Opponent Game by Game Scores'!D74:D76)</f>
        <v>0</v>
      </c>
      <c r="E28" s="21">
        <f>SUM('Opponent Game by Game Scores'!E74:E76)</f>
        <v>0</v>
      </c>
      <c r="F28" s="22">
        <f>SUM('Opponent Game by Game Scores'!F74:F76)</f>
        <v>0</v>
      </c>
      <c r="G28" s="6">
        <f>SUM('Opponent Game by Game Scores'!G74:G76)</f>
        <v>0</v>
      </c>
      <c r="H28" s="2"/>
      <c r="I28" s="2"/>
      <c r="J28" s="5" t="s">
        <v>29</v>
      </c>
      <c r="K28" s="8">
        <f>SUM('Opponent Game by Game Scores'!K74:K76)</f>
        <v>0</v>
      </c>
      <c r="L28" s="9">
        <f>SUM('Opponent Game by Game Scores'!L74:L76)</f>
        <v>0</v>
      </c>
      <c r="M28" s="10">
        <f>SUM('Opponent Game by Game Scores'!M74:M76)</f>
        <v>0</v>
      </c>
      <c r="N28" s="21">
        <f>SUM('Opponent Game by Game Scores'!N74:N76)</f>
        <v>0</v>
      </c>
      <c r="O28" s="22">
        <f>SUM('Opponent Game by Game Scores'!O74:O76)</f>
        <v>0</v>
      </c>
      <c r="P28" s="6">
        <f>SUM('Opponent Game by Game Scores'!P74:P76)</f>
        <v>0</v>
      </c>
      <c r="Q28" s="2"/>
    </row>
    <row r="29" spans="1:17" x14ac:dyDescent="0.35">
      <c r="A29" s="5" t="s">
        <v>30</v>
      </c>
      <c r="B29" s="8">
        <f>SUM('Opponent Game by Game Scores'!B77:B79)</f>
        <v>0</v>
      </c>
      <c r="C29" s="9">
        <f>SUM('Opponent Game by Game Scores'!C77:C79)</f>
        <v>0</v>
      </c>
      <c r="D29" s="10">
        <f>SUM('Opponent Game by Game Scores'!D77:D79)</f>
        <v>0</v>
      </c>
      <c r="E29" s="21">
        <f>SUM('Opponent Game by Game Scores'!E77:E79)</f>
        <v>0</v>
      </c>
      <c r="F29" s="22">
        <f>SUM('Opponent Game by Game Scores'!F77:F79)</f>
        <v>0</v>
      </c>
      <c r="G29" s="6">
        <f>SUM('Opponent Game by Game Scores'!G77:G79)</f>
        <v>0</v>
      </c>
      <c r="H29" s="2"/>
      <c r="I29" s="2"/>
      <c r="J29" s="5" t="s">
        <v>30</v>
      </c>
      <c r="K29" s="8">
        <f>SUM('Opponent Game by Game Scores'!K77:K79)</f>
        <v>0</v>
      </c>
      <c r="L29" s="9">
        <f>SUM('Opponent Game by Game Scores'!L77:L79)</f>
        <v>0</v>
      </c>
      <c r="M29" s="10">
        <f>SUM('Opponent Game by Game Scores'!M77:M79)</f>
        <v>0</v>
      </c>
      <c r="N29" s="21">
        <f>SUM('Opponent Game by Game Scores'!N77:N79)</f>
        <v>0</v>
      </c>
      <c r="O29" s="22">
        <f>SUM('Opponent Game by Game Scores'!O77:O79)</f>
        <v>0</v>
      </c>
      <c r="P29" s="6">
        <f>SUM('Opponent Game by Game Scores'!P77:P79)</f>
        <v>0</v>
      </c>
      <c r="Q29" s="2"/>
    </row>
    <row r="30" spans="1:17" x14ac:dyDescent="0.35">
      <c r="A30" s="5" t="s">
        <v>31</v>
      </c>
      <c r="B30" s="8">
        <f>SUM('Opponent Game by Game Scores'!B80:B82)</f>
        <v>0</v>
      </c>
      <c r="C30" s="9">
        <f>SUM('Opponent Game by Game Scores'!C80:C82)</f>
        <v>0</v>
      </c>
      <c r="D30" s="10">
        <f>SUM('Opponent Game by Game Scores'!D80:D82)</f>
        <v>0</v>
      </c>
      <c r="E30" s="21">
        <f>SUM('Opponent Game by Game Scores'!E80:E82)</f>
        <v>0</v>
      </c>
      <c r="F30" s="22">
        <f>SUM('Opponent Game by Game Scores'!F80:F82)</f>
        <v>0</v>
      </c>
      <c r="G30" s="6">
        <f>SUM('Opponent Game by Game Scores'!G80:G82)</f>
        <v>0</v>
      </c>
      <c r="H30" s="2"/>
      <c r="I30" s="2"/>
      <c r="J30" s="5" t="s">
        <v>31</v>
      </c>
      <c r="K30" s="8">
        <f>SUM('Opponent Game by Game Scores'!K80:K82)</f>
        <v>0</v>
      </c>
      <c r="L30" s="9">
        <f>SUM('Opponent Game by Game Scores'!L80:L82)</f>
        <v>0</v>
      </c>
      <c r="M30" s="10">
        <f>SUM('Opponent Game by Game Scores'!M80:M82)</f>
        <v>0</v>
      </c>
      <c r="N30" s="21">
        <f>SUM('Opponent Game by Game Scores'!N80:N82)</f>
        <v>0</v>
      </c>
      <c r="O30" s="22">
        <f>SUM('Opponent Game by Game Scores'!O80:O82)</f>
        <v>0</v>
      </c>
      <c r="P30" s="6">
        <f>SUM('Opponent Game by Game Scores'!P80:P82)</f>
        <v>0</v>
      </c>
      <c r="Q30" s="2"/>
    </row>
    <row r="31" spans="1:17" x14ac:dyDescent="0.35">
      <c r="A31" s="5" t="s">
        <v>32</v>
      </c>
      <c r="B31" s="8">
        <f>SUM('Opponent Game by Game Scores'!B83:B85)</f>
        <v>0</v>
      </c>
      <c r="C31" s="9">
        <f>SUM('Opponent Game by Game Scores'!C83:C85)</f>
        <v>0</v>
      </c>
      <c r="D31" s="10">
        <f>SUM('Opponent Game by Game Scores'!D83:D85)</f>
        <v>0</v>
      </c>
      <c r="E31" s="21">
        <f>SUM('Opponent Game by Game Scores'!E83:E85)</f>
        <v>0</v>
      </c>
      <c r="F31" s="22">
        <f>SUM('Opponent Game by Game Scores'!F83:F85)</f>
        <v>0</v>
      </c>
      <c r="G31" s="6">
        <f>SUM('Opponent Game by Game Scores'!G83:G85)</f>
        <v>0</v>
      </c>
      <c r="H31" s="2"/>
      <c r="I31" s="2"/>
      <c r="J31" s="5" t="s">
        <v>32</v>
      </c>
      <c r="K31" s="8">
        <f>SUM('Opponent Game by Game Scores'!K83:K85)</f>
        <v>0</v>
      </c>
      <c r="L31" s="9">
        <f>SUM('Opponent Game by Game Scores'!L83:L85)</f>
        <v>0</v>
      </c>
      <c r="M31" s="10">
        <f>SUM('Opponent Game by Game Scores'!M83:M85)</f>
        <v>0</v>
      </c>
      <c r="N31" s="21">
        <f>SUM('Opponent Game by Game Scores'!N83:N85)</f>
        <v>0</v>
      </c>
      <c r="O31" s="22">
        <f>SUM('Opponent Game by Game Scores'!O83:O85)</f>
        <v>0</v>
      </c>
      <c r="P31" s="6">
        <f>SUM('Opponent Game by Game Scores'!P83:P85)</f>
        <v>0</v>
      </c>
      <c r="Q31" s="2"/>
    </row>
    <row r="32" spans="1:17" x14ac:dyDescent="0.35">
      <c r="A32" s="5" t="s">
        <v>33</v>
      </c>
      <c r="B32" s="8">
        <f>SUM('Opponent Game by Game Scores'!B86:B88)</f>
        <v>0</v>
      </c>
      <c r="C32" s="9">
        <f>SUM('Opponent Game by Game Scores'!C86:C88)</f>
        <v>0</v>
      </c>
      <c r="D32" s="10">
        <f>SUM('Opponent Game by Game Scores'!D86:D88)</f>
        <v>0</v>
      </c>
      <c r="E32" s="21">
        <f>SUM('Opponent Game by Game Scores'!E86:E88)</f>
        <v>0</v>
      </c>
      <c r="F32" s="22">
        <f>SUM('Opponent Game by Game Scores'!F86:F88)</f>
        <v>0</v>
      </c>
      <c r="G32" s="6">
        <f>SUM('Opponent Game by Game Scores'!G86:G88)</f>
        <v>0</v>
      </c>
      <c r="H32" s="2"/>
      <c r="I32" s="2"/>
      <c r="J32" s="5" t="s">
        <v>33</v>
      </c>
      <c r="K32" s="8">
        <f>SUM('Opponent Game by Game Scores'!K86:K88)</f>
        <v>0</v>
      </c>
      <c r="L32" s="9">
        <f>SUM('Opponent Game by Game Scores'!L86:L88)</f>
        <v>0</v>
      </c>
      <c r="M32" s="10">
        <f>SUM('Opponent Game by Game Scores'!M86:M88)</f>
        <v>0</v>
      </c>
      <c r="N32" s="21">
        <f>SUM('Opponent Game by Game Scores'!N86:N88)</f>
        <v>0</v>
      </c>
      <c r="O32" s="22">
        <f>SUM('Opponent Game by Game Scores'!O86:O88)</f>
        <v>0</v>
      </c>
      <c r="P32" s="6">
        <f>SUM('Opponent Game by Game Scores'!P86:P88)</f>
        <v>0</v>
      </c>
      <c r="Q32" s="2"/>
    </row>
    <row r="33" spans="1:17" x14ac:dyDescent="0.35">
      <c r="A33" s="5" t="s">
        <v>34</v>
      </c>
      <c r="B33" s="8">
        <f>SUM('Opponent Game by Game Scores'!B89:B91)</f>
        <v>0</v>
      </c>
      <c r="C33" s="9">
        <f>SUM('Opponent Game by Game Scores'!C89:C91)</f>
        <v>0</v>
      </c>
      <c r="D33" s="10">
        <f>SUM('Opponent Game by Game Scores'!D89:D91)</f>
        <v>0</v>
      </c>
      <c r="E33" s="21">
        <f>SUM('Opponent Game by Game Scores'!E89:E91)</f>
        <v>0</v>
      </c>
      <c r="F33" s="22">
        <f>SUM('Opponent Game by Game Scores'!F89:F91)</f>
        <v>0</v>
      </c>
      <c r="G33" s="6">
        <f>SUM('Opponent Game by Game Scores'!G89:G91)</f>
        <v>0</v>
      </c>
      <c r="H33" s="2"/>
      <c r="I33" s="2"/>
      <c r="J33" s="5" t="s">
        <v>34</v>
      </c>
      <c r="K33" s="8">
        <f>SUM('Opponent Game by Game Scores'!K89:K91)</f>
        <v>0</v>
      </c>
      <c r="L33" s="9">
        <f>SUM('Opponent Game by Game Scores'!L89:L91)</f>
        <v>0</v>
      </c>
      <c r="M33" s="10">
        <f>SUM('Opponent Game by Game Scores'!M89:M91)</f>
        <v>0</v>
      </c>
      <c r="N33" s="21">
        <f>SUM('Opponent Game by Game Scores'!N89:N91)</f>
        <v>0</v>
      </c>
      <c r="O33" s="22">
        <f>SUM('Opponent Game by Game Scores'!O89:O91)</f>
        <v>0</v>
      </c>
      <c r="P33" s="6">
        <f>SUM('Opponent Game by Game Scores'!P89:P91)</f>
        <v>0</v>
      </c>
      <c r="Q33" s="2"/>
    </row>
    <row r="34" spans="1:17" x14ac:dyDescent="0.35">
      <c r="A34" s="5" t="s">
        <v>35</v>
      </c>
      <c r="B34" s="8">
        <f>SUM('Opponent Game by Game Scores'!B92:B94)</f>
        <v>0</v>
      </c>
      <c r="C34" s="9">
        <f>SUM('Opponent Game by Game Scores'!C92:C94)</f>
        <v>0</v>
      </c>
      <c r="D34" s="10">
        <f>SUM('Opponent Game by Game Scores'!D92:D94)</f>
        <v>0</v>
      </c>
      <c r="E34" s="21">
        <f>SUM('Opponent Game by Game Scores'!E92:E94)</f>
        <v>0</v>
      </c>
      <c r="F34" s="22">
        <f>SUM('Opponent Game by Game Scores'!F92:F94)</f>
        <v>0</v>
      </c>
      <c r="G34" s="6">
        <f>SUM('Opponent Game by Game Scores'!G92:G94)</f>
        <v>0</v>
      </c>
      <c r="H34" s="2"/>
      <c r="I34" s="2"/>
      <c r="J34" s="5" t="s">
        <v>35</v>
      </c>
      <c r="K34" s="8">
        <f>SUM('Opponent Game by Game Scores'!K92:K94)</f>
        <v>0</v>
      </c>
      <c r="L34" s="9">
        <f>SUM('Opponent Game by Game Scores'!L92:L94)</f>
        <v>0</v>
      </c>
      <c r="M34" s="10">
        <f>SUM('Opponent Game by Game Scores'!M92:M94)</f>
        <v>0</v>
      </c>
      <c r="N34" s="21">
        <f>SUM('Opponent Game by Game Scores'!N92:N94)</f>
        <v>0</v>
      </c>
      <c r="O34" s="22">
        <f>SUM('Opponent Game by Game Scores'!O92:O94)</f>
        <v>0</v>
      </c>
      <c r="P34" s="6">
        <f>SUM('Opponent Game by Game Scores'!P92:P94)</f>
        <v>0</v>
      </c>
      <c r="Q34" s="2"/>
    </row>
    <row r="35" spans="1:17" x14ac:dyDescent="0.35">
      <c r="A35" s="5" t="s">
        <v>36</v>
      </c>
      <c r="B35" s="8">
        <f>SUM('Opponent Game by Game Scores'!B95:B97)</f>
        <v>0</v>
      </c>
      <c r="C35" s="9">
        <f>SUM('Opponent Game by Game Scores'!C95:C97)</f>
        <v>0</v>
      </c>
      <c r="D35" s="10">
        <f>SUM('Opponent Game by Game Scores'!D95:D97)</f>
        <v>0</v>
      </c>
      <c r="E35" s="21">
        <f>SUM('Opponent Game by Game Scores'!E95:E97)</f>
        <v>0</v>
      </c>
      <c r="F35" s="22">
        <f>SUM('Opponent Game by Game Scores'!F95:F97)</f>
        <v>0</v>
      </c>
      <c r="G35" s="6">
        <f>SUM('Opponent Game by Game Scores'!G95:G97)</f>
        <v>0</v>
      </c>
      <c r="H35" s="2"/>
      <c r="I35" s="2"/>
      <c r="J35" s="5" t="s">
        <v>36</v>
      </c>
      <c r="K35" s="8">
        <f>SUM('Opponent Game by Game Scores'!K95:K97)</f>
        <v>0</v>
      </c>
      <c r="L35" s="9">
        <f>SUM('Opponent Game by Game Scores'!L95:L97)</f>
        <v>0</v>
      </c>
      <c r="M35" s="10">
        <f>SUM('Opponent Game by Game Scores'!M95:M97)</f>
        <v>0</v>
      </c>
      <c r="N35" s="21">
        <f>SUM('Opponent Game by Game Scores'!N95:N97)</f>
        <v>0</v>
      </c>
      <c r="O35" s="22">
        <f>SUM('Opponent Game by Game Scores'!O95:O97)</f>
        <v>0</v>
      </c>
      <c r="P35" s="6">
        <f>SUM('Opponent Game by Game Scores'!P95:P97)</f>
        <v>0</v>
      </c>
      <c r="Q35" s="2"/>
    </row>
    <row r="36" spans="1:17" x14ac:dyDescent="0.35">
      <c r="A36" s="5" t="s">
        <v>37</v>
      </c>
      <c r="B36" s="8">
        <f>SUM('Opponent Game by Game Scores'!B98:B100)</f>
        <v>0</v>
      </c>
      <c r="C36" s="9">
        <f>SUM('Opponent Game by Game Scores'!C98:C100)</f>
        <v>0</v>
      </c>
      <c r="D36" s="10">
        <f>SUM('Opponent Game by Game Scores'!D98:D100)</f>
        <v>0</v>
      </c>
      <c r="E36" s="21">
        <f>SUM('Opponent Game by Game Scores'!E98:E100)</f>
        <v>0</v>
      </c>
      <c r="F36" s="22">
        <f>SUM('Opponent Game by Game Scores'!F98:F100)</f>
        <v>0</v>
      </c>
      <c r="G36" s="6">
        <f>SUM('Opponent Game by Game Scores'!G98:G100)</f>
        <v>0</v>
      </c>
      <c r="H36" s="2"/>
      <c r="I36" s="2"/>
      <c r="J36" s="5" t="s">
        <v>37</v>
      </c>
      <c r="K36" s="8">
        <f>SUM('Opponent Game by Game Scores'!K98:K100)</f>
        <v>0</v>
      </c>
      <c r="L36" s="9">
        <f>SUM('Opponent Game by Game Scores'!L98:L100)</f>
        <v>0</v>
      </c>
      <c r="M36" s="10">
        <f>SUM('Opponent Game by Game Scores'!M98:M100)</f>
        <v>0</v>
      </c>
      <c r="N36" s="21">
        <f>SUM('Opponent Game by Game Scores'!N98:N100)</f>
        <v>0</v>
      </c>
      <c r="O36" s="22">
        <f>SUM('Opponent Game by Game Scores'!O98:O100)</f>
        <v>0</v>
      </c>
      <c r="P36" s="6">
        <f>SUM('Opponent Game by Game Scores'!P98:P100)</f>
        <v>0</v>
      </c>
      <c r="Q36" s="2"/>
    </row>
    <row r="37" spans="1:17" x14ac:dyDescent="0.35">
      <c r="A37" s="5" t="s">
        <v>38</v>
      </c>
      <c r="B37" s="8">
        <f>SUM('Opponent Game by Game Scores'!B101:B103)</f>
        <v>0</v>
      </c>
      <c r="C37" s="9">
        <f>SUM('Opponent Game by Game Scores'!C101:C103)</f>
        <v>0</v>
      </c>
      <c r="D37" s="10">
        <f>SUM('Opponent Game by Game Scores'!D101:D103)</f>
        <v>0</v>
      </c>
      <c r="E37" s="21">
        <f>SUM('Opponent Game by Game Scores'!E101:E103)</f>
        <v>0</v>
      </c>
      <c r="F37" s="22">
        <f>SUM('Opponent Game by Game Scores'!F101:F103)</f>
        <v>0</v>
      </c>
      <c r="G37" s="6">
        <f>SUM('Opponent Game by Game Scores'!G101:G103)</f>
        <v>0</v>
      </c>
      <c r="H37" s="2"/>
      <c r="I37" s="2"/>
      <c r="J37" s="5" t="s">
        <v>38</v>
      </c>
      <c r="K37" s="8">
        <f>SUM('Opponent Game by Game Scores'!K101:K103)</f>
        <v>0</v>
      </c>
      <c r="L37" s="9">
        <f>SUM('Opponent Game by Game Scores'!L101:L103)</f>
        <v>0</v>
      </c>
      <c r="M37" s="10">
        <f>SUM('Opponent Game by Game Scores'!M101:M103)</f>
        <v>0</v>
      </c>
      <c r="N37" s="21">
        <f>SUM('Opponent Game by Game Scores'!N101:N103)</f>
        <v>0</v>
      </c>
      <c r="O37" s="22">
        <f>SUM('Opponent Game by Game Scores'!O101:O103)</f>
        <v>0</v>
      </c>
      <c r="P37" s="6">
        <f>SUM('Opponent Game by Game Scores'!P101:P103)</f>
        <v>0</v>
      </c>
      <c r="Q37" s="2"/>
    </row>
    <row r="38" spans="1:17" x14ac:dyDescent="0.35">
      <c r="A38" s="5" t="s">
        <v>39</v>
      </c>
      <c r="B38" s="8">
        <f>SUM('Opponent Game by Game Scores'!B104:B106)</f>
        <v>0</v>
      </c>
      <c r="C38" s="9">
        <f>SUM('Opponent Game by Game Scores'!C104:C106)</f>
        <v>0</v>
      </c>
      <c r="D38" s="10">
        <f>SUM('Opponent Game by Game Scores'!D104:D106)</f>
        <v>0</v>
      </c>
      <c r="E38" s="21">
        <f>SUM('Opponent Game by Game Scores'!E104:E106)</f>
        <v>0</v>
      </c>
      <c r="F38" s="22">
        <f>SUM('Opponent Game by Game Scores'!F104:F106)</f>
        <v>0</v>
      </c>
      <c r="G38" s="6">
        <f>SUM('Opponent Game by Game Scores'!G104:G106)</f>
        <v>0</v>
      </c>
      <c r="H38" s="2"/>
      <c r="I38" s="2"/>
      <c r="J38" s="5" t="s">
        <v>39</v>
      </c>
      <c r="K38" s="8">
        <f>SUM('Opponent Game by Game Scores'!K104:K106)</f>
        <v>0</v>
      </c>
      <c r="L38" s="9">
        <f>SUM('Opponent Game by Game Scores'!L104:L106)</f>
        <v>0</v>
      </c>
      <c r="M38" s="10">
        <f>SUM('Opponent Game by Game Scores'!M104:M106)</f>
        <v>0</v>
      </c>
      <c r="N38" s="21">
        <f>SUM('Opponent Game by Game Scores'!N104:N106)</f>
        <v>0</v>
      </c>
      <c r="O38" s="22">
        <f>SUM('Opponent Game by Game Scores'!O104:O106)</f>
        <v>0</v>
      </c>
      <c r="P38" s="6">
        <f>SUM('Opponent Game by Game Scores'!P104:P106)</f>
        <v>0</v>
      </c>
      <c r="Q38" s="2"/>
    </row>
    <row r="39" spans="1:17" x14ac:dyDescent="0.35">
      <c r="A39" s="5" t="s">
        <v>40</v>
      </c>
      <c r="B39" s="8">
        <f>SUM('Opponent Game by Game Scores'!B107:B109)</f>
        <v>0</v>
      </c>
      <c r="C39" s="9">
        <f>SUM('Opponent Game by Game Scores'!C107:C109)</f>
        <v>0</v>
      </c>
      <c r="D39" s="10">
        <f>SUM('Opponent Game by Game Scores'!D107:D109)</f>
        <v>0</v>
      </c>
      <c r="E39" s="21">
        <f>SUM('Opponent Game by Game Scores'!E107:E109)</f>
        <v>0</v>
      </c>
      <c r="F39" s="22">
        <f>SUM('Opponent Game by Game Scores'!F107:F109)</f>
        <v>0</v>
      </c>
      <c r="G39" s="6">
        <f>SUM('Opponent Game by Game Scores'!G107:G109)</f>
        <v>0</v>
      </c>
      <c r="H39" s="2"/>
      <c r="I39" s="2"/>
      <c r="J39" s="5" t="s">
        <v>40</v>
      </c>
      <c r="K39" s="8">
        <f>SUM('Opponent Game by Game Scores'!K107:K109)</f>
        <v>0</v>
      </c>
      <c r="L39" s="9">
        <f>SUM('Opponent Game by Game Scores'!L107:L109)</f>
        <v>0</v>
      </c>
      <c r="M39" s="10">
        <f>SUM('Opponent Game by Game Scores'!M107:M109)</f>
        <v>0</v>
      </c>
      <c r="N39" s="21">
        <f>SUM('Opponent Game by Game Scores'!N107:N109)</f>
        <v>0</v>
      </c>
      <c r="O39" s="22">
        <f>SUM('Opponent Game by Game Scores'!O107:O109)</f>
        <v>0</v>
      </c>
      <c r="P39" s="6">
        <f>SUM('Opponent Game by Game Scores'!P107:P109)</f>
        <v>0</v>
      </c>
      <c r="Q39" s="2"/>
    </row>
    <row r="40" spans="1:17" x14ac:dyDescent="0.35">
      <c r="A40" s="5" t="s">
        <v>41</v>
      </c>
      <c r="B40" s="8">
        <f>SUM('Opponent Game by Game Scores'!B110:B112)</f>
        <v>0</v>
      </c>
      <c r="C40" s="9">
        <f>SUM('Opponent Game by Game Scores'!C110:C112)</f>
        <v>0</v>
      </c>
      <c r="D40" s="10">
        <f>SUM('Opponent Game by Game Scores'!D110:D112)</f>
        <v>0</v>
      </c>
      <c r="E40" s="21">
        <f>SUM('Opponent Game by Game Scores'!E110:E112)</f>
        <v>0</v>
      </c>
      <c r="F40" s="22">
        <f>SUM('Opponent Game by Game Scores'!F110:F112)</f>
        <v>0</v>
      </c>
      <c r="G40" s="6">
        <f>SUM('Opponent Game by Game Scores'!G110:G112)</f>
        <v>0</v>
      </c>
      <c r="H40" s="2"/>
      <c r="I40" s="2"/>
      <c r="J40" s="5" t="s">
        <v>41</v>
      </c>
      <c r="K40" s="8">
        <f>SUM('Opponent Game by Game Scores'!K110:K112)</f>
        <v>0</v>
      </c>
      <c r="L40" s="9">
        <f>SUM('Opponent Game by Game Scores'!L110:L112)</f>
        <v>0</v>
      </c>
      <c r="M40" s="10">
        <f>SUM('Opponent Game by Game Scores'!M110:M112)</f>
        <v>0</v>
      </c>
      <c r="N40" s="21">
        <f>SUM('Opponent Game by Game Scores'!N110:N112)</f>
        <v>0</v>
      </c>
      <c r="O40" s="22">
        <f>SUM('Opponent Game by Game Scores'!O110:O112)</f>
        <v>0</v>
      </c>
      <c r="P40" s="6">
        <f>SUM('Opponent Game by Game Scores'!P110:P112)</f>
        <v>0</v>
      </c>
      <c r="Q40" s="2"/>
    </row>
    <row r="41" spans="1:17" x14ac:dyDescent="0.35">
      <c r="A41" s="2"/>
      <c r="B41" s="2"/>
      <c r="C41" s="2"/>
      <c r="D41" s="2"/>
      <c r="E41" s="2"/>
      <c r="F41" s="2"/>
      <c r="G41" s="2"/>
      <c r="H41" s="2"/>
      <c r="I41" s="2"/>
      <c r="J41" s="2"/>
      <c r="K41" s="2"/>
      <c r="L41" s="2"/>
      <c r="M41" s="2"/>
      <c r="N41" s="2"/>
      <c r="O41" s="2"/>
      <c r="P41" s="2"/>
      <c r="Q41" s="2"/>
    </row>
    <row r="42" spans="1:17" x14ac:dyDescent="0.35">
      <c r="A42" s="2"/>
      <c r="B42" s="2"/>
      <c r="C42" s="2"/>
      <c r="D42" s="2"/>
      <c r="E42" s="2"/>
      <c r="F42" s="2"/>
      <c r="G42" s="2"/>
      <c r="H42" s="2"/>
      <c r="I42" s="2"/>
      <c r="J42" s="2"/>
      <c r="K42" s="2"/>
      <c r="L42" s="2"/>
      <c r="M42" s="2"/>
      <c r="N42" s="2"/>
      <c r="O42" s="2"/>
      <c r="P42" s="2"/>
      <c r="Q42" s="2"/>
    </row>
    <row r="43" spans="1:17" x14ac:dyDescent="0.35">
      <c r="A43" s="2"/>
      <c r="B43" s="2"/>
      <c r="C43" s="2"/>
      <c r="D43" s="2"/>
      <c r="E43" s="2"/>
      <c r="F43" s="2"/>
      <c r="G43" s="2"/>
      <c r="H43" s="2"/>
      <c r="I43" s="2"/>
      <c r="J43" s="2"/>
      <c r="K43" s="2"/>
      <c r="L43" s="2"/>
      <c r="M43" s="2"/>
      <c r="N43" s="2"/>
      <c r="O43" s="2"/>
      <c r="P43" s="2"/>
      <c r="Q43" s="2"/>
    </row>
    <row r="44" spans="1:17" x14ac:dyDescent="0.35">
      <c r="A44" s="2"/>
      <c r="B44" s="2"/>
      <c r="C44" s="2"/>
      <c r="D44" s="2"/>
      <c r="E44" s="2"/>
      <c r="F44" s="2"/>
      <c r="G44" s="2"/>
      <c r="H44" s="2"/>
      <c r="I44" s="2"/>
      <c r="J44" s="2"/>
      <c r="K44" s="2"/>
      <c r="L44" s="2"/>
      <c r="M44" s="2"/>
      <c r="N44" s="2"/>
      <c r="O44" s="2"/>
      <c r="P44" s="2"/>
      <c r="Q44" s="2"/>
    </row>
    <row r="45" spans="1:17" x14ac:dyDescent="0.35">
      <c r="A45" s="2"/>
      <c r="B45" s="2"/>
      <c r="C45" s="2"/>
      <c r="D45" s="2"/>
      <c r="E45" s="2"/>
      <c r="F45" s="2"/>
      <c r="G45" s="2"/>
      <c r="H45" s="2"/>
      <c r="I45" s="2"/>
      <c r="J45" s="2"/>
      <c r="K45" s="2"/>
      <c r="L45" s="2"/>
      <c r="M45" s="2"/>
      <c r="N45" s="2"/>
      <c r="O45" s="2"/>
      <c r="P45" s="2"/>
      <c r="Q45" s="2"/>
    </row>
  </sheetData>
  <mergeCells count="2">
    <mergeCell ref="C2:F2"/>
    <mergeCell ref="L2:O2"/>
  </mergeCells>
  <phoneticPr fontId="4" type="noConversion"/>
  <pageMargins left="0.7" right="0.7" top="0.75" bottom="0.75" header="0.3" footer="0.3"/>
  <pageSetup orientation="portrait" r:id="rId1"/>
  <headerFooter>
    <oddHeader>&amp;L&amp;"Aptos"&amp;12&amp;K03C03C Public&amp;1#_x000D_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69CAF-78B8-4044-A72D-2E99D117CBCD}">
  <dimension ref="A1:Q116"/>
  <sheetViews>
    <sheetView workbookViewId="0">
      <pane ySplit="4" topLeftCell="A5" activePane="bottomLeft" state="frozen"/>
      <selection pane="bottomLeft" activeCell="G11" sqref="G11"/>
    </sheetView>
  </sheetViews>
  <sheetFormatPr defaultRowHeight="14.5" x14ac:dyDescent="0.35"/>
  <cols>
    <col min="1" max="1" width="19.26953125" customWidth="1"/>
    <col min="2" max="7" width="10.7265625" customWidth="1"/>
    <col min="10" max="10" width="19.26953125" customWidth="1"/>
    <col min="11" max="16" width="10.7265625" customWidth="1"/>
  </cols>
  <sheetData>
    <row r="1" spans="1:17" x14ac:dyDescent="0.35">
      <c r="A1" s="3"/>
      <c r="B1" s="3"/>
      <c r="C1" s="4"/>
      <c r="D1" s="4"/>
      <c r="E1" s="4"/>
      <c r="F1" s="4"/>
      <c r="G1" s="4"/>
      <c r="H1" s="4"/>
      <c r="I1" s="2"/>
      <c r="J1" s="2"/>
      <c r="K1" s="2"/>
      <c r="L1" s="2"/>
      <c r="M1" s="2"/>
      <c r="N1" s="2"/>
      <c r="O1" s="2"/>
      <c r="P1" s="2"/>
      <c r="Q1" s="2"/>
    </row>
    <row r="2" spans="1:17" x14ac:dyDescent="0.35">
      <c r="A2" s="3"/>
      <c r="B2" s="2"/>
      <c r="C2" s="244" t="s">
        <v>42</v>
      </c>
      <c r="D2" s="245"/>
      <c r="E2" s="245"/>
      <c r="F2" s="245"/>
      <c r="G2" s="2"/>
      <c r="H2" s="2"/>
      <c r="I2" s="2"/>
      <c r="J2" s="2"/>
      <c r="K2" s="2"/>
      <c r="L2" s="244" t="s">
        <v>43</v>
      </c>
      <c r="M2" s="245"/>
      <c r="N2" s="245"/>
      <c r="O2" s="245"/>
      <c r="P2" s="2"/>
      <c r="Q2" s="2"/>
    </row>
    <row r="3" spans="1:17" x14ac:dyDescent="0.35">
      <c r="A3" s="3"/>
      <c r="B3" s="2"/>
      <c r="C3" s="2"/>
      <c r="D3" s="2"/>
      <c r="E3" s="2"/>
      <c r="F3" s="2"/>
      <c r="G3" s="2"/>
      <c r="H3" s="2"/>
      <c r="I3" s="2"/>
      <c r="J3" s="3"/>
      <c r="K3" s="2"/>
      <c r="L3" s="2"/>
      <c r="M3" s="2"/>
      <c r="N3" s="2"/>
      <c r="O3" s="2"/>
      <c r="P3" s="2"/>
      <c r="Q3" s="2"/>
    </row>
    <row r="4" spans="1:17" x14ac:dyDescent="0.35">
      <c r="A4" s="12"/>
      <c r="B4" s="15" t="s">
        <v>0</v>
      </c>
      <c r="C4" s="16" t="s">
        <v>1</v>
      </c>
      <c r="D4" s="17" t="s">
        <v>2</v>
      </c>
      <c r="E4" s="24" t="s">
        <v>3</v>
      </c>
      <c r="F4" s="23" t="s">
        <v>4</v>
      </c>
      <c r="G4" s="18" t="s">
        <v>5</v>
      </c>
      <c r="H4" s="4"/>
      <c r="I4" s="2"/>
      <c r="J4" s="12"/>
      <c r="K4" s="15" t="s">
        <v>0</v>
      </c>
      <c r="L4" s="16" t="s">
        <v>1</v>
      </c>
      <c r="M4" s="17" t="s">
        <v>2</v>
      </c>
      <c r="N4" s="24" t="s">
        <v>3</v>
      </c>
      <c r="O4" s="23" t="s">
        <v>4</v>
      </c>
      <c r="P4" s="18" t="s">
        <v>5</v>
      </c>
      <c r="Q4" s="2"/>
    </row>
    <row r="5" spans="1:17" x14ac:dyDescent="0.35">
      <c r="A5" s="13" t="s">
        <v>49</v>
      </c>
      <c r="B5" s="8">
        <v>247</v>
      </c>
      <c r="C5" s="9">
        <v>212</v>
      </c>
      <c r="D5" s="10">
        <v>220</v>
      </c>
      <c r="E5" s="21">
        <v>169</v>
      </c>
      <c r="F5" s="22">
        <v>220</v>
      </c>
      <c r="G5" s="177"/>
      <c r="H5" s="4"/>
      <c r="I5" s="2"/>
      <c r="J5" s="13" t="s">
        <v>49</v>
      </c>
      <c r="K5" s="8">
        <f>B5+Handicap!B5</f>
        <v>267</v>
      </c>
      <c r="L5" s="9">
        <f>C5+Handicap!C5</f>
        <v>212</v>
      </c>
      <c r="M5" s="10">
        <f>D5+Handicap!D5</f>
        <v>220</v>
      </c>
      <c r="N5" s="21">
        <f>E5+Handicap!E5</f>
        <v>169</v>
      </c>
      <c r="O5" s="22">
        <f>F5+Handicap!F5</f>
        <v>224</v>
      </c>
      <c r="P5" s="177"/>
      <c r="Q5" s="2"/>
    </row>
    <row r="6" spans="1:17" x14ac:dyDescent="0.35">
      <c r="A6" s="13" t="s">
        <v>50</v>
      </c>
      <c r="B6" s="8">
        <v>202</v>
      </c>
      <c r="C6" s="9">
        <v>237</v>
      </c>
      <c r="D6" s="10">
        <v>169</v>
      </c>
      <c r="E6" s="21">
        <v>268</v>
      </c>
      <c r="F6" s="22">
        <v>156</v>
      </c>
      <c r="G6" s="177"/>
      <c r="H6" s="4"/>
      <c r="I6" s="2"/>
      <c r="J6" s="13" t="s">
        <v>50</v>
      </c>
      <c r="K6" s="8">
        <f>B6+Handicap!B6</f>
        <v>222</v>
      </c>
      <c r="L6" s="9">
        <f>C6+Handicap!C6</f>
        <v>237</v>
      </c>
      <c r="M6" s="10">
        <f>D6+Handicap!D6</f>
        <v>169</v>
      </c>
      <c r="N6" s="21">
        <f>E6+Handicap!E6</f>
        <v>268</v>
      </c>
      <c r="O6" s="22">
        <f>F6+Handicap!F6</f>
        <v>160</v>
      </c>
      <c r="P6" s="177"/>
      <c r="Q6" s="2"/>
    </row>
    <row r="7" spans="1:17" x14ac:dyDescent="0.35">
      <c r="A7" s="13" t="s">
        <v>51</v>
      </c>
      <c r="B7" s="8">
        <v>198</v>
      </c>
      <c r="C7" s="9">
        <v>209</v>
      </c>
      <c r="D7" s="10">
        <v>170</v>
      </c>
      <c r="E7" s="21">
        <v>202</v>
      </c>
      <c r="F7" s="22">
        <v>204</v>
      </c>
      <c r="G7" s="177"/>
      <c r="H7" s="4"/>
      <c r="I7" s="2"/>
      <c r="J7" s="13" t="s">
        <v>51</v>
      </c>
      <c r="K7" s="8">
        <f>B7+Handicap!B7</f>
        <v>218</v>
      </c>
      <c r="L7" s="9">
        <f>C7+Handicap!C7</f>
        <v>209</v>
      </c>
      <c r="M7" s="10">
        <f>D7+Handicap!D7</f>
        <v>170</v>
      </c>
      <c r="N7" s="21">
        <f>E7+Handicap!E7</f>
        <v>202</v>
      </c>
      <c r="O7" s="22">
        <f>F7+Handicap!F7</f>
        <v>208</v>
      </c>
      <c r="P7" s="177"/>
      <c r="Q7" s="2"/>
    </row>
    <row r="8" spans="1:17" x14ac:dyDescent="0.35">
      <c r="A8" s="13" t="s">
        <v>52</v>
      </c>
      <c r="B8" s="8">
        <v>225</v>
      </c>
      <c r="C8" s="9">
        <v>184</v>
      </c>
      <c r="D8" s="10">
        <v>212</v>
      </c>
      <c r="E8" s="21">
        <v>227</v>
      </c>
      <c r="F8" s="22">
        <v>143</v>
      </c>
      <c r="G8" s="177"/>
      <c r="H8" s="4"/>
      <c r="I8" s="2"/>
      <c r="J8" s="13" t="s">
        <v>52</v>
      </c>
      <c r="K8" s="8">
        <f>B8+Handicap!B8</f>
        <v>241</v>
      </c>
      <c r="L8" s="9">
        <f>C8+Handicap!C8</f>
        <v>184</v>
      </c>
      <c r="M8" s="10">
        <f>D8+Handicap!D8</f>
        <v>212</v>
      </c>
      <c r="N8" s="21">
        <f>E8+Handicap!E8</f>
        <v>231</v>
      </c>
      <c r="O8" s="22">
        <f>F8+Handicap!F8</f>
        <v>143</v>
      </c>
      <c r="P8" s="177"/>
      <c r="Q8" s="2"/>
    </row>
    <row r="9" spans="1:17" x14ac:dyDescent="0.35">
      <c r="A9" s="13" t="s">
        <v>53</v>
      </c>
      <c r="B9" s="8">
        <v>182</v>
      </c>
      <c r="C9" s="9">
        <v>206</v>
      </c>
      <c r="D9" s="10">
        <v>234</v>
      </c>
      <c r="E9" s="21">
        <v>164</v>
      </c>
      <c r="F9" s="22">
        <v>181</v>
      </c>
      <c r="G9" s="177"/>
      <c r="H9" s="4"/>
      <c r="I9" s="2"/>
      <c r="J9" s="13" t="s">
        <v>53</v>
      </c>
      <c r="K9" s="8">
        <f>B9+Handicap!B9</f>
        <v>198</v>
      </c>
      <c r="L9" s="9">
        <f>C9+Handicap!C9</f>
        <v>206</v>
      </c>
      <c r="M9" s="10">
        <f>D9+Handicap!D9</f>
        <v>234</v>
      </c>
      <c r="N9" s="21">
        <f>E9+Handicap!E9</f>
        <v>168</v>
      </c>
      <c r="O9" s="22">
        <f>F9+Handicap!F9</f>
        <v>181</v>
      </c>
      <c r="P9" s="177"/>
      <c r="Q9" s="2"/>
    </row>
    <row r="10" spans="1:17" x14ac:dyDescent="0.35">
      <c r="A10" s="13" t="s">
        <v>54</v>
      </c>
      <c r="B10" s="8">
        <v>203</v>
      </c>
      <c r="C10" s="9">
        <v>204</v>
      </c>
      <c r="D10" s="10">
        <v>237</v>
      </c>
      <c r="E10" s="21">
        <v>189</v>
      </c>
      <c r="F10" s="22">
        <v>174</v>
      </c>
      <c r="G10" s="177"/>
      <c r="H10" s="4"/>
      <c r="I10" s="2"/>
      <c r="J10" s="13" t="s">
        <v>54</v>
      </c>
      <c r="K10" s="8">
        <f>B10+Handicap!B10</f>
        <v>219</v>
      </c>
      <c r="L10" s="9">
        <f>C10+Handicap!C10</f>
        <v>204</v>
      </c>
      <c r="M10" s="10">
        <f>D10+Handicap!D10</f>
        <v>237</v>
      </c>
      <c r="N10" s="21">
        <f>E10+Handicap!E10</f>
        <v>193</v>
      </c>
      <c r="O10" s="22">
        <f>F10+Handicap!F10</f>
        <v>174</v>
      </c>
      <c r="P10" s="177"/>
      <c r="Q10" s="2"/>
    </row>
    <row r="11" spans="1:17" x14ac:dyDescent="0.35">
      <c r="A11" s="13" t="s">
        <v>55</v>
      </c>
      <c r="B11" s="177"/>
      <c r="C11" s="9">
        <v>183</v>
      </c>
      <c r="D11" s="10">
        <v>203</v>
      </c>
      <c r="E11" s="21">
        <v>212</v>
      </c>
      <c r="F11" s="177"/>
      <c r="G11" s="6">
        <v>184</v>
      </c>
      <c r="H11" s="4"/>
      <c r="I11" s="2"/>
      <c r="J11" s="13" t="s">
        <v>55</v>
      </c>
      <c r="K11" s="177"/>
      <c r="L11" s="9">
        <f>C11+Handicap!C11</f>
        <v>203</v>
      </c>
      <c r="M11" s="10">
        <f>D11+Handicap!D11</f>
        <v>203</v>
      </c>
      <c r="N11" s="21">
        <f>E11+Handicap!E11</f>
        <v>212</v>
      </c>
      <c r="O11" s="177"/>
      <c r="P11" s="6">
        <f>G11+Handicap!G11</f>
        <v>184</v>
      </c>
      <c r="Q11" s="2"/>
    </row>
    <row r="12" spans="1:17" x14ac:dyDescent="0.35">
      <c r="A12" s="13" t="s">
        <v>56</v>
      </c>
      <c r="B12" s="177"/>
      <c r="C12" s="9">
        <v>183</v>
      </c>
      <c r="D12" s="10">
        <v>205</v>
      </c>
      <c r="E12" s="21">
        <v>147</v>
      </c>
      <c r="F12" s="177"/>
      <c r="G12" s="6">
        <v>209</v>
      </c>
      <c r="H12" s="4"/>
      <c r="I12" s="2"/>
      <c r="J12" s="13" t="s">
        <v>56</v>
      </c>
      <c r="K12" s="177"/>
      <c r="L12" s="9">
        <f>C12+Handicap!C12</f>
        <v>203</v>
      </c>
      <c r="M12" s="10">
        <f>D12+Handicap!D12</f>
        <v>205</v>
      </c>
      <c r="N12" s="21">
        <f>E12+Handicap!E12</f>
        <v>147</v>
      </c>
      <c r="O12" s="177"/>
      <c r="P12" s="6">
        <f>G12+Handicap!G12</f>
        <v>209</v>
      </c>
      <c r="Q12" s="2"/>
    </row>
    <row r="13" spans="1:17" x14ac:dyDescent="0.35">
      <c r="A13" s="13" t="s">
        <v>57</v>
      </c>
      <c r="B13" s="177"/>
      <c r="C13" s="9">
        <v>202</v>
      </c>
      <c r="D13" s="10">
        <v>230</v>
      </c>
      <c r="E13" s="21">
        <v>199</v>
      </c>
      <c r="F13" s="177"/>
      <c r="G13" s="6">
        <v>184</v>
      </c>
      <c r="H13" s="4"/>
      <c r="I13" s="2"/>
      <c r="J13" s="13" t="s">
        <v>57</v>
      </c>
      <c r="K13" s="177"/>
      <c r="L13" s="9">
        <f>C13+Handicap!C13</f>
        <v>222</v>
      </c>
      <c r="M13" s="10">
        <f>D13+Handicap!D13</f>
        <v>230</v>
      </c>
      <c r="N13" s="21">
        <f>E13+Handicap!E13</f>
        <v>199</v>
      </c>
      <c r="O13" s="177"/>
      <c r="P13" s="6">
        <f>G13+Handicap!G13</f>
        <v>184</v>
      </c>
      <c r="Q13" s="2"/>
    </row>
    <row r="14" spans="1:17" x14ac:dyDescent="0.35">
      <c r="A14" s="13" t="s">
        <v>58</v>
      </c>
      <c r="B14" s="8"/>
      <c r="C14" s="9"/>
      <c r="D14" s="10"/>
      <c r="E14" s="21"/>
      <c r="F14" s="22"/>
      <c r="G14" s="6"/>
      <c r="H14" s="4"/>
      <c r="I14" s="2"/>
      <c r="J14" s="13" t="s">
        <v>58</v>
      </c>
      <c r="K14" s="8">
        <f>B14+Handicap!B14</f>
        <v>0</v>
      </c>
      <c r="L14" s="9">
        <f>C14+Handicap!C14</f>
        <v>0</v>
      </c>
      <c r="M14" s="10">
        <f>D14+Handicap!D14</f>
        <v>0</v>
      </c>
      <c r="N14" s="21">
        <f>E14+Handicap!E14</f>
        <v>0</v>
      </c>
      <c r="O14" s="22">
        <f>F14+Handicap!F14</f>
        <v>0</v>
      </c>
      <c r="P14" s="6">
        <f>G14+Handicap!G14</f>
        <v>0</v>
      </c>
      <c r="Q14" s="2"/>
    </row>
    <row r="15" spans="1:17" x14ac:dyDescent="0.35">
      <c r="A15" s="13" t="s">
        <v>59</v>
      </c>
      <c r="B15" s="8"/>
      <c r="C15" s="9"/>
      <c r="D15" s="10"/>
      <c r="E15" s="21"/>
      <c r="F15" s="22"/>
      <c r="G15" s="6"/>
      <c r="H15" s="4"/>
      <c r="I15" s="2"/>
      <c r="J15" s="13" t="s">
        <v>59</v>
      </c>
      <c r="K15" s="8">
        <f>B15+Handicap!B15</f>
        <v>0</v>
      </c>
      <c r="L15" s="9">
        <f>C15+Handicap!C15</f>
        <v>0</v>
      </c>
      <c r="M15" s="10">
        <f>D15+Handicap!D15</f>
        <v>0</v>
      </c>
      <c r="N15" s="21">
        <f>E15+Handicap!E15</f>
        <v>0</v>
      </c>
      <c r="O15" s="22">
        <f>F15+Handicap!F15</f>
        <v>0</v>
      </c>
      <c r="P15" s="6">
        <f>G15+Handicap!G15</f>
        <v>0</v>
      </c>
      <c r="Q15" s="2"/>
    </row>
    <row r="16" spans="1:17" x14ac:dyDescent="0.35">
      <c r="A16" s="13" t="s">
        <v>60</v>
      </c>
      <c r="B16" s="8"/>
      <c r="C16" s="9"/>
      <c r="D16" s="10"/>
      <c r="E16" s="21"/>
      <c r="F16" s="22"/>
      <c r="G16" s="6"/>
      <c r="H16" s="4"/>
      <c r="I16" s="2"/>
      <c r="J16" s="13" t="s">
        <v>60</v>
      </c>
      <c r="K16" s="8">
        <f>B16+Handicap!B16</f>
        <v>0</v>
      </c>
      <c r="L16" s="9">
        <f>C16+Handicap!C16</f>
        <v>0</v>
      </c>
      <c r="M16" s="10">
        <f>D16+Handicap!D16</f>
        <v>0</v>
      </c>
      <c r="N16" s="21">
        <f>E16+Handicap!E16</f>
        <v>0</v>
      </c>
      <c r="O16" s="22">
        <f>F16+Handicap!F16</f>
        <v>0</v>
      </c>
      <c r="P16" s="6">
        <f>G16+Handicap!G16</f>
        <v>0</v>
      </c>
      <c r="Q16" s="2"/>
    </row>
    <row r="17" spans="1:17" x14ac:dyDescent="0.35">
      <c r="A17" s="13" t="s">
        <v>61</v>
      </c>
      <c r="B17" s="8"/>
      <c r="C17" s="9"/>
      <c r="D17" s="10"/>
      <c r="E17" s="21"/>
      <c r="F17" s="22"/>
      <c r="G17" s="6"/>
      <c r="H17" s="4"/>
      <c r="I17" s="2"/>
      <c r="J17" s="13" t="s">
        <v>61</v>
      </c>
      <c r="K17" s="8">
        <f>B17+Handicap!B17</f>
        <v>0</v>
      </c>
      <c r="L17" s="9">
        <f>C17+Handicap!C17</f>
        <v>0</v>
      </c>
      <c r="M17" s="10">
        <f>D17+Handicap!D17</f>
        <v>0</v>
      </c>
      <c r="N17" s="21">
        <f>E17+Handicap!E17</f>
        <v>0</v>
      </c>
      <c r="O17" s="22">
        <f>F17+Handicap!F17</f>
        <v>0</v>
      </c>
      <c r="P17" s="6">
        <f>G17+Handicap!G17</f>
        <v>0</v>
      </c>
      <c r="Q17" s="2"/>
    </row>
    <row r="18" spans="1:17" x14ac:dyDescent="0.35">
      <c r="A18" s="13" t="s">
        <v>62</v>
      </c>
      <c r="B18" s="8"/>
      <c r="C18" s="9"/>
      <c r="D18" s="10"/>
      <c r="E18" s="21"/>
      <c r="F18" s="22"/>
      <c r="G18" s="6"/>
      <c r="H18" s="4"/>
      <c r="I18" s="2"/>
      <c r="J18" s="13" t="s">
        <v>62</v>
      </c>
      <c r="K18" s="8">
        <f>B18+Handicap!B18</f>
        <v>0</v>
      </c>
      <c r="L18" s="9">
        <f>C18+Handicap!C18</f>
        <v>0</v>
      </c>
      <c r="M18" s="10">
        <f>D18+Handicap!D18</f>
        <v>0</v>
      </c>
      <c r="N18" s="21">
        <f>E18+Handicap!E18</f>
        <v>0</v>
      </c>
      <c r="O18" s="22">
        <f>F18+Handicap!F18</f>
        <v>0</v>
      </c>
      <c r="P18" s="6">
        <f>G18+Handicap!G18</f>
        <v>0</v>
      </c>
      <c r="Q18" s="2"/>
    </row>
    <row r="19" spans="1:17" x14ac:dyDescent="0.35">
      <c r="A19" s="13" t="s">
        <v>63</v>
      </c>
      <c r="B19" s="8"/>
      <c r="C19" s="9"/>
      <c r="D19" s="10"/>
      <c r="E19" s="21"/>
      <c r="F19" s="22"/>
      <c r="G19" s="6"/>
      <c r="H19" s="4"/>
      <c r="I19" s="2"/>
      <c r="J19" s="13" t="s">
        <v>63</v>
      </c>
      <c r="K19" s="8">
        <f>B19+Handicap!B19</f>
        <v>0</v>
      </c>
      <c r="L19" s="9">
        <f>C19+Handicap!C19</f>
        <v>0</v>
      </c>
      <c r="M19" s="10">
        <f>D19+Handicap!D19</f>
        <v>0</v>
      </c>
      <c r="N19" s="21">
        <f>E19+Handicap!E19</f>
        <v>0</v>
      </c>
      <c r="O19" s="22">
        <f>F19+Handicap!F19</f>
        <v>0</v>
      </c>
      <c r="P19" s="6">
        <f>G19+Handicap!G19</f>
        <v>0</v>
      </c>
      <c r="Q19" s="2"/>
    </row>
    <row r="20" spans="1:17" x14ac:dyDescent="0.35">
      <c r="A20" s="13" t="s">
        <v>64</v>
      </c>
      <c r="B20" s="8"/>
      <c r="C20" s="9"/>
      <c r="D20" s="10"/>
      <c r="E20" s="21"/>
      <c r="F20" s="22"/>
      <c r="G20" s="6"/>
      <c r="H20" s="4"/>
      <c r="I20" s="2"/>
      <c r="J20" s="13" t="s">
        <v>64</v>
      </c>
      <c r="K20" s="8">
        <f>B20+Handicap!B20</f>
        <v>0</v>
      </c>
      <c r="L20" s="9">
        <f>C20+Handicap!C20</f>
        <v>0</v>
      </c>
      <c r="M20" s="10">
        <f>D20+Handicap!D20</f>
        <v>0</v>
      </c>
      <c r="N20" s="21">
        <f>E20+Handicap!E20</f>
        <v>0</v>
      </c>
      <c r="O20" s="22">
        <f>F20+Handicap!F20</f>
        <v>0</v>
      </c>
      <c r="P20" s="6">
        <f>G20+Handicap!G20</f>
        <v>0</v>
      </c>
      <c r="Q20" s="2"/>
    </row>
    <row r="21" spans="1:17" x14ac:dyDescent="0.35">
      <c r="A21" s="13" t="s">
        <v>67</v>
      </c>
      <c r="B21" s="8"/>
      <c r="C21" s="9"/>
      <c r="D21" s="10"/>
      <c r="E21" s="21"/>
      <c r="F21" s="22"/>
      <c r="G21" s="6"/>
      <c r="H21" s="4"/>
      <c r="I21" s="2"/>
      <c r="J21" s="13" t="s">
        <v>67</v>
      </c>
      <c r="K21" s="8">
        <f>B21+Handicap!B21</f>
        <v>0</v>
      </c>
      <c r="L21" s="9">
        <f>C21+Handicap!C21</f>
        <v>0</v>
      </c>
      <c r="M21" s="10">
        <f>D21+Handicap!D21</f>
        <v>0</v>
      </c>
      <c r="N21" s="21">
        <f>E21+Handicap!E21</f>
        <v>0</v>
      </c>
      <c r="O21" s="22">
        <f>F21+Handicap!F21</f>
        <v>0</v>
      </c>
      <c r="P21" s="6">
        <f>G21+Handicap!G21</f>
        <v>0</v>
      </c>
      <c r="Q21" s="2"/>
    </row>
    <row r="22" spans="1:17" x14ac:dyDescent="0.35">
      <c r="A22" s="13" t="s">
        <v>66</v>
      </c>
      <c r="B22" s="8"/>
      <c r="C22" s="9"/>
      <c r="D22" s="10"/>
      <c r="E22" s="21"/>
      <c r="F22" s="22"/>
      <c r="G22" s="6"/>
      <c r="H22" s="4"/>
      <c r="I22" s="2"/>
      <c r="J22" s="13" t="s">
        <v>66</v>
      </c>
      <c r="K22" s="8">
        <f>B22+Handicap!B22</f>
        <v>0</v>
      </c>
      <c r="L22" s="9">
        <f>C22+Handicap!C22</f>
        <v>0</v>
      </c>
      <c r="M22" s="10">
        <f>D22+Handicap!D22</f>
        <v>0</v>
      </c>
      <c r="N22" s="21">
        <f>E22+Handicap!E22</f>
        <v>0</v>
      </c>
      <c r="O22" s="22">
        <f>F22+Handicap!F22</f>
        <v>0</v>
      </c>
      <c r="P22" s="6">
        <f>G22+Handicap!G22</f>
        <v>0</v>
      </c>
      <c r="Q22" s="2"/>
    </row>
    <row r="23" spans="1:17" x14ac:dyDescent="0.35">
      <c r="A23" s="13" t="s">
        <v>68</v>
      </c>
      <c r="B23" s="8"/>
      <c r="C23" s="9"/>
      <c r="D23" s="10"/>
      <c r="E23" s="21"/>
      <c r="F23" s="22"/>
      <c r="G23" s="6"/>
      <c r="H23" s="4"/>
      <c r="I23" s="2"/>
      <c r="J23" s="13" t="s">
        <v>68</v>
      </c>
      <c r="K23" s="8">
        <f>B23+Handicap!B23</f>
        <v>0</v>
      </c>
      <c r="L23" s="9">
        <f>C23+Handicap!C23</f>
        <v>0</v>
      </c>
      <c r="M23" s="10">
        <f>D23+Handicap!D23</f>
        <v>0</v>
      </c>
      <c r="N23" s="21">
        <f>E23+Handicap!E23</f>
        <v>0</v>
      </c>
      <c r="O23" s="22">
        <f>F23+Handicap!F23</f>
        <v>0</v>
      </c>
      <c r="P23" s="6">
        <f>G23+Handicap!G23</f>
        <v>0</v>
      </c>
      <c r="Q23" s="2"/>
    </row>
    <row r="24" spans="1:17" x14ac:dyDescent="0.35">
      <c r="A24" s="13" t="s">
        <v>65</v>
      </c>
      <c r="B24" s="8"/>
      <c r="C24" s="9"/>
      <c r="D24" s="10"/>
      <c r="E24" s="21"/>
      <c r="F24" s="22"/>
      <c r="G24" s="6"/>
      <c r="H24" s="4"/>
      <c r="I24" s="2"/>
      <c r="J24" s="13" t="s">
        <v>65</v>
      </c>
      <c r="K24" s="8">
        <f>B24+Handicap!B24</f>
        <v>0</v>
      </c>
      <c r="L24" s="9">
        <f>C24+Handicap!C24</f>
        <v>0</v>
      </c>
      <c r="M24" s="10">
        <f>D24+Handicap!D24</f>
        <v>0</v>
      </c>
      <c r="N24" s="21">
        <f>E24+Handicap!E24</f>
        <v>0</v>
      </c>
      <c r="O24" s="22">
        <f>F24+Handicap!F24</f>
        <v>0</v>
      </c>
      <c r="P24" s="6">
        <f>G24+Handicap!G24</f>
        <v>0</v>
      </c>
      <c r="Q24" s="2"/>
    </row>
    <row r="25" spans="1:17" x14ac:dyDescent="0.35">
      <c r="A25" s="13" t="s">
        <v>69</v>
      </c>
      <c r="B25" s="8"/>
      <c r="C25" s="9"/>
      <c r="D25" s="10"/>
      <c r="E25" s="21"/>
      <c r="F25" s="22"/>
      <c r="G25" s="6"/>
      <c r="H25" s="4"/>
      <c r="I25" s="2"/>
      <c r="J25" s="13" t="s">
        <v>69</v>
      </c>
      <c r="K25" s="8">
        <f>B25+Handicap!B25</f>
        <v>0</v>
      </c>
      <c r="L25" s="9">
        <f>C25+Handicap!C25</f>
        <v>0</v>
      </c>
      <c r="M25" s="10">
        <f>D25+Handicap!D25</f>
        <v>0</v>
      </c>
      <c r="N25" s="21">
        <f>E25+Handicap!E25</f>
        <v>0</v>
      </c>
      <c r="O25" s="22">
        <f>F25+Handicap!F25</f>
        <v>0</v>
      </c>
      <c r="P25" s="6">
        <f>G25+Handicap!G25</f>
        <v>0</v>
      </c>
      <c r="Q25" s="2"/>
    </row>
    <row r="26" spans="1:17" x14ac:dyDescent="0.35">
      <c r="A26" s="13" t="s">
        <v>70</v>
      </c>
      <c r="B26" s="8"/>
      <c r="C26" s="9"/>
      <c r="D26" s="10"/>
      <c r="E26" s="21"/>
      <c r="F26" s="22"/>
      <c r="G26" s="6"/>
      <c r="H26" s="4"/>
      <c r="I26" s="2"/>
      <c r="J26" s="13" t="s">
        <v>70</v>
      </c>
      <c r="K26" s="8">
        <f>B26+Handicap!B26</f>
        <v>0</v>
      </c>
      <c r="L26" s="9">
        <f>C26+Handicap!C26</f>
        <v>0</v>
      </c>
      <c r="M26" s="10">
        <f>D26+Handicap!D26</f>
        <v>0</v>
      </c>
      <c r="N26" s="21">
        <f>E26+Handicap!E26</f>
        <v>0</v>
      </c>
      <c r="O26" s="22">
        <f>F26+Handicap!F26</f>
        <v>0</v>
      </c>
      <c r="P26" s="6">
        <f>G26+Handicap!G26</f>
        <v>0</v>
      </c>
      <c r="Q26" s="2"/>
    </row>
    <row r="27" spans="1:17" x14ac:dyDescent="0.35">
      <c r="A27" s="13" t="s">
        <v>71</v>
      </c>
      <c r="B27" s="8"/>
      <c r="C27" s="9"/>
      <c r="D27" s="10"/>
      <c r="E27" s="21"/>
      <c r="F27" s="22"/>
      <c r="G27" s="6"/>
      <c r="H27" s="4"/>
      <c r="I27" s="2"/>
      <c r="J27" s="13" t="s">
        <v>71</v>
      </c>
      <c r="K27" s="8">
        <f>B27+Handicap!B27</f>
        <v>0</v>
      </c>
      <c r="L27" s="9">
        <f>C27+Handicap!C27</f>
        <v>0</v>
      </c>
      <c r="M27" s="10">
        <f>D27+Handicap!D27</f>
        <v>0</v>
      </c>
      <c r="N27" s="21">
        <f>E27+Handicap!E27</f>
        <v>0</v>
      </c>
      <c r="O27" s="22">
        <f>F27+Handicap!F27</f>
        <v>0</v>
      </c>
      <c r="P27" s="6">
        <f>G27+Handicap!G27</f>
        <v>0</v>
      </c>
      <c r="Q27" s="2"/>
    </row>
    <row r="28" spans="1:17" x14ac:dyDescent="0.35">
      <c r="A28" s="13" t="s">
        <v>72</v>
      </c>
      <c r="B28" s="8"/>
      <c r="C28" s="9"/>
      <c r="D28" s="10"/>
      <c r="E28" s="21"/>
      <c r="F28" s="22"/>
      <c r="G28" s="6"/>
      <c r="H28" s="4"/>
      <c r="I28" s="2"/>
      <c r="J28" s="13" t="s">
        <v>72</v>
      </c>
      <c r="K28" s="8">
        <f>B28+Handicap!B28</f>
        <v>0</v>
      </c>
      <c r="L28" s="9">
        <f>C28+Handicap!C28</f>
        <v>0</v>
      </c>
      <c r="M28" s="10">
        <f>D28+Handicap!D28</f>
        <v>0</v>
      </c>
      <c r="N28" s="21">
        <f>E28+Handicap!E28</f>
        <v>0</v>
      </c>
      <c r="O28" s="22">
        <f>F28+Handicap!F28</f>
        <v>0</v>
      </c>
      <c r="P28" s="6">
        <f>G28+Handicap!G28</f>
        <v>0</v>
      </c>
      <c r="Q28" s="2"/>
    </row>
    <row r="29" spans="1:17" x14ac:dyDescent="0.35">
      <c r="A29" s="13" t="s">
        <v>73</v>
      </c>
      <c r="B29" s="8"/>
      <c r="C29" s="9"/>
      <c r="D29" s="10"/>
      <c r="E29" s="21"/>
      <c r="F29" s="22"/>
      <c r="G29" s="6"/>
      <c r="H29" s="4"/>
      <c r="I29" s="2"/>
      <c r="J29" s="13" t="s">
        <v>73</v>
      </c>
      <c r="K29" s="8">
        <f>B29+Handicap!B29</f>
        <v>0</v>
      </c>
      <c r="L29" s="9">
        <f>C29+Handicap!C29</f>
        <v>0</v>
      </c>
      <c r="M29" s="10">
        <f>D29+Handicap!D29</f>
        <v>0</v>
      </c>
      <c r="N29" s="21">
        <f>E29+Handicap!E29</f>
        <v>0</v>
      </c>
      <c r="O29" s="22">
        <f>F29+Handicap!F29</f>
        <v>0</v>
      </c>
      <c r="P29" s="6">
        <f>G29+Handicap!G29</f>
        <v>0</v>
      </c>
      <c r="Q29" s="2"/>
    </row>
    <row r="30" spans="1:17" x14ac:dyDescent="0.35">
      <c r="A30" s="13" t="s">
        <v>74</v>
      </c>
      <c r="B30" s="8"/>
      <c r="C30" s="9"/>
      <c r="D30" s="10"/>
      <c r="E30" s="21"/>
      <c r="F30" s="22"/>
      <c r="G30" s="6"/>
      <c r="H30" s="4"/>
      <c r="I30" s="2"/>
      <c r="J30" s="13" t="s">
        <v>74</v>
      </c>
      <c r="K30" s="8">
        <f>B30+Handicap!B30</f>
        <v>0</v>
      </c>
      <c r="L30" s="9">
        <f>C30+Handicap!C30</f>
        <v>0</v>
      </c>
      <c r="M30" s="10">
        <f>D30+Handicap!D30</f>
        <v>0</v>
      </c>
      <c r="N30" s="21">
        <f>E30+Handicap!E30</f>
        <v>0</v>
      </c>
      <c r="O30" s="22">
        <f>F30+Handicap!F30</f>
        <v>0</v>
      </c>
      <c r="P30" s="6">
        <f>G30+Handicap!G30</f>
        <v>0</v>
      </c>
      <c r="Q30" s="2"/>
    </row>
    <row r="31" spans="1:17" x14ac:dyDescent="0.35">
      <c r="A31" s="13" t="s">
        <v>75</v>
      </c>
      <c r="B31" s="8"/>
      <c r="C31" s="9"/>
      <c r="D31" s="10"/>
      <c r="E31" s="21"/>
      <c r="F31" s="22"/>
      <c r="G31" s="6"/>
      <c r="H31" s="4"/>
      <c r="I31" s="2"/>
      <c r="J31" s="13" t="s">
        <v>75</v>
      </c>
      <c r="K31" s="8">
        <f>B31+Handicap!B31</f>
        <v>0</v>
      </c>
      <c r="L31" s="9">
        <f>C31+Handicap!C31</f>
        <v>0</v>
      </c>
      <c r="M31" s="10">
        <f>D31+Handicap!D31</f>
        <v>0</v>
      </c>
      <c r="N31" s="21">
        <f>E31+Handicap!E31</f>
        <v>0</v>
      </c>
      <c r="O31" s="22">
        <f>F31+Handicap!F31</f>
        <v>0</v>
      </c>
      <c r="P31" s="6">
        <f>G31+Handicap!G31</f>
        <v>0</v>
      </c>
      <c r="Q31" s="2"/>
    </row>
    <row r="32" spans="1:17" x14ac:dyDescent="0.35">
      <c r="A32" s="13" t="s">
        <v>76</v>
      </c>
      <c r="B32" s="8"/>
      <c r="C32" s="9"/>
      <c r="D32" s="10"/>
      <c r="E32" s="21"/>
      <c r="F32" s="22"/>
      <c r="G32" s="6"/>
      <c r="H32" s="4"/>
      <c r="I32" s="2"/>
      <c r="J32" s="13" t="s">
        <v>76</v>
      </c>
      <c r="K32" s="8">
        <f>B32+Handicap!B32</f>
        <v>0</v>
      </c>
      <c r="L32" s="9">
        <f>C32+Handicap!C32</f>
        <v>0</v>
      </c>
      <c r="M32" s="10">
        <f>D32+Handicap!D32</f>
        <v>0</v>
      </c>
      <c r="N32" s="21">
        <f>E32+Handicap!E32</f>
        <v>0</v>
      </c>
      <c r="O32" s="22">
        <f>F32+Handicap!F32</f>
        <v>0</v>
      </c>
      <c r="P32" s="6">
        <f>G32+Handicap!G32</f>
        <v>0</v>
      </c>
      <c r="Q32" s="2"/>
    </row>
    <row r="33" spans="1:17" x14ac:dyDescent="0.35">
      <c r="A33" s="13" t="s">
        <v>77</v>
      </c>
      <c r="B33" s="8"/>
      <c r="C33" s="9"/>
      <c r="D33" s="10"/>
      <c r="E33" s="21"/>
      <c r="F33" s="22"/>
      <c r="G33" s="6"/>
      <c r="H33" s="4"/>
      <c r="I33" s="2"/>
      <c r="J33" s="13" t="s">
        <v>77</v>
      </c>
      <c r="K33" s="8">
        <f>B33+Handicap!B33</f>
        <v>0</v>
      </c>
      <c r="L33" s="9">
        <f>C33+Handicap!C33</f>
        <v>0</v>
      </c>
      <c r="M33" s="10">
        <f>D33+Handicap!D33</f>
        <v>0</v>
      </c>
      <c r="N33" s="21">
        <f>E33+Handicap!E33</f>
        <v>0</v>
      </c>
      <c r="O33" s="22">
        <f>F33+Handicap!F33</f>
        <v>0</v>
      </c>
      <c r="P33" s="6">
        <f>G33+Handicap!G33</f>
        <v>0</v>
      </c>
      <c r="Q33" s="2"/>
    </row>
    <row r="34" spans="1:17" x14ac:dyDescent="0.35">
      <c r="A34" s="13" t="s">
        <v>78</v>
      </c>
      <c r="B34" s="8"/>
      <c r="C34" s="9"/>
      <c r="D34" s="10"/>
      <c r="E34" s="21"/>
      <c r="F34" s="22"/>
      <c r="G34" s="6"/>
      <c r="H34" s="4"/>
      <c r="I34" s="2"/>
      <c r="J34" s="13" t="s">
        <v>78</v>
      </c>
      <c r="K34" s="8">
        <f>B34+Handicap!B34</f>
        <v>0</v>
      </c>
      <c r="L34" s="9">
        <f>C34+Handicap!C34</f>
        <v>0</v>
      </c>
      <c r="M34" s="10">
        <f>D34+Handicap!D34</f>
        <v>0</v>
      </c>
      <c r="N34" s="21">
        <f>E34+Handicap!E34</f>
        <v>0</v>
      </c>
      <c r="O34" s="22">
        <f>F34+Handicap!F34</f>
        <v>0</v>
      </c>
      <c r="P34" s="6">
        <f>G34+Handicap!G34</f>
        <v>0</v>
      </c>
      <c r="Q34" s="2"/>
    </row>
    <row r="35" spans="1:17" x14ac:dyDescent="0.35">
      <c r="A35" s="13" t="s">
        <v>79</v>
      </c>
      <c r="B35" s="8"/>
      <c r="C35" s="9"/>
      <c r="D35" s="10"/>
      <c r="E35" s="21"/>
      <c r="F35" s="22"/>
      <c r="G35" s="6"/>
      <c r="H35" s="4"/>
      <c r="I35" s="2"/>
      <c r="J35" s="13" t="s">
        <v>79</v>
      </c>
      <c r="K35" s="8">
        <f>B35+Handicap!B35</f>
        <v>0</v>
      </c>
      <c r="L35" s="9">
        <f>C35+Handicap!C35</f>
        <v>0</v>
      </c>
      <c r="M35" s="10">
        <f>D35+Handicap!D35</f>
        <v>0</v>
      </c>
      <c r="N35" s="21">
        <f>E35+Handicap!E35</f>
        <v>0</v>
      </c>
      <c r="O35" s="22">
        <f>F35+Handicap!F35</f>
        <v>0</v>
      </c>
      <c r="P35" s="6">
        <f>G35+Handicap!G35</f>
        <v>0</v>
      </c>
      <c r="Q35" s="2"/>
    </row>
    <row r="36" spans="1:17" x14ac:dyDescent="0.35">
      <c r="A36" s="13" t="s">
        <v>80</v>
      </c>
      <c r="B36" s="8"/>
      <c r="C36" s="9"/>
      <c r="D36" s="10"/>
      <c r="E36" s="21"/>
      <c r="F36" s="22"/>
      <c r="G36" s="6"/>
      <c r="H36" s="4"/>
      <c r="I36" s="2"/>
      <c r="J36" s="13" t="s">
        <v>80</v>
      </c>
      <c r="K36" s="8">
        <f>B36+Handicap!B36</f>
        <v>0</v>
      </c>
      <c r="L36" s="9">
        <f>C36+Handicap!C36</f>
        <v>0</v>
      </c>
      <c r="M36" s="10">
        <f>D36+Handicap!D36</f>
        <v>0</v>
      </c>
      <c r="N36" s="21">
        <f>E36+Handicap!E36</f>
        <v>0</v>
      </c>
      <c r="O36" s="22">
        <f>F36+Handicap!F36</f>
        <v>0</v>
      </c>
      <c r="P36" s="6">
        <f>G36+Handicap!G36</f>
        <v>0</v>
      </c>
      <c r="Q36" s="2"/>
    </row>
    <row r="37" spans="1:17" x14ac:dyDescent="0.35">
      <c r="A37" s="13" t="s">
        <v>81</v>
      </c>
      <c r="B37" s="8"/>
      <c r="C37" s="9"/>
      <c r="D37" s="10"/>
      <c r="E37" s="21"/>
      <c r="F37" s="22"/>
      <c r="G37" s="6"/>
      <c r="H37" s="4"/>
      <c r="I37" s="2"/>
      <c r="J37" s="13" t="s">
        <v>81</v>
      </c>
      <c r="K37" s="8">
        <f>B37+Handicap!B37</f>
        <v>0</v>
      </c>
      <c r="L37" s="9">
        <f>C37+Handicap!C37</f>
        <v>0</v>
      </c>
      <c r="M37" s="10">
        <f>D37+Handicap!D37</f>
        <v>0</v>
      </c>
      <c r="N37" s="21">
        <f>E37+Handicap!E37</f>
        <v>0</v>
      </c>
      <c r="O37" s="22">
        <f>F37+Handicap!F37</f>
        <v>0</v>
      </c>
      <c r="P37" s="6">
        <f>G37+Handicap!G37</f>
        <v>0</v>
      </c>
      <c r="Q37" s="2"/>
    </row>
    <row r="38" spans="1:17" x14ac:dyDescent="0.35">
      <c r="A38" s="13" t="s">
        <v>82</v>
      </c>
      <c r="B38" s="8"/>
      <c r="C38" s="9"/>
      <c r="D38" s="10"/>
      <c r="E38" s="21"/>
      <c r="F38" s="22"/>
      <c r="G38" s="6"/>
      <c r="H38" s="4"/>
      <c r="I38" s="2"/>
      <c r="J38" s="13" t="s">
        <v>82</v>
      </c>
      <c r="K38" s="8">
        <f>B38+Handicap!B38</f>
        <v>0</v>
      </c>
      <c r="L38" s="9">
        <f>C38+Handicap!C38</f>
        <v>0</v>
      </c>
      <c r="M38" s="10">
        <f>D38+Handicap!D38</f>
        <v>0</v>
      </c>
      <c r="N38" s="21">
        <f>E38+Handicap!E38</f>
        <v>0</v>
      </c>
      <c r="O38" s="22">
        <f>F38+Handicap!F38</f>
        <v>0</v>
      </c>
      <c r="P38" s="6">
        <f>G38+Handicap!G38</f>
        <v>0</v>
      </c>
      <c r="Q38" s="2"/>
    </row>
    <row r="39" spans="1:17" x14ac:dyDescent="0.35">
      <c r="A39" s="13" t="s">
        <v>83</v>
      </c>
      <c r="B39" s="8"/>
      <c r="C39" s="9"/>
      <c r="D39" s="10"/>
      <c r="E39" s="21"/>
      <c r="F39" s="22"/>
      <c r="G39" s="6"/>
      <c r="H39" s="4"/>
      <c r="I39" s="2"/>
      <c r="J39" s="13" t="s">
        <v>83</v>
      </c>
      <c r="K39" s="8">
        <f>B39+Handicap!B39</f>
        <v>0</v>
      </c>
      <c r="L39" s="9">
        <f>C39+Handicap!C39</f>
        <v>0</v>
      </c>
      <c r="M39" s="10">
        <f>D39+Handicap!D39</f>
        <v>0</v>
      </c>
      <c r="N39" s="21">
        <f>E39+Handicap!E39</f>
        <v>0</v>
      </c>
      <c r="O39" s="22">
        <f>F39+Handicap!F39</f>
        <v>0</v>
      </c>
      <c r="P39" s="6">
        <f>G39+Handicap!G39</f>
        <v>0</v>
      </c>
      <c r="Q39" s="2"/>
    </row>
    <row r="40" spans="1:17" x14ac:dyDescent="0.35">
      <c r="A40" s="13" t="s">
        <v>84</v>
      </c>
      <c r="B40" s="8"/>
      <c r="C40" s="9"/>
      <c r="D40" s="10"/>
      <c r="E40" s="21"/>
      <c r="F40" s="22"/>
      <c r="G40" s="6"/>
      <c r="H40" s="4"/>
      <c r="I40" s="2"/>
      <c r="J40" s="13" t="s">
        <v>84</v>
      </c>
      <c r="K40" s="8">
        <f>B40+Handicap!B40</f>
        <v>0</v>
      </c>
      <c r="L40" s="9">
        <f>C40+Handicap!C40</f>
        <v>0</v>
      </c>
      <c r="M40" s="10">
        <f>D40+Handicap!D40</f>
        <v>0</v>
      </c>
      <c r="N40" s="21">
        <f>E40+Handicap!E40</f>
        <v>0</v>
      </c>
      <c r="O40" s="22">
        <f>F40+Handicap!F40</f>
        <v>0</v>
      </c>
      <c r="P40" s="6">
        <f>G40+Handicap!G40</f>
        <v>0</v>
      </c>
      <c r="Q40" s="2"/>
    </row>
    <row r="41" spans="1:17" x14ac:dyDescent="0.35">
      <c r="A41" s="13" t="s">
        <v>85</v>
      </c>
      <c r="B41" s="8"/>
      <c r="C41" s="9"/>
      <c r="D41" s="10"/>
      <c r="E41" s="21"/>
      <c r="F41" s="22"/>
      <c r="G41" s="6"/>
      <c r="H41" s="4"/>
      <c r="I41" s="2"/>
      <c r="J41" s="13" t="s">
        <v>85</v>
      </c>
      <c r="K41" s="8">
        <f>B41+Handicap!B41</f>
        <v>0</v>
      </c>
      <c r="L41" s="9">
        <f>C41+Handicap!C41</f>
        <v>0</v>
      </c>
      <c r="M41" s="10">
        <f>D41+Handicap!D41</f>
        <v>0</v>
      </c>
      <c r="N41" s="21">
        <f>E41+Handicap!E41</f>
        <v>0</v>
      </c>
      <c r="O41" s="22">
        <f>F41+Handicap!F41</f>
        <v>0</v>
      </c>
      <c r="P41" s="6">
        <f>G41+Handicap!G41</f>
        <v>0</v>
      </c>
      <c r="Q41" s="2"/>
    </row>
    <row r="42" spans="1:17" x14ac:dyDescent="0.35">
      <c r="A42" s="13" t="s">
        <v>86</v>
      </c>
      <c r="B42" s="8"/>
      <c r="C42" s="9"/>
      <c r="D42" s="10"/>
      <c r="E42" s="21"/>
      <c r="F42" s="22"/>
      <c r="G42" s="6"/>
      <c r="H42" s="4"/>
      <c r="I42" s="2"/>
      <c r="J42" s="13" t="s">
        <v>86</v>
      </c>
      <c r="K42" s="8">
        <f>B42+Handicap!B42</f>
        <v>0</v>
      </c>
      <c r="L42" s="9">
        <f>C42+Handicap!C42</f>
        <v>0</v>
      </c>
      <c r="M42" s="10">
        <f>D42+Handicap!D42</f>
        <v>0</v>
      </c>
      <c r="N42" s="21">
        <f>E42+Handicap!E42</f>
        <v>0</v>
      </c>
      <c r="O42" s="22">
        <f>F42+Handicap!F42</f>
        <v>0</v>
      </c>
      <c r="P42" s="6">
        <f>G42+Handicap!G42</f>
        <v>0</v>
      </c>
      <c r="Q42" s="2"/>
    </row>
    <row r="43" spans="1:17" x14ac:dyDescent="0.35">
      <c r="A43" s="13" t="s">
        <v>87</v>
      </c>
      <c r="B43" s="8"/>
      <c r="C43" s="9"/>
      <c r="D43" s="10"/>
      <c r="E43" s="21"/>
      <c r="F43" s="22"/>
      <c r="G43" s="6"/>
      <c r="H43" s="4"/>
      <c r="I43" s="2"/>
      <c r="J43" s="13" t="s">
        <v>87</v>
      </c>
      <c r="K43" s="8">
        <f>B43+Handicap!B43</f>
        <v>0</v>
      </c>
      <c r="L43" s="9">
        <f>C43+Handicap!C43</f>
        <v>0</v>
      </c>
      <c r="M43" s="10">
        <f>D43+Handicap!D43</f>
        <v>0</v>
      </c>
      <c r="N43" s="21">
        <f>E43+Handicap!E43</f>
        <v>0</v>
      </c>
      <c r="O43" s="22">
        <f>F43+Handicap!F43</f>
        <v>0</v>
      </c>
      <c r="P43" s="6">
        <f>G43+Handicap!G43</f>
        <v>0</v>
      </c>
      <c r="Q43" s="2"/>
    </row>
    <row r="44" spans="1:17" x14ac:dyDescent="0.35">
      <c r="A44" s="13" t="s">
        <v>88</v>
      </c>
      <c r="B44" s="8"/>
      <c r="C44" s="9"/>
      <c r="D44" s="10"/>
      <c r="E44" s="21"/>
      <c r="F44" s="22"/>
      <c r="G44" s="6"/>
      <c r="H44" s="4"/>
      <c r="I44" s="2"/>
      <c r="J44" s="13" t="s">
        <v>88</v>
      </c>
      <c r="K44" s="8">
        <f>B44+Handicap!B44</f>
        <v>0</v>
      </c>
      <c r="L44" s="9">
        <f>C44+Handicap!C44</f>
        <v>0</v>
      </c>
      <c r="M44" s="10">
        <f>D44+Handicap!D44</f>
        <v>0</v>
      </c>
      <c r="N44" s="21">
        <f>E44+Handicap!E44</f>
        <v>0</v>
      </c>
      <c r="O44" s="22">
        <f>F44+Handicap!F44</f>
        <v>0</v>
      </c>
      <c r="P44" s="6">
        <f>G44+Handicap!G44</f>
        <v>0</v>
      </c>
      <c r="Q44" s="2"/>
    </row>
    <row r="45" spans="1:17" x14ac:dyDescent="0.35">
      <c r="A45" s="13" t="s">
        <v>89</v>
      </c>
      <c r="B45" s="8"/>
      <c r="C45" s="9"/>
      <c r="D45" s="10"/>
      <c r="E45" s="21"/>
      <c r="F45" s="22"/>
      <c r="G45" s="6"/>
      <c r="H45" s="4"/>
      <c r="I45" s="2"/>
      <c r="J45" s="13" t="s">
        <v>89</v>
      </c>
      <c r="K45" s="8">
        <f>B45+Handicap!B45</f>
        <v>0</v>
      </c>
      <c r="L45" s="9">
        <f>C45+Handicap!C45</f>
        <v>0</v>
      </c>
      <c r="M45" s="10">
        <f>D45+Handicap!D45</f>
        <v>0</v>
      </c>
      <c r="N45" s="21">
        <f>E45+Handicap!E45</f>
        <v>0</v>
      </c>
      <c r="O45" s="22">
        <f>F45+Handicap!F45</f>
        <v>0</v>
      </c>
      <c r="P45" s="6">
        <f>G45+Handicap!G45</f>
        <v>0</v>
      </c>
      <c r="Q45" s="2"/>
    </row>
    <row r="46" spans="1:17" x14ac:dyDescent="0.35">
      <c r="A46" s="13" t="s">
        <v>90</v>
      </c>
      <c r="B46" s="8"/>
      <c r="C46" s="9"/>
      <c r="D46" s="10"/>
      <c r="E46" s="21"/>
      <c r="F46" s="22"/>
      <c r="G46" s="6"/>
      <c r="H46" s="4"/>
      <c r="I46" s="2"/>
      <c r="J46" s="13" t="s">
        <v>90</v>
      </c>
      <c r="K46" s="8">
        <f>B46+Handicap!B46</f>
        <v>0</v>
      </c>
      <c r="L46" s="9">
        <f>C46+Handicap!C46</f>
        <v>0</v>
      </c>
      <c r="M46" s="10">
        <f>D46+Handicap!D46</f>
        <v>0</v>
      </c>
      <c r="N46" s="21">
        <f>E46+Handicap!E46</f>
        <v>0</v>
      </c>
      <c r="O46" s="22">
        <f>F46+Handicap!F46</f>
        <v>0</v>
      </c>
      <c r="P46" s="6">
        <f>G46+Handicap!G46</f>
        <v>0</v>
      </c>
      <c r="Q46" s="2"/>
    </row>
    <row r="47" spans="1:17" x14ac:dyDescent="0.35">
      <c r="A47" s="13" t="s">
        <v>91</v>
      </c>
      <c r="B47" s="8"/>
      <c r="C47" s="9"/>
      <c r="D47" s="10"/>
      <c r="E47" s="21"/>
      <c r="F47" s="22"/>
      <c r="G47" s="6"/>
      <c r="H47" s="4"/>
      <c r="I47" s="2"/>
      <c r="J47" s="13" t="s">
        <v>91</v>
      </c>
      <c r="K47" s="8">
        <f>B47+Handicap!B47</f>
        <v>0</v>
      </c>
      <c r="L47" s="9">
        <f>C47+Handicap!C47</f>
        <v>0</v>
      </c>
      <c r="M47" s="10">
        <f>D47+Handicap!D47</f>
        <v>0</v>
      </c>
      <c r="N47" s="21">
        <f>E47+Handicap!E47</f>
        <v>0</v>
      </c>
      <c r="O47" s="22">
        <f>F47+Handicap!F47</f>
        <v>0</v>
      </c>
      <c r="P47" s="6">
        <f>G47+Handicap!G47</f>
        <v>0</v>
      </c>
      <c r="Q47" s="2"/>
    </row>
    <row r="48" spans="1:17" x14ac:dyDescent="0.35">
      <c r="A48" s="13" t="s">
        <v>92</v>
      </c>
      <c r="B48" s="8"/>
      <c r="C48" s="9"/>
      <c r="D48" s="10"/>
      <c r="E48" s="21"/>
      <c r="F48" s="22"/>
      <c r="G48" s="6"/>
      <c r="H48" s="4"/>
      <c r="I48" s="2"/>
      <c r="J48" s="13" t="s">
        <v>92</v>
      </c>
      <c r="K48" s="8">
        <f>B48+Handicap!B48</f>
        <v>0</v>
      </c>
      <c r="L48" s="9">
        <f>C48+Handicap!C48</f>
        <v>0</v>
      </c>
      <c r="M48" s="10">
        <f>D48+Handicap!D48</f>
        <v>0</v>
      </c>
      <c r="N48" s="21">
        <f>E48+Handicap!E48</f>
        <v>0</v>
      </c>
      <c r="O48" s="22">
        <f>F48+Handicap!F48</f>
        <v>0</v>
      </c>
      <c r="P48" s="6">
        <f>G48+Handicap!G48</f>
        <v>0</v>
      </c>
      <c r="Q48" s="2"/>
    </row>
    <row r="49" spans="1:17" x14ac:dyDescent="0.35">
      <c r="A49" s="13" t="s">
        <v>93</v>
      </c>
      <c r="B49" s="8"/>
      <c r="C49" s="9"/>
      <c r="D49" s="10"/>
      <c r="E49" s="21"/>
      <c r="F49" s="22"/>
      <c r="G49" s="6"/>
      <c r="H49" s="4"/>
      <c r="I49" s="2"/>
      <c r="J49" s="13" t="s">
        <v>93</v>
      </c>
      <c r="K49" s="8">
        <f>B49+Handicap!B49</f>
        <v>0</v>
      </c>
      <c r="L49" s="9">
        <f>C49+Handicap!C49</f>
        <v>0</v>
      </c>
      <c r="M49" s="10">
        <f>D49+Handicap!D49</f>
        <v>0</v>
      </c>
      <c r="N49" s="21">
        <f>E49+Handicap!E49</f>
        <v>0</v>
      </c>
      <c r="O49" s="22">
        <f>F49+Handicap!F49</f>
        <v>0</v>
      </c>
      <c r="P49" s="6">
        <f>G49+Handicap!G49</f>
        <v>0</v>
      </c>
      <c r="Q49" s="2"/>
    </row>
    <row r="50" spans="1:17" x14ac:dyDescent="0.35">
      <c r="A50" s="13" t="s">
        <v>94</v>
      </c>
      <c r="B50" s="8"/>
      <c r="C50" s="9"/>
      <c r="D50" s="10"/>
      <c r="E50" s="21"/>
      <c r="F50" s="22"/>
      <c r="G50" s="6"/>
      <c r="H50" s="4"/>
      <c r="I50" s="2"/>
      <c r="J50" s="13" t="s">
        <v>94</v>
      </c>
      <c r="K50" s="8">
        <f>B50+Handicap!B50</f>
        <v>0</v>
      </c>
      <c r="L50" s="9">
        <f>C50+Handicap!C50</f>
        <v>0</v>
      </c>
      <c r="M50" s="10">
        <f>D50+Handicap!D50</f>
        <v>0</v>
      </c>
      <c r="N50" s="21">
        <f>E50+Handicap!E50</f>
        <v>0</v>
      </c>
      <c r="O50" s="22">
        <f>F50+Handicap!F50</f>
        <v>0</v>
      </c>
      <c r="P50" s="6">
        <f>G50+Handicap!G50</f>
        <v>0</v>
      </c>
      <c r="Q50" s="2"/>
    </row>
    <row r="51" spans="1:17" x14ac:dyDescent="0.35">
      <c r="A51" s="13" t="s">
        <v>95</v>
      </c>
      <c r="B51" s="8"/>
      <c r="C51" s="9"/>
      <c r="D51" s="10"/>
      <c r="E51" s="21"/>
      <c r="F51" s="22"/>
      <c r="G51" s="6"/>
      <c r="H51" s="4"/>
      <c r="I51" s="2"/>
      <c r="J51" s="13" t="s">
        <v>95</v>
      </c>
      <c r="K51" s="8">
        <f>B51+Handicap!B51</f>
        <v>0</v>
      </c>
      <c r="L51" s="9">
        <f>C51+Handicap!C51</f>
        <v>0</v>
      </c>
      <c r="M51" s="10">
        <f>D51+Handicap!D51</f>
        <v>0</v>
      </c>
      <c r="N51" s="21">
        <f>E51+Handicap!E51</f>
        <v>0</v>
      </c>
      <c r="O51" s="22">
        <f>F51+Handicap!F51</f>
        <v>0</v>
      </c>
      <c r="P51" s="6">
        <f>G51+Handicap!G51</f>
        <v>0</v>
      </c>
      <c r="Q51" s="2"/>
    </row>
    <row r="52" spans="1:17" x14ac:dyDescent="0.35">
      <c r="A52" s="13" t="s">
        <v>96</v>
      </c>
      <c r="B52" s="8"/>
      <c r="C52" s="9"/>
      <c r="D52" s="10"/>
      <c r="E52" s="21"/>
      <c r="F52" s="22"/>
      <c r="G52" s="6"/>
      <c r="H52" s="4"/>
      <c r="I52" s="2"/>
      <c r="J52" s="13" t="s">
        <v>96</v>
      </c>
      <c r="K52" s="8">
        <f>B52+Handicap!B52</f>
        <v>0</v>
      </c>
      <c r="L52" s="9">
        <f>C52+Handicap!C52</f>
        <v>0</v>
      </c>
      <c r="M52" s="10">
        <f>D52+Handicap!D52</f>
        <v>0</v>
      </c>
      <c r="N52" s="21">
        <f>E52+Handicap!E52</f>
        <v>0</v>
      </c>
      <c r="O52" s="22">
        <f>F52+Handicap!F52</f>
        <v>0</v>
      </c>
      <c r="P52" s="6">
        <f>G52+Handicap!G52</f>
        <v>0</v>
      </c>
      <c r="Q52" s="2"/>
    </row>
    <row r="53" spans="1:17" x14ac:dyDescent="0.35">
      <c r="A53" s="13" t="s">
        <v>97</v>
      </c>
      <c r="B53" s="8"/>
      <c r="C53" s="9"/>
      <c r="D53" s="10"/>
      <c r="E53" s="21"/>
      <c r="F53" s="22"/>
      <c r="G53" s="6"/>
      <c r="H53" s="4"/>
      <c r="I53" s="2"/>
      <c r="J53" s="13" t="s">
        <v>97</v>
      </c>
      <c r="K53" s="8">
        <f>B53+Handicap!B53</f>
        <v>0</v>
      </c>
      <c r="L53" s="9">
        <f>C53+Handicap!C53</f>
        <v>0</v>
      </c>
      <c r="M53" s="10">
        <f>D53+Handicap!D53</f>
        <v>0</v>
      </c>
      <c r="N53" s="21">
        <f>E53+Handicap!E53</f>
        <v>0</v>
      </c>
      <c r="O53" s="22">
        <f>F53+Handicap!F53</f>
        <v>0</v>
      </c>
      <c r="P53" s="6">
        <f>G53+Handicap!G53</f>
        <v>0</v>
      </c>
      <c r="Q53" s="2"/>
    </row>
    <row r="54" spans="1:17" x14ac:dyDescent="0.35">
      <c r="A54" s="13" t="s">
        <v>98</v>
      </c>
      <c r="B54" s="8"/>
      <c r="C54" s="9"/>
      <c r="D54" s="10"/>
      <c r="E54" s="21"/>
      <c r="F54" s="22"/>
      <c r="G54" s="6"/>
      <c r="H54" s="4"/>
      <c r="I54" s="2"/>
      <c r="J54" s="13" t="s">
        <v>98</v>
      </c>
      <c r="K54" s="8">
        <f>B54+Handicap!B54</f>
        <v>0</v>
      </c>
      <c r="L54" s="9">
        <f>C54+Handicap!C54</f>
        <v>0</v>
      </c>
      <c r="M54" s="10">
        <f>D54+Handicap!D54</f>
        <v>0</v>
      </c>
      <c r="N54" s="21">
        <f>E54+Handicap!E54</f>
        <v>0</v>
      </c>
      <c r="O54" s="22">
        <f>F54+Handicap!F54</f>
        <v>0</v>
      </c>
      <c r="P54" s="6">
        <f>G54+Handicap!G54</f>
        <v>0</v>
      </c>
      <c r="Q54" s="2"/>
    </row>
    <row r="55" spans="1:17" x14ac:dyDescent="0.35">
      <c r="A55" s="13" t="s">
        <v>99</v>
      </c>
      <c r="B55" s="8"/>
      <c r="C55" s="9"/>
      <c r="D55" s="10"/>
      <c r="E55" s="21"/>
      <c r="F55" s="22"/>
      <c r="G55" s="6"/>
      <c r="H55" s="4"/>
      <c r="I55" s="2"/>
      <c r="J55" s="13" t="s">
        <v>99</v>
      </c>
      <c r="K55" s="8">
        <f>B55+Handicap!B55</f>
        <v>0</v>
      </c>
      <c r="L55" s="9">
        <f>C55+Handicap!C55</f>
        <v>0</v>
      </c>
      <c r="M55" s="10">
        <f>D55+Handicap!D55</f>
        <v>0</v>
      </c>
      <c r="N55" s="21">
        <f>E55+Handicap!E55</f>
        <v>0</v>
      </c>
      <c r="O55" s="22">
        <f>F55+Handicap!F55</f>
        <v>0</v>
      </c>
      <c r="P55" s="6">
        <f>G55+Handicap!G55</f>
        <v>0</v>
      </c>
      <c r="Q55" s="2"/>
    </row>
    <row r="56" spans="1:17" x14ac:dyDescent="0.35">
      <c r="A56" s="13" t="s">
        <v>100</v>
      </c>
      <c r="B56" s="8"/>
      <c r="C56" s="9"/>
      <c r="D56" s="10"/>
      <c r="E56" s="21"/>
      <c r="F56" s="22"/>
      <c r="G56" s="6"/>
      <c r="H56" s="4"/>
      <c r="I56" s="2"/>
      <c r="J56" s="13" t="s">
        <v>100</v>
      </c>
      <c r="K56" s="8">
        <f>B56+Handicap!B56</f>
        <v>0</v>
      </c>
      <c r="L56" s="9">
        <f>C56+Handicap!C56</f>
        <v>0</v>
      </c>
      <c r="M56" s="10">
        <f>D56+Handicap!D56</f>
        <v>0</v>
      </c>
      <c r="N56" s="21">
        <f>E56+Handicap!E56</f>
        <v>0</v>
      </c>
      <c r="O56" s="22">
        <f>F56+Handicap!F56</f>
        <v>0</v>
      </c>
      <c r="P56" s="6">
        <f>G56+Handicap!G56</f>
        <v>0</v>
      </c>
      <c r="Q56" s="2"/>
    </row>
    <row r="57" spans="1:17" x14ac:dyDescent="0.35">
      <c r="A57" s="13" t="s">
        <v>101</v>
      </c>
      <c r="B57" s="8"/>
      <c r="C57" s="9"/>
      <c r="D57" s="10"/>
      <c r="E57" s="21"/>
      <c r="F57" s="22"/>
      <c r="G57" s="6"/>
      <c r="H57" s="4"/>
      <c r="I57" s="2"/>
      <c r="J57" s="13" t="s">
        <v>101</v>
      </c>
      <c r="K57" s="8">
        <f>B57+Handicap!B57</f>
        <v>0</v>
      </c>
      <c r="L57" s="9">
        <f>C57+Handicap!C57</f>
        <v>0</v>
      </c>
      <c r="M57" s="10">
        <f>D57+Handicap!D57</f>
        <v>0</v>
      </c>
      <c r="N57" s="21">
        <f>E57+Handicap!E57</f>
        <v>0</v>
      </c>
      <c r="O57" s="22">
        <f>F57+Handicap!F57</f>
        <v>0</v>
      </c>
      <c r="P57" s="6">
        <f>G57+Handicap!G57</f>
        <v>0</v>
      </c>
      <c r="Q57" s="2"/>
    </row>
    <row r="58" spans="1:17" x14ac:dyDescent="0.35">
      <c r="A58" s="13" t="s">
        <v>102</v>
      </c>
      <c r="B58" s="8"/>
      <c r="C58" s="9"/>
      <c r="D58" s="10"/>
      <c r="E58" s="21"/>
      <c r="F58" s="22"/>
      <c r="G58" s="6"/>
      <c r="H58" s="4"/>
      <c r="I58" s="2"/>
      <c r="J58" s="13" t="s">
        <v>102</v>
      </c>
      <c r="K58" s="8">
        <f>B58+Handicap!B58</f>
        <v>0</v>
      </c>
      <c r="L58" s="9">
        <f>C58+Handicap!C58</f>
        <v>0</v>
      </c>
      <c r="M58" s="10">
        <f>D58+Handicap!D58</f>
        <v>0</v>
      </c>
      <c r="N58" s="21">
        <f>E58+Handicap!E58</f>
        <v>0</v>
      </c>
      <c r="O58" s="22">
        <f>F58+Handicap!F58</f>
        <v>0</v>
      </c>
      <c r="P58" s="6">
        <f>G58+Handicap!G58</f>
        <v>0</v>
      </c>
      <c r="Q58" s="2"/>
    </row>
    <row r="59" spans="1:17" x14ac:dyDescent="0.35">
      <c r="A59" s="13" t="s">
        <v>103</v>
      </c>
      <c r="B59" s="8"/>
      <c r="C59" s="9"/>
      <c r="D59" s="10"/>
      <c r="E59" s="21"/>
      <c r="F59" s="22"/>
      <c r="G59" s="6"/>
      <c r="H59" s="4"/>
      <c r="I59" s="2"/>
      <c r="J59" s="13" t="s">
        <v>103</v>
      </c>
      <c r="K59" s="8">
        <f>B59+Handicap!B59</f>
        <v>0</v>
      </c>
      <c r="L59" s="9">
        <f>C59+Handicap!C59</f>
        <v>0</v>
      </c>
      <c r="M59" s="10">
        <f>D59+Handicap!D59</f>
        <v>0</v>
      </c>
      <c r="N59" s="21">
        <f>E59+Handicap!E59</f>
        <v>0</v>
      </c>
      <c r="O59" s="22">
        <f>F59+Handicap!F59</f>
        <v>0</v>
      </c>
      <c r="P59" s="6">
        <f>G59+Handicap!G59</f>
        <v>0</v>
      </c>
      <c r="Q59" s="2"/>
    </row>
    <row r="60" spans="1:17" x14ac:dyDescent="0.35">
      <c r="A60" s="13" t="s">
        <v>104</v>
      </c>
      <c r="B60" s="8"/>
      <c r="C60" s="9"/>
      <c r="D60" s="10"/>
      <c r="E60" s="21"/>
      <c r="F60" s="22"/>
      <c r="G60" s="6"/>
      <c r="H60" s="4"/>
      <c r="I60" s="2"/>
      <c r="J60" s="13" t="s">
        <v>104</v>
      </c>
      <c r="K60" s="8">
        <f>B60+Handicap!B60</f>
        <v>0</v>
      </c>
      <c r="L60" s="9">
        <f>C60+Handicap!C60</f>
        <v>0</v>
      </c>
      <c r="M60" s="10">
        <f>D60+Handicap!D60</f>
        <v>0</v>
      </c>
      <c r="N60" s="21">
        <f>E60+Handicap!E60</f>
        <v>0</v>
      </c>
      <c r="O60" s="22">
        <f>F60+Handicap!F60</f>
        <v>0</v>
      </c>
      <c r="P60" s="6">
        <f>G60+Handicap!G60</f>
        <v>0</v>
      </c>
      <c r="Q60" s="2"/>
    </row>
    <row r="61" spans="1:17" x14ac:dyDescent="0.35">
      <c r="A61" s="13" t="s">
        <v>105</v>
      </c>
      <c r="B61" s="8"/>
      <c r="C61" s="9"/>
      <c r="D61" s="10"/>
      <c r="E61" s="21"/>
      <c r="F61" s="22"/>
      <c r="G61" s="6"/>
      <c r="H61" s="4"/>
      <c r="I61" s="2"/>
      <c r="J61" s="13" t="s">
        <v>105</v>
      </c>
      <c r="K61" s="8">
        <f>B61+Handicap!B61</f>
        <v>0</v>
      </c>
      <c r="L61" s="9">
        <f>C61+Handicap!C61</f>
        <v>0</v>
      </c>
      <c r="M61" s="10">
        <f>D61+Handicap!D61</f>
        <v>0</v>
      </c>
      <c r="N61" s="21">
        <f>E61+Handicap!E61</f>
        <v>0</v>
      </c>
      <c r="O61" s="22">
        <f>F61+Handicap!F61</f>
        <v>0</v>
      </c>
      <c r="P61" s="6">
        <f>G61+Handicap!G61</f>
        <v>0</v>
      </c>
      <c r="Q61" s="2"/>
    </row>
    <row r="62" spans="1:17" x14ac:dyDescent="0.35">
      <c r="A62" s="13" t="s">
        <v>106</v>
      </c>
      <c r="B62" s="8"/>
      <c r="C62" s="9"/>
      <c r="D62" s="10"/>
      <c r="E62" s="21"/>
      <c r="F62" s="22"/>
      <c r="G62" s="6"/>
      <c r="H62" s="4"/>
      <c r="I62" s="2"/>
      <c r="J62" s="13" t="s">
        <v>106</v>
      </c>
      <c r="K62" s="8">
        <f>B62+Handicap!B62</f>
        <v>0</v>
      </c>
      <c r="L62" s="9">
        <f>C62+Handicap!C62</f>
        <v>0</v>
      </c>
      <c r="M62" s="10">
        <f>D62+Handicap!D62</f>
        <v>0</v>
      </c>
      <c r="N62" s="21">
        <f>E62+Handicap!E62</f>
        <v>0</v>
      </c>
      <c r="O62" s="22">
        <f>F62+Handicap!F62</f>
        <v>0</v>
      </c>
      <c r="P62" s="6">
        <f>G62+Handicap!G62</f>
        <v>0</v>
      </c>
      <c r="Q62" s="2"/>
    </row>
    <row r="63" spans="1:17" x14ac:dyDescent="0.35">
      <c r="A63" s="13" t="s">
        <v>107</v>
      </c>
      <c r="B63" s="8"/>
      <c r="C63" s="9"/>
      <c r="D63" s="10"/>
      <c r="E63" s="21"/>
      <c r="F63" s="22"/>
      <c r="G63" s="6"/>
      <c r="H63" s="4"/>
      <c r="I63" s="2"/>
      <c r="J63" s="13" t="s">
        <v>107</v>
      </c>
      <c r="K63" s="8">
        <f>B63+Handicap!B63</f>
        <v>0</v>
      </c>
      <c r="L63" s="9">
        <f>C63+Handicap!C63</f>
        <v>0</v>
      </c>
      <c r="M63" s="10">
        <f>D63+Handicap!D63</f>
        <v>0</v>
      </c>
      <c r="N63" s="21">
        <f>E63+Handicap!E63</f>
        <v>0</v>
      </c>
      <c r="O63" s="22">
        <f>F63+Handicap!F63</f>
        <v>0</v>
      </c>
      <c r="P63" s="6">
        <f>G63+Handicap!G63</f>
        <v>0</v>
      </c>
      <c r="Q63" s="2"/>
    </row>
    <row r="64" spans="1:17" x14ac:dyDescent="0.35">
      <c r="A64" s="13" t="s">
        <v>108</v>
      </c>
      <c r="B64" s="8"/>
      <c r="C64" s="9"/>
      <c r="D64" s="10"/>
      <c r="E64" s="21"/>
      <c r="F64" s="22"/>
      <c r="G64" s="6"/>
      <c r="H64" s="4"/>
      <c r="I64" s="2"/>
      <c r="J64" s="13" t="s">
        <v>108</v>
      </c>
      <c r="K64" s="8">
        <f>B64+Handicap!B64</f>
        <v>0</v>
      </c>
      <c r="L64" s="9">
        <f>C64+Handicap!C64</f>
        <v>0</v>
      </c>
      <c r="M64" s="10">
        <f>D64+Handicap!D64</f>
        <v>0</v>
      </c>
      <c r="N64" s="21">
        <f>E64+Handicap!E64</f>
        <v>0</v>
      </c>
      <c r="O64" s="22">
        <f>F64+Handicap!F64</f>
        <v>0</v>
      </c>
      <c r="P64" s="6">
        <f>G64+Handicap!G64</f>
        <v>0</v>
      </c>
      <c r="Q64" s="2"/>
    </row>
    <row r="65" spans="1:17" x14ac:dyDescent="0.35">
      <c r="A65" s="13" t="s">
        <v>109</v>
      </c>
      <c r="B65" s="8"/>
      <c r="C65" s="9"/>
      <c r="D65" s="10"/>
      <c r="E65" s="21"/>
      <c r="F65" s="22"/>
      <c r="G65" s="6"/>
      <c r="H65" s="4"/>
      <c r="I65" s="2"/>
      <c r="J65" s="13" t="s">
        <v>109</v>
      </c>
      <c r="K65" s="8">
        <f>B65+Handicap!B65</f>
        <v>0</v>
      </c>
      <c r="L65" s="9">
        <f>C65+Handicap!C65</f>
        <v>0</v>
      </c>
      <c r="M65" s="10">
        <f>D65+Handicap!D65</f>
        <v>0</v>
      </c>
      <c r="N65" s="21">
        <f>E65+Handicap!E65</f>
        <v>0</v>
      </c>
      <c r="O65" s="22">
        <f>F65+Handicap!F65</f>
        <v>0</v>
      </c>
      <c r="P65" s="6">
        <f>G65+Handicap!G65</f>
        <v>0</v>
      </c>
      <c r="Q65" s="2"/>
    </row>
    <row r="66" spans="1:17" x14ac:dyDescent="0.35">
      <c r="A66" s="13" t="s">
        <v>110</v>
      </c>
      <c r="B66" s="8"/>
      <c r="C66" s="9"/>
      <c r="D66" s="10"/>
      <c r="E66" s="21"/>
      <c r="F66" s="22"/>
      <c r="G66" s="6"/>
      <c r="H66" s="4"/>
      <c r="I66" s="2"/>
      <c r="J66" s="13" t="s">
        <v>110</v>
      </c>
      <c r="K66" s="8">
        <f>B66+Handicap!B66</f>
        <v>0</v>
      </c>
      <c r="L66" s="9">
        <f>C66+Handicap!C66</f>
        <v>0</v>
      </c>
      <c r="M66" s="10">
        <f>D66+Handicap!D66</f>
        <v>0</v>
      </c>
      <c r="N66" s="21">
        <f>E66+Handicap!E66</f>
        <v>0</v>
      </c>
      <c r="O66" s="22">
        <f>F66+Handicap!F66</f>
        <v>0</v>
      </c>
      <c r="P66" s="6">
        <f>G66+Handicap!G66</f>
        <v>0</v>
      </c>
      <c r="Q66" s="2"/>
    </row>
    <row r="67" spans="1:17" x14ac:dyDescent="0.35">
      <c r="A67" s="13" t="s">
        <v>111</v>
      </c>
      <c r="B67" s="8"/>
      <c r="C67" s="9"/>
      <c r="D67" s="10"/>
      <c r="E67" s="21"/>
      <c r="F67" s="22"/>
      <c r="G67" s="6"/>
      <c r="H67" s="4"/>
      <c r="I67" s="2"/>
      <c r="J67" s="13" t="s">
        <v>111</v>
      </c>
      <c r="K67" s="8">
        <f>B67+Handicap!B67</f>
        <v>0</v>
      </c>
      <c r="L67" s="9">
        <f>C67+Handicap!C67</f>
        <v>0</v>
      </c>
      <c r="M67" s="10">
        <f>D67+Handicap!D67</f>
        <v>0</v>
      </c>
      <c r="N67" s="21">
        <f>E67+Handicap!E67</f>
        <v>0</v>
      </c>
      <c r="O67" s="22">
        <f>F67+Handicap!F67</f>
        <v>0</v>
      </c>
      <c r="P67" s="6">
        <f>G67+Handicap!G67</f>
        <v>0</v>
      </c>
      <c r="Q67" s="2"/>
    </row>
    <row r="68" spans="1:17" x14ac:dyDescent="0.35">
      <c r="A68" s="13" t="s">
        <v>112</v>
      </c>
      <c r="B68" s="8"/>
      <c r="C68" s="9"/>
      <c r="D68" s="10"/>
      <c r="E68" s="21"/>
      <c r="F68" s="22"/>
      <c r="G68" s="6"/>
      <c r="H68" s="4"/>
      <c r="I68" s="2"/>
      <c r="J68" s="13" t="s">
        <v>112</v>
      </c>
      <c r="K68" s="8">
        <f>B68+Handicap!B68</f>
        <v>0</v>
      </c>
      <c r="L68" s="9">
        <f>C68+Handicap!C68</f>
        <v>0</v>
      </c>
      <c r="M68" s="10">
        <f>D68+Handicap!D68</f>
        <v>0</v>
      </c>
      <c r="N68" s="21">
        <f>E68+Handicap!E68</f>
        <v>0</v>
      </c>
      <c r="O68" s="22">
        <f>F68+Handicap!F68</f>
        <v>0</v>
      </c>
      <c r="P68" s="6">
        <f>G68+Handicap!G68</f>
        <v>0</v>
      </c>
      <c r="Q68" s="2"/>
    </row>
    <row r="69" spans="1:17" x14ac:dyDescent="0.35">
      <c r="A69" s="13" t="s">
        <v>113</v>
      </c>
      <c r="B69" s="8"/>
      <c r="C69" s="9"/>
      <c r="D69" s="10"/>
      <c r="E69" s="21"/>
      <c r="F69" s="22"/>
      <c r="G69" s="6"/>
      <c r="H69" s="4"/>
      <c r="I69" s="2"/>
      <c r="J69" s="13" t="s">
        <v>113</v>
      </c>
      <c r="K69" s="8">
        <f>B69+Handicap!B69</f>
        <v>0</v>
      </c>
      <c r="L69" s="9">
        <f>C69+Handicap!C69</f>
        <v>0</v>
      </c>
      <c r="M69" s="10">
        <f>D69+Handicap!D69</f>
        <v>0</v>
      </c>
      <c r="N69" s="21">
        <f>E69+Handicap!E69</f>
        <v>0</v>
      </c>
      <c r="O69" s="22">
        <f>F69+Handicap!F69</f>
        <v>0</v>
      </c>
      <c r="P69" s="6">
        <f>G69+Handicap!G69</f>
        <v>0</v>
      </c>
      <c r="Q69" s="2"/>
    </row>
    <row r="70" spans="1:17" x14ac:dyDescent="0.35">
      <c r="A70" s="13" t="s">
        <v>114</v>
      </c>
      <c r="B70" s="8"/>
      <c r="C70" s="9"/>
      <c r="D70" s="10"/>
      <c r="E70" s="21"/>
      <c r="F70" s="22"/>
      <c r="G70" s="6"/>
      <c r="H70" s="4"/>
      <c r="I70" s="2"/>
      <c r="J70" s="13" t="s">
        <v>114</v>
      </c>
      <c r="K70" s="8">
        <f>B70+Handicap!B70</f>
        <v>0</v>
      </c>
      <c r="L70" s="9">
        <f>C70+Handicap!C70</f>
        <v>0</v>
      </c>
      <c r="M70" s="10">
        <f>D70+Handicap!D70</f>
        <v>0</v>
      </c>
      <c r="N70" s="21">
        <f>E70+Handicap!E70</f>
        <v>0</v>
      </c>
      <c r="O70" s="22">
        <f>F70+Handicap!F70</f>
        <v>0</v>
      </c>
      <c r="P70" s="6">
        <f>G70+Handicap!G70</f>
        <v>0</v>
      </c>
      <c r="Q70" s="2"/>
    </row>
    <row r="71" spans="1:17" x14ac:dyDescent="0.35">
      <c r="A71" s="13" t="s">
        <v>115</v>
      </c>
      <c r="B71" s="8"/>
      <c r="C71" s="9"/>
      <c r="D71" s="10"/>
      <c r="E71" s="21"/>
      <c r="F71" s="22"/>
      <c r="G71" s="6"/>
      <c r="H71" s="4"/>
      <c r="I71" s="2"/>
      <c r="J71" s="13" t="s">
        <v>115</v>
      </c>
      <c r="K71" s="8">
        <f>B71+Handicap!B71</f>
        <v>0</v>
      </c>
      <c r="L71" s="9">
        <f>C71+Handicap!C71</f>
        <v>0</v>
      </c>
      <c r="M71" s="10">
        <f>D71+Handicap!D71</f>
        <v>0</v>
      </c>
      <c r="N71" s="21">
        <f>E71+Handicap!E71</f>
        <v>0</v>
      </c>
      <c r="O71" s="22">
        <f>F71+Handicap!F71</f>
        <v>0</v>
      </c>
      <c r="P71" s="6">
        <f>G71+Handicap!G71</f>
        <v>0</v>
      </c>
      <c r="Q71" s="2"/>
    </row>
    <row r="72" spans="1:17" x14ac:dyDescent="0.35">
      <c r="A72" s="13" t="s">
        <v>116</v>
      </c>
      <c r="B72" s="8"/>
      <c r="C72" s="9"/>
      <c r="D72" s="10"/>
      <c r="E72" s="21"/>
      <c r="F72" s="22"/>
      <c r="G72" s="6"/>
      <c r="H72" s="4"/>
      <c r="I72" s="2"/>
      <c r="J72" s="13" t="s">
        <v>116</v>
      </c>
      <c r="K72" s="8">
        <f>B72+Handicap!B72</f>
        <v>0</v>
      </c>
      <c r="L72" s="9">
        <f>C72+Handicap!C72</f>
        <v>0</v>
      </c>
      <c r="M72" s="10">
        <f>D72+Handicap!D72</f>
        <v>0</v>
      </c>
      <c r="N72" s="21">
        <f>E72+Handicap!E72</f>
        <v>0</v>
      </c>
      <c r="O72" s="22">
        <f>F72+Handicap!F72</f>
        <v>0</v>
      </c>
      <c r="P72" s="6">
        <f>G72+Handicap!G72</f>
        <v>0</v>
      </c>
      <c r="Q72" s="2"/>
    </row>
    <row r="73" spans="1:17" x14ac:dyDescent="0.35">
      <c r="A73" s="13" t="s">
        <v>117</v>
      </c>
      <c r="B73" s="8"/>
      <c r="C73" s="9"/>
      <c r="D73" s="10"/>
      <c r="E73" s="21"/>
      <c r="F73" s="22"/>
      <c r="G73" s="6"/>
      <c r="H73" s="4"/>
      <c r="I73" s="2"/>
      <c r="J73" s="13" t="s">
        <v>117</v>
      </c>
      <c r="K73" s="8">
        <f>B73+Handicap!B73</f>
        <v>0</v>
      </c>
      <c r="L73" s="9">
        <f>C73+Handicap!C73</f>
        <v>0</v>
      </c>
      <c r="M73" s="10">
        <f>D73+Handicap!D73</f>
        <v>0</v>
      </c>
      <c r="N73" s="21">
        <f>E73+Handicap!E73</f>
        <v>0</v>
      </c>
      <c r="O73" s="22">
        <f>F73+Handicap!F73</f>
        <v>0</v>
      </c>
      <c r="P73" s="6">
        <f>G73+Handicap!G73</f>
        <v>0</v>
      </c>
      <c r="Q73" s="2"/>
    </row>
    <row r="74" spans="1:17" x14ac:dyDescent="0.35">
      <c r="A74" s="13" t="s">
        <v>118</v>
      </c>
      <c r="B74" s="8"/>
      <c r="C74" s="9"/>
      <c r="D74" s="10"/>
      <c r="E74" s="21"/>
      <c r="F74" s="22"/>
      <c r="G74" s="6"/>
      <c r="H74" s="4"/>
      <c r="I74" s="2"/>
      <c r="J74" s="13" t="s">
        <v>118</v>
      </c>
      <c r="K74" s="8">
        <f>B74+Handicap!B74</f>
        <v>0</v>
      </c>
      <c r="L74" s="9">
        <f>C74+Handicap!C74</f>
        <v>0</v>
      </c>
      <c r="M74" s="10">
        <f>D74+Handicap!D74</f>
        <v>0</v>
      </c>
      <c r="N74" s="21">
        <f>E74+Handicap!E74</f>
        <v>0</v>
      </c>
      <c r="O74" s="22">
        <f>F74+Handicap!F74</f>
        <v>0</v>
      </c>
      <c r="P74" s="6">
        <f>G74+Handicap!G74</f>
        <v>0</v>
      </c>
      <c r="Q74" s="2"/>
    </row>
    <row r="75" spans="1:17" x14ac:dyDescent="0.35">
      <c r="A75" s="13" t="s">
        <v>119</v>
      </c>
      <c r="B75" s="8"/>
      <c r="C75" s="9"/>
      <c r="D75" s="10"/>
      <c r="E75" s="21"/>
      <c r="F75" s="22"/>
      <c r="G75" s="6"/>
      <c r="H75" s="4"/>
      <c r="I75" s="2"/>
      <c r="J75" s="13" t="s">
        <v>119</v>
      </c>
      <c r="K75" s="8">
        <f>B75+Handicap!B75</f>
        <v>0</v>
      </c>
      <c r="L75" s="9">
        <f>C75+Handicap!C75</f>
        <v>0</v>
      </c>
      <c r="M75" s="10">
        <f>D75+Handicap!D75</f>
        <v>0</v>
      </c>
      <c r="N75" s="21">
        <f>E75+Handicap!E75</f>
        <v>0</v>
      </c>
      <c r="O75" s="22">
        <f>F75+Handicap!F75</f>
        <v>0</v>
      </c>
      <c r="P75" s="6">
        <f>G75+Handicap!G75</f>
        <v>0</v>
      </c>
      <c r="Q75" s="2"/>
    </row>
    <row r="76" spans="1:17" x14ac:dyDescent="0.35">
      <c r="A76" s="13" t="s">
        <v>120</v>
      </c>
      <c r="B76" s="8"/>
      <c r="C76" s="9"/>
      <c r="D76" s="10"/>
      <c r="E76" s="21"/>
      <c r="F76" s="22"/>
      <c r="G76" s="6"/>
      <c r="H76" s="4"/>
      <c r="I76" s="2"/>
      <c r="J76" s="13" t="s">
        <v>120</v>
      </c>
      <c r="K76" s="8">
        <f>B76+Handicap!B76</f>
        <v>0</v>
      </c>
      <c r="L76" s="9">
        <f>C76+Handicap!C76</f>
        <v>0</v>
      </c>
      <c r="M76" s="10">
        <f>D76+Handicap!D76</f>
        <v>0</v>
      </c>
      <c r="N76" s="21">
        <f>E76+Handicap!E76</f>
        <v>0</v>
      </c>
      <c r="O76" s="22">
        <f>F76+Handicap!F76</f>
        <v>0</v>
      </c>
      <c r="P76" s="6">
        <f>G76+Handicap!G76</f>
        <v>0</v>
      </c>
      <c r="Q76" s="2"/>
    </row>
    <row r="77" spans="1:17" x14ac:dyDescent="0.35">
      <c r="A77" s="13" t="s">
        <v>121</v>
      </c>
      <c r="B77" s="8"/>
      <c r="C77" s="9"/>
      <c r="D77" s="10"/>
      <c r="E77" s="21"/>
      <c r="F77" s="22"/>
      <c r="G77" s="6"/>
      <c r="H77" s="4"/>
      <c r="I77" s="2"/>
      <c r="J77" s="13" t="s">
        <v>121</v>
      </c>
      <c r="K77" s="8">
        <f>B77+Handicap!B77</f>
        <v>0</v>
      </c>
      <c r="L77" s="9">
        <f>C77+Handicap!C77</f>
        <v>0</v>
      </c>
      <c r="M77" s="10">
        <f>D77+Handicap!D77</f>
        <v>0</v>
      </c>
      <c r="N77" s="21">
        <f>E77+Handicap!E77</f>
        <v>0</v>
      </c>
      <c r="O77" s="22">
        <f>F77+Handicap!F77</f>
        <v>0</v>
      </c>
      <c r="P77" s="6">
        <f>G77+Handicap!G77</f>
        <v>0</v>
      </c>
      <c r="Q77" s="2"/>
    </row>
    <row r="78" spans="1:17" x14ac:dyDescent="0.35">
      <c r="A78" s="13" t="s">
        <v>122</v>
      </c>
      <c r="B78" s="8"/>
      <c r="C78" s="9"/>
      <c r="D78" s="10"/>
      <c r="E78" s="21"/>
      <c r="F78" s="22"/>
      <c r="G78" s="6"/>
      <c r="H78" s="4"/>
      <c r="I78" s="2"/>
      <c r="J78" s="13" t="s">
        <v>122</v>
      </c>
      <c r="K78" s="8">
        <f>B78+Handicap!B78</f>
        <v>0</v>
      </c>
      <c r="L78" s="9">
        <f>C78+Handicap!C78</f>
        <v>0</v>
      </c>
      <c r="M78" s="10">
        <f>D78+Handicap!D78</f>
        <v>0</v>
      </c>
      <c r="N78" s="21">
        <f>E78+Handicap!E78</f>
        <v>0</v>
      </c>
      <c r="O78" s="22">
        <f>F78+Handicap!F78</f>
        <v>0</v>
      </c>
      <c r="P78" s="6">
        <f>G78+Handicap!G78</f>
        <v>0</v>
      </c>
      <c r="Q78" s="2"/>
    </row>
    <row r="79" spans="1:17" x14ac:dyDescent="0.35">
      <c r="A79" s="13" t="s">
        <v>123</v>
      </c>
      <c r="B79" s="8"/>
      <c r="C79" s="9"/>
      <c r="D79" s="10"/>
      <c r="E79" s="21"/>
      <c r="F79" s="22"/>
      <c r="G79" s="6"/>
      <c r="H79" s="4"/>
      <c r="I79" s="2"/>
      <c r="J79" s="13" t="s">
        <v>123</v>
      </c>
      <c r="K79" s="8">
        <f>B79+Handicap!B79</f>
        <v>0</v>
      </c>
      <c r="L79" s="9">
        <f>C79+Handicap!C79</f>
        <v>0</v>
      </c>
      <c r="M79" s="10">
        <f>D79+Handicap!D79</f>
        <v>0</v>
      </c>
      <c r="N79" s="21">
        <f>E79+Handicap!E79</f>
        <v>0</v>
      </c>
      <c r="O79" s="22">
        <f>F79+Handicap!F79</f>
        <v>0</v>
      </c>
      <c r="P79" s="6">
        <f>G79+Handicap!G79</f>
        <v>0</v>
      </c>
      <c r="Q79" s="2"/>
    </row>
    <row r="80" spans="1:17" x14ac:dyDescent="0.35">
      <c r="A80" s="13" t="s">
        <v>124</v>
      </c>
      <c r="B80" s="8"/>
      <c r="C80" s="9"/>
      <c r="D80" s="10"/>
      <c r="E80" s="21"/>
      <c r="F80" s="22"/>
      <c r="G80" s="6"/>
      <c r="H80" s="4"/>
      <c r="I80" s="2"/>
      <c r="J80" s="13" t="s">
        <v>124</v>
      </c>
      <c r="K80" s="8">
        <f>B80+Handicap!B80</f>
        <v>0</v>
      </c>
      <c r="L80" s="9">
        <f>C80+Handicap!C80</f>
        <v>0</v>
      </c>
      <c r="M80" s="10">
        <f>D80+Handicap!D80</f>
        <v>0</v>
      </c>
      <c r="N80" s="21">
        <f>E80+Handicap!E80</f>
        <v>0</v>
      </c>
      <c r="O80" s="22">
        <f>F80+Handicap!F80</f>
        <v>0</v>
      </c>
      <c r="P80" s="6">
        <f>G80+Handicap!G80</f>
        <v>0</v>
      </c>
      <c r="Q80" s="2"/>
    </row>
    <row r="81" spans="1:17" x14ac:dyDescent="0.35">
      <c r="A81" s="13" t="s">
        <v>125</v>
      </c>
      <c r="B81" s="8"/>
      <c r="C81" s="9"/>
      <c r="D81" s="10"/>
      <c r="E81" s="21"/>
      <c r="F81" s="22"/>
      <c r="G81" s="6"/>
      <c r="H81" s="4"/>
      <c r="I81" s="2"/>
      <c r="J81" s="13" t="s">
        <v>125</v>
      </c>
      <c r="K81" s="8">
        <f>B81+Handicap!B81</f>
        <v>0</v>
      </c>
      <c r="L81" s="9">
        <f>C81+Handicap!C81</f>
        <v>0</v>
      </c>
      <c r="M81" s="10">
        <f>D81+Handicap!D81</f>
        <v>0</v>
      </c>
      <c r="N81" s="21">
        <f>E81+Handicap!E81</f>
        <v>0</v>
      </c>
      <c r="O81" s="22">
        <f>F81+Handicap!F81</f>
        <v>0</v>
      </c>
      <c r="P81" s="6">
        <f>G81+Handicap!G81</f>
        <v>0</v>
      </c>
      <c r="Q81" s="2"/>
    </row>
    <row r="82" spans="1:17" x14ac:dyDescent="0.35">
      <c r="A82" s="13" t="s">
        <v>126</v>
      </c>
      <c r="B82" s="8"/>
      <c r="C82" s="9"/>
      <c r="D82" s="10"/>
      <c r="E82" s="21"/>
      <c r="F82" s="22"/>
      <c r="G82" s="6"/>
      <c r="H82" s="4"/>
      <c r="I82" s="2"/>
      <c r="J82" s="13" t="s">
        <v>126</v>
      </c>
      <c r="K82" s="8">
        <f>B82+Handicap!B82</f>
        <v>0</v>
      </c>
      <c r="L82" s="9">
        <f>C82+Handicap!C82</f>
        <v>0</v>
      </c>
      <c r="M82" s="10">
        <f>D82+Handicap!D82</f>
        <v>0</v>
      </c>
      <c r="N82" s="21">
        <f>E82+Handicap!E82</f>
        <v>0</v>
      </c>
      <c r="O82" s="22">
        <f>F82+Handicap!F82</f>
        <v>0</v>
      </c>
      <c r="P82" s="6">
        <f>G82+Handicap!G82</f>
        <v>0</v>
      </c>
      <c r="Q82" s="2"/>
    </row>
    <row r="83" spans="1:17" x14ac:dyDescent="0.35">
      <c r="A83" s="13" t="s">
        <v>127</v>
      </c>
      <c r="B83" s="8"/>
      <c r="C83" s="9"/>
      <c r="D83" s="10"/>
      <c r="E83" s="21"/>
      <c r="F83" s="22"/>
      <c r="G83" s="6"/>
      <c r="H83" s="4"/>
      <c r="I83" s="2"/>
      <c r="J83" s="13" t="s">
        <v>127</v>
      </c>
      <c r="K83" s="8">
        <f>B83+Handicap!B83</f>
        <v>0</v>
      </c>
      <c r="L83" s="9">
        <f>C83+Handicap!C83</f>
        <v>0</v>
      </c>
      <c r="M83" s="10">
        <f>D83+Handicap!D83</f>
        <v>0</v>
      </c>
      <c r="N83" s="21">
        <f>E83+Handicap!E83</f>
        <v>0</v>
      </c>
      <c r="O83" s="22">
        <f>F83+Handicap!F83</f>
        <v>0</v>
      </c>
      <c r="P83" s="6">
        <f>G83+Handicap!G83</f>
        <v>0</v>
      </c>
      <c r="Q83" s="2"/>
    </row>
    <row r="84" spans="1:17" x14ac:dyDescent="0.35">
      <c r="A84" s="13" t="s">
        <v>128</v>
      </c>
      <c r="B84" s="8"/>
      <c r="C84" s="9"/>
      <c r="D84" s="10"/>
      <c r="E84" s="21"/>
      <c r="F84" s="22"/>
      <c r="G84" s="6"/>
      <c r="H84" s="4"/>
      <c r="I84" s="2"/>
      <c r="J84" s="13" t="s">
        <v>128</v>
      </c>
      <c r="K84" s="8">
        <f>B84+Handicap!B84</f>
        <v>0</v>
      </c>
      <c r="L84" s="9">
        <f>C84+Handicap!C84</f>
        <v>0</v>
      </c>
      <c r="M84" s="10">
        <f>D84+Handicap!D84</f>
        <v>0</v>
      </c>
      <c r="N84" s="21">
        <f>E84+Handicap!E84</f>
        <v>0</v>
      </c>
      <c r="O84" s="22">
        <f>F84+Handicap!F84</f>
        <v>0</v>
      </c>
      <c r="P84" s="6">
        <f>G84+Handicap!G84</f>
        <v>0</v>
      </c>
      <c r="Q84" s="2"/>
    </row>
    <row r="85" spans="1:17" x14ac:dyDescent="0.35">
      <c r="A85" s="13" t="s">
        <v>129</v>
      </c>
      <c r="B85" s="8"/>
      <c r="C85" s="9"/>
      <c r="D85" s="10"/>
      <c r="E85" s="21"/>
      <c r="F85" s="22"/>
      <c r="G85" s="6"/>
      <c r="H85" s="4"/>
      <c r="I85" s="2"/>
      <c r="J85" s="13" t="s">
        <v>129</v>
      </c>
      <c r="K85" s="8">
        <f>B85+Handicap!B85</f>
        <v>0</v>
      </c>
      <c r="L85" s="9">
        <f>C85+Handicap!C85</f>
        <v>0</v>
      </c>
      <c r="M85" s="10">
        <f>D85+Handicap!D85</f>
        <v>0</v>
      </c>
      <c r="N85" s="21">
        <f>E85+Handicap!E85</f>
        <v>0</v>
      </c>
      <c r="O85" s="22">
        <f>F85+Handicap!F85</f>
        <v>0</v>
      </c>
      <c r="P85" s="6">
        <f>G85+Handicap!G85</f>
        <v>0</v>
      </c>
      <c r="Q85" s="2"/>
    </row>
    <row r="86" spans="1:17" x14ac:dyDescent="0.35">
      <c r="A86" s="13" t="s">
        <v>130</v>
      </c>
      <c r="B86" s="8"/>
      <c r="C86" s="9"/>
      <c r="D86" s="10"/>
      <c r="E86" s="21"/>
      <c r="F86" s="22"/>
      <c r="G86" s="6"/>
      <c r="H86" s="4"/>
      <c r="I86" s="2"/>
      <c r="J86" s="13" t="s">
        <v>130</v>
      </c>
      <c r="K86" s="8">
        <f>B86+Handicap!B86</f>
        <v>0</v>
      </c>
      <c r="L86" s="9">
        <f>C86+Handicap!C86</f>
        <v>0</v>
      </c>
      <c r="M86" s="10">
        <f>D86+Handicap!D86</f>
        <v>0</v>
      </c>
      <c r="N86" s="21">
        <f>E86+Handicap!E86</f>
        <v>0</v>
      </c>
      <c r="O86" s="22">
        <f>F86+Handicap!F86</f>
        <v>0</v>
      </c>
      <c r="P86" s="6">
        <f>G86+Handicap!G86</f>
        <v>0</v>
      </c>
      <c r="Q86" s="2"/>
    </row>
    <row r="87" spans="1:17" x14ac:dyDescent="0.35">
      <c r="A87" s="13" t="s">
        <v>131</v>
      </c>
      <c r="B87" s="8"/>
      <c r="C87" s="9"/>
      <c r="D87" s="10"/>
      <c r="E87" s="21"/>
      <c r="F87" s="22"/>
      <c r="G87" s="6"/>
      <c r="H87" s="4"/>
      <c r="I87" s="2"/>
      <c r="J87" s="13" t="s">
        <v>131</v>
      </c>
      <c r="K87" s="8">
        <f>B87+Handicap!B87</f>
        <v>0</v>
      </c>
      <c r="L87" s="9">
        <f>C87+Handicap!C87</f>
        <v>0</v>
      </c>
      <c r="M87" s="10">
        <f>D87+Handicap!D87</f>
        <v>0</v>
      </c>
      <c r="N87" s="21">
        <f>E87+Handicap!E87</f>
        <v>0</v>
      </c>
      <c r="O87" s="22">
        <f>F87+Handicap!F87</f>
        <v>0</v>
      </c>
      <c r="P87" s="6">
        <f>G87+Handicap!G87</f>
        <v>0</v>
      </c>
      <c r="Q87" s="2"/>
    </row>
    <row r="88" spans="1:17" x14ac:dyDescent="0.35">
      <c r="A88" s="13" t="s">
        <v>132</v>
      </c>
      <c r="B88" s="8"/>
      <c r="C88" s="9"/>
      <c r="D88" s="10"/>
      <c r="E88" s="21"/>
      <c r="F88" s="22"/>
      <c r="G88" s="6"/>
      <c r="H88" s="4"/>
      <c r="I88" s="2"/>
      <c r="J88" s="13" t="s">
        <v>132</v>
      </c>
      <c r="K88" s="8">
        <f>B88+Handicap!B88</f>
        <v>0</v>
      </c>
      <c r="L88" s="9">
        <f>C88+Handicap!C88</f>
        <v>0</v>
      </c>
      <c r="M88" s="10">
        <f>D88+Handicap!D88</f>
        <v>0</v>
      </c>
      <c r="N88" s="21">
        <f>E88+Handicap!E88</f>
        <v>0</v>
      </c>
      <c r="O88" s="22">
        <f>F88+Handicap!F88</f>
        <v>0</v>
      </c>
      <c r="P88" s="6">
        <f>G88+Handicap!G88</f>
        <v>0</v>
      </c>
      <c r="Q88" s="2"/>
    </row>
    <row r="89" spans="1:17" x14ac:dyDescent="0.35">
      <c r="A89" s="13" t="s">
        <v>133</v>
      </c>
      <c r="B89" s="8"/>
      <c r="C89" s="9"/>
      <c r="D89" s="10"/>
      <c r="E89" s="21"/>
      <c r="F89" s="22"/>
      <c r="G89" s="6"/>
      <c r="H89" s="4"/>
      <c r="I89" s="2"/>
      <c r="J89" s="13" t="s">
        <v>133</v>
      </c>
      <c r="K89" s="8">
        <f>B89+Handicap!B89</f>
        <v>0</v>
      </c>
      <c r="L89" s="9">
        <f>C89+Handicap!C89</f>
        <v>0</v>
      </c>
      <c r="M89" s="10">
        <f>D89+Handicap!D89</f>
        <v>0</v>
      </c>
      <c r="N89" s="21">
        <f>E89+Handicap!E89</f>
        <v>0</v>
      </c>
      <c r="O89" s="22">
        <f>F89+Handicap!F89</f>
        <v>0</v>
      </c>
      <c r="P89" s="6">
        <f>G89+Handicap!G89</f>
        <v>0</v>
      </c>
      <c r="Q89" s="2"/>
    </row>
    <row r="90" spans="1:17" x14ac:dyDescent="0.35">
      <c r="A90" s="13" t="s">
        <v>134</v>
      </c>
      <c r="B90" s="8"/>
      <c r="C90" s="9"/>
      <c r="D90" s="10"/>
      <c r="E90" s="21"/>
      <c r="F90" s="22"/>
      <c r="G90" s="6"/>
      <c r="H90" s="4"/>
      <c r="I90" s="2"/>
      <c r="J90" s="13" t="s">
        <v>134</v>
      </c>
      <c r="K90" s="8">
        <f>B90+Handicap!B90</f>
        <v>0</v>
      </c>
      <c r="L90" s="9">
        <f>C90+Handicap!C90</f>
        <v>0</v>
      </c>
      <c r="M90" s="10">
        <f>D90+Handicap!D90</f>
        <v>0</v>
      </c>
      <c r="N90" s="21">
        <f>E90+Handicap!E90</f>
        <v>0</v>
      </c>
      <c r="O90" s="22">
        <f>F90+Handicap!F90</f>
        <v>0</v>
      </c>
      <c r="P90" s="6">
        <f>G90+Handicap!G90</f>
        <v>0</v>
      </c>
      <c r="Q90" s="2"/>
    </row>
    <row r="91" spans="1:17" x14ac:dyDescent="0.35">
      <c r="A91" s="13" t="s">
        <v>135</v>
      </c>
      <c r="B91" s="8"/>
      <c r="C91" s="9"/>
      <c r="D91" s="10"/>
      <c r="E91" s="21"/>
      <c r="F91" s="22"/>
      <c r="G91" s="6"/>
      <c r="H91" s="4"/>
      <c r="I91" s="2"/>
      <c r="J91" s="13" t="s">
        <v>135</v>
      </c>
      <c r="K91" s="8">
        <f>B91+Handicap!B91</f>
        <v>0</v>
      </c>
      <c r="L91" s="9">
        <f>C91+Handicap!C91</f>
        <v>0</v>
      </c>
      <c r="M91" s="10">
        <f>D91+Handicap!D91</f>
        <v>0</v>
      </c>
      <c r="N91" s="21">
        <f>E91+Handicap!E91</f>
        <v>0</v>
      </c>
      <c r="O91" s="22">
        <f>F91+Handicap!F91</f>
        <v>0</v>
      </c>
      <c r="P91" s="6">
        <f>G91+Handicap!G91</f>
        <v>0</v>
      </c>
      <c r="Q91" s="2"/>
    </row>
    <row r="92" spans="1:17" x14ac:dyDescent="0.35">
      <c r="A92" s="13" t="s">
        <v>136</v>
      </c>
      <c r="B92" s="8"/>
      <c r="C92" s="9"/>
      <c r="D92" s="10"/>
      <c r="E92" s="21"/>
      <c r="F92" s="22"/>
      <c r="G92" s="6"/>
      <c r="H92" s="4"/>
      <c r="I92" s="2"/>
      <c r="J92" s="13" t="s">
        <v>136</v>
      </c>
      <c r="K92" s="8">
        <f>B92+Handicap!B92</f>
        <v>0</v>
      </c>
      <c r="L92" s="9">
        <f>C92+Handicap!C92</f>
        <v>0</v>
      </c>
      <c r="M92" s="10">
        <f>D92+Handicap!D92</f>
        <v>0</v>
      </c>
      <c r="N92" s="21">
        <f>E92+Handicap!E92</f>
        <v>0</v>
      </c>
      <c r="O92" s="22">
        <f>F92+Handicap!F92</f>
        <v>0</v>
      </c>
      <c r="P92" s="6">
        <f>G92+Handicap!G92</f>
        <v>0</v>
      </c>
      <c r="Q92" s="2"/>
    </row>
    <row r="93" spans="1:17" x14ac:dyDescent="0.35">
      <c r="A93" s="13" t="s">
        <v>137</v>
      </c>
      <c r="B93" s="8"/>
      <c r="C93" s="9"/>
      <c r="D93" s="10"/>
      <c r="E93" s="21"/>
      <c r="F93" s="22"/>
      <c r="G93" s="6"/>
      <c r="H93" s="4"/>
      <c r="I93" s="2"/>
      <c r="J93" s="13" t="s">
        <v>137</v>
      </c>
      <c r="K93" s="8">
        <f>B93+Handicap!B93</f>
        <v>0</v>
      </c>
      <c r="L93" s="9">
        <f>C93+Handicap!C93</f>
        <v>0</v>
      </c>
      <c r="M93" s="10">
        <f>D93+Handicap!D93</f>
        <v>0</v>
      </c>
      <c r="N93" s="21">
        <f>E93+Handicap!E93</f>
        <v>0</v>
      </c>
      <c r="O93" s="22">
        <f>F93+Handicap!F93</f>
        <v>0</v>
      </c>
      <c r="P93" s="6">
        <f>G93+Handicap!G93</f>
        <v>0</v>
      </c>
      <c r="Q93" s="2"/>
    </row>
    <row r="94" spans="1:17" x14ac:dyDescent="0.35">
      <c r="A94" s="13" t="s">
        <v>138</v>
      </c>
      <c r="B94" s="8"/>
      <c r="C94" s="9"/>
      <c r="D94" s="10"/>
      <c r="E94" s="21"/>
      <c r="F94" s="22"/>
      <c r="G94" s="6"/>
      <c r="H94" s="4"/>
      <c r="I94" s="2"/>
      <c r="J94" s="13" t="s">
        <v>138</v>
      </c>
      <c r="K94" s="8">
        <f>B94+Handicap!B94</f>
        <v>0</v>
      </c>
      <c r="L94" s="9">
        <f>C94+Handicap!C94</f>
        <v>0</v>
      </c>
      <c r="M94" s="10">
        <f>D94+Handicap!D94</f>
        <v>0</v>
      </c>
      <c r="N94" s="21">
        <f>E94+Handicap!E94</f>
        <v>0</v>
      </c>
      <c r="O94" s="22">
        <f>F94+Handicap!F94</f>
        <v>0</v>
      </c>
      <c r="P94" s="6">
        <f>G94+Handicap!G94</f>
        <v>0</v>
      </c>
      <c r="Q94" s="2"/>
    </row>
    <row r="95" spans="1:17" x14ac:dyDescent="0.35">
      <c r="A95" s="13" t="s">
        <v>139</v>
      </c>
      <c r="B95" s="8"/>
      <c r="C95" s="9"/>
      <c r="D95" s="10"/>
      <c r="E95" s="21"/>
      <c r="F95" s="22"/>
      <c r="G95" s="6"/>
      <c r="H95" s="4"/>
      <c r="I95" s="2"/>
      <c r="J95" s="13" t="s">
        <v>139</v>
      </c>
      <c r="K95" s="8">
        <f>B95+Handicap!B95</f>
        <v>0</v>
      </c>
      <c r="L95" s="9">
        <f>C95+Handicap!C95</f>
        <v>0</v>
      </c>
      <c r="M95" s="10">
        <f>D95+Handicap!D95</f>
        <v>0</v>
      </c>
      <c r="N95" s="21">
        <f>E95+Handicap!E95</f>
        <v>0</v>
      </c>
      <c r="O95" s="22">
        <f>F95+Handicap!F95</f>
        <v>0</v>
      </c>
      <c r="P95" s="6">
        <f>G95+Handicap!G95</f>
        <v>0</v>
      </c>
      <c r="Q95" s="2"/>
    </row>
    <row r="96" spans="1:17" x14ac:dyDescent="0.35">
      <c r="A96" s="13" t="s">
        <v>141</v>
      </c>
      <c r="B96" s="8"/>
      <c r="C96" s="9"/>
      <c r="D96" s="10"/>
      <c r="E96" s="21"/>
      <c r="F96" s="22"/>
      <c r="G96" s="6"/>
      <c r="H96" s="4"/>
      <c r="I96" s="2"/>
      <c r="J96" s="13" t="s">
        <v>141</v>
      </c>
      <c r="K96" s="8">
        <f>B96+Handicap!B96</f>
        <v>0</v>
      </c>
      <c r="L96" s="9">
        <f>C96+Handicap!C96</f>
        <v>0</v>
      </c>
      <c r="M96" s="10">
        <f>D96+Handicap!D96</f>
        <v>0</v>
      </c>
      <c r="N96" s="21">
        <f>E96+Handicap!E96</f>
        <v>0</v>
      </c>
      <c r="O96" s="22">
        <f>F96+Handicap!F96</f>
        <v>0</v>
      </c>
      <c r="P96" s="6">
        <f>G96+Handicap!G96</f>
        <v>0</v>
      </c>
      <c r="Q96" s="2"/>
    </row>
    <row r="97" spans="1:17" x14ac:dyDescent="0.35">
      <c r="A97" s="13" t="s">
        <v>142</v>
      </c>
      <c r="B97" s="8"/>
      <c r="C97" s="9"/>
      <c r="D97" s="10"/>
      <c r="E97" s="21"/>
      <c r="F97" s="22"/>
      <c r="G97" s="6"/>
      <c r="H97" s="4"/>
      <c r="I97" s="2"/>
      <c r="J97" s="13" t="s">
        <v>142</v>
      </c>
      <c r="K97" s="8">
        <f>B97+Handicap!B97</f>
        <v>0</v>
      </c>
      <c r="L97" s="9">
        <f>C97+Handicap!C97</f>
        <v>0</v>
      </c>
      <c r="M97" s="10">
        <f>D97+Handicap!D97</f>
        <v>0</v>
      </c>
      <c r="N97" s="21">
        <f>E97+Handicap!E97</f>
        <v>0</v>
      </c>
      <c r="O97" s="22">
        <f>F97+Handicap!F97</f>
        <v>0</v>
      </c>
      <c r="P97" s="6">
        <f>G97+Handicap!G97</f>
        <v>0</v>
      </c>
      <c r="Q97" s="2"/>
    </row>
    <row r="98" spans="1:17" x14ac:dyDescent="0.35">
      <c r="A98" s="13" t="s">
        <v>140</v>
      </c>
      <c r="B98" s="8"/>
      <c r="C98" s="9"/>
      <c r="D98" s="10"/>
      <c r="E98" s="21"/>
      <c r="F98" s="22"/>
      <c r="G98" s="6"/>
      <c r="H98" s="4"/>
      <c r="I98" s="2"/>
      <c r="J98" s="13" t="s">
        <v>140</v>
      </c>
      <c r="K98" s="8">
        <f>B98+Handicap!B98</f>
        <v>0</v>
      </c>
      <c r="L98" s="9">
        <f>C98+Handicap!C98</f>
        <v>0</v>
      </c>
      <c r="M98" s="10">
        <f>D98+Handicap!D98</f>
        <v>0</v>
      </c>
      <c r="N98" s="21">
        <f>E98+Handicap!E98</f>
        <v>0</v>
      </c>
      <c r="O98" s="22">
        <f>F98+Handicap!F98</f>
        <v>0</v>
      </c>
      <c r="P98" s="6">
        <f>G98+Handicap!G98</f>
        <v>0</v>
      </c>
      <c r="Q98" s="2"/>
    </row>
    <row r="99" spans="1:17" x14ac:dyDescent="0.35">
      <c r="A99" s="13" t="s">
        <v>143</v>
      </c>
      <c r="B99" s="8"/>
      <c r="C99" s="9"/>
      <c r="D99" s="10"/>
      <c r="E99" s="21"/>
      <c r="F99" s="22"/>
      <c r="G99" s="6"/>
      <c r="H99" s="4"/>
      <c r="I99" s="2"/>
      <c r="J99" s="13" t="s">
        <v>143</v>
      </c>
      <c r="K99" s="8">
        <f>B99+Handicap!B99</f>
        <v>0</v>
      </c>
      <c r="L99" s="9">
        <f>C99+Handicap!C99</f>
        <v>0</v>
      </c>
      <c r="M99" s="10">
        <f>D99+Handicap!D99</f>
        <v>0</v>
      </c>
      <c r="N99" s="21">
        <f>E99+Handicap!E99</f>
        <v>0</v>
      </c>
      <c r="O99" s="22">
        <f>F99+Handicap!F99</f>
        <v>0</v>
      </c>
      <c r="P99" s="6">
        <f>G99+Handicap!G99</f>
        <v>0</v>
      </c>
      <c r="Q99" s="2"/>
    </row>
    <row r="100" spans="1:17" x14ac:dyDescent="0.35">
      <c r="A100" s="13" t="s">
        <v>144</v>
      </c>
      <c r="B100" s="8"/>
      <c r="C100" s="9"/>
      <c r="D100" s="10"/>
      <c r="E100" s="21"/>
      <c r="F100" s="22"/>
      <c r="G100" s="6"/>
      <c r="H100" s="4"/>
      <c r="I100" s="2"/>
      <c r="J100" s="13" t="s">
        <v>144</v>
      </c>
      <c r="K100" s="8">
        <f>B100+Handicap!B100</f>
        <v>0</v>
      </c>
      <c r="L100" s="9">
        <f>C100+Handicap!C100</f>
        <v>0</v>
      </c>
      <c r="M100" s="10">
        <f>D100+Handicap!D100</f>
        <v>0</v>
      </c>
      <c r="N100" s="21">
        <f>E100+Handicap!E100</f>
        <v>0</v>
      </c>
      <c r="O100" s="22">
        <f>F100+Handicap!F100</f>
        <v>0</v>
      </c>
      <c r="P100" s="6">
        <f>G100+Handicap!G100</f>
        <v>0</v>
      </c>
      <c r="Q100" s="2"/>
    </row>
    <row r="101" spans="1:17" x14ac:dyDescent="0.35">
      <c r="A101" s="13" t="s">
        <v>145</v>
      </c>
      <c r="B101" s="8"/>
      <c r="C101" s="9"/>
      <c r="D101" s="10"/>
      <c r="E101" s="21"/>
      <c r="F101" s="22"/>
      <c r="G101" s="6"/>
      <c r="H101" s="4"/>
      <c r="I101" s="2"/>
      <c r="J101" s="13" t="s">
        <v>145</v>
      </c>
      <c r="K101" s="8">
        <f>B101+Handicap!B101</f>
        <v>0</v>
      </c>
      <c r="L101" s="9">
        <f>C101+Handicap!C101</f>
        <v>0</v>
      </c>
      <c r="M101" s="10">
        <f>D101+Handicap!D101</f>
        <v>0</v>
      </c>
      <c r="N101" s="21">
        <f>E101+Handicap!E101</f>
        <v>0</v>
      </c>
      <c r="O101" s="22">
        <f>F101+Handicap!F101</f>
        <v>0</v>
      </c>
      <c r="P101" s="6">
        <f>G101+Handicap!G101</f>
        <v>0</v>
      </c>
      <c r="Q101" s="2"/>
    </row>
    <row r="102" spans="1:17" x14ac:dyDescent="0.35">
      <c r="A102" s="13" t="s">
        <v>148</v>
      </c>
      <c r="B102" s="8"/>
      <c r="C102" s="9"/>
      <c r="D102" s="10"/>
      <c r="E102" s="21"/>
      <c r="F102" s="22"/>
      <c r="G102" s="6"/>
      <c r="H102" s="4"/>
      <c r="I102" s="2"/>
      <c r="J102" s="13" t="s">
        <v>148</v>
      </c>
      <c r="K102" s="8">
        <f>B102+Handicap!B102</f>
        <v>0</v>
      </c>
      <c r="L102" s="9">
        <f>C102+Handicap!C102</f>
        <v>0</v>
      </c>
      <c r="M102" s="10">
        <f>D102+Handicap!D102</f>
        <v>0</v>
      </c>
      <c r="N102" s="21">
        <f>E102+Handicap!E102</f>
        <v>0</v>
      </c>
      <c r="O102" s="22">
        <f>F102+Handicap!F102</f>
        <v>0</v>
      </c>
      <c r="P102" s="6">
        <f>G102+Handicap!G102</f>
        <v>0</v>
      </c>
      <c r="Q102" s="2"/>
    </row>
    <row r="103" spans="1:17" x14ac:dyDescent="0.35">
      <c r="A103" s="13" t="s">
        <v>149</v>
      </c>
      <c r="B103" s="8"/>
      <c r="C103" s="9"/>
      <c r="D103" s="10"/>
      <c r="E103" s="21"/>
      <c r="F103" s="22"/>
      <c r="G103" s="6"/>
      <c r="H103" s="4"/>
      <c r="I103" s="2"/>
      <c r="J103" s="13" t="s">
        <v>149</v>
      </c>
      <c r="K103" s="8">
        <f>B103+Handicap!B103</f>
        <v>0</v>
      </c>
      <c r="L103" s="9">
        <f>C103+Handicap!C103</f>
        <v>0</v>
      </c>
      <c r="M103" s="10">
        <f>D103+Handicap!D103</f>
        <v>0</v>
      </c>
      <c r="N103" s="21">
        <f>E103+Handicap!E103</f>
        <v>0</v>
      </c>
      <c r="O103" s="22">
        <f>F103+Handicap!F103</f>
        <v>0</v>
      </c>
      <c r="P103" s="6">
        <f>G103+Handicap!G103</f>
        <v>0</v>
      </c>
      <c r="Q103" s="2"/>
    </row>
    <row r="104" spans="1:17" x14ac:dyDescent="0.35">
      <c r="A104" s="13" t="s">
        <v>146</v>
      </c>
      <c r="B104" s="8"/>
      <c r="C104" s="9"/>
      <c r="D104" s="10"/>
      <c r="E104" s="21"/>
      <c r="F104" s="22"/>
      <c r="G104" s="6"/>
      <c r="H104" s="4"/>
      <c r="I104" s="2"/>
      <c r="J104" s="13" t="s">
        <v>146</v>
      </c>
      <c r="K104" s="8">
        <f>B104+Handicap!B104</f>
        <v>0</v>
      </c>
      <c r="L104" s="9">
        <f>C104+Handicap!C104</f>
        <v>0</v>
      </c>
      <c r="M104" s="10">
        <f>D104+Handicap!D104</f>
        <v>0</v>
      </c>
      <c r="N104" s="21">
        <f>E104+Handicap!E104</f>
        <v>0</v>
      </c>
      <c r="O104" s="22">
        <f>F104+Handicap!F104</f>
        <v>0</v>
      </c>
      <c r="P104" s="6">
        <f>G104+Handicap!G104</f>
        <v>0</v>
      </c>
      <c r="Q104" s="2"/>
    </row>
    <row r="105" spans="1:17" x14ac:dyDescent="0.35">
      <c r="A105" s="13" t="s">
        <v>150</v>
      </c>
      <c r="B105" s="8"/>
      <c r="C105" s="9"/>
      <c r="D105" s="10"/>
      <c r="E105" s="21"/>
      <c r="F105" s="22"/>
      <c r="G105" s="6"/>
      <c r="H105" s="4"/>
      <c r="I105" s="2"/>
      <c r="J105" s="13" t="s">
        <v>150</v>
      </c>
      <c r="K105" s="8">
        <f>B105+Handicap!B105</f>
        <v>0</v>
      </c>
      <c r="L105" s="9">
        <f>C105+Handicap!C105</f>
        <v>0</v>
      </c>
      <c r="M105" s="10">
        <f>D105+Handicap!D105</f>
        <v>0</v>
      </c>
      <c r="N105" s="21">
        <f>E105+Handicap!E105</f>
        <v>0</v>
      </c>
      <c r="O105" s="22">
        <f>F105+Handicap!F105</f>
        <v>0</v>
      </c>
      <c r="P105" s="6">
        <f>G105+Handicap!G105</f>
        <v>0</v>
      </c>
      <c r="Q105" s="2"/>
    </row>
    <row r="106" spans="1:17" x14ac:dyDescent="0.35">
      <c r="A106" s="13" t="s">
        <v>151</v>
      </c>
      <c r="B106" s="8"/>
      <c r="C106" s="9"/>
      <c r="D106" s="10"/>
      <c r="E106" s="21"/>
      <c r="F106" s="22"/>
      <c r="G106" s="6"/>
      <c r="H106" s="4"/>
      <c r="I106" s="2"/>
      <c r="J106" s="13" t="s">
        <v>151</v>
      </c>
      <c r="K106" s="8">
        <f>B106+Handicap!B106</f>
        <v>0</v>
      </c>
      <c r="L106" s="9">
        <f>C106+Handicap!C106</f>
        <v>0</v>
      </c>
      <c r="M106" s="10">
        <f>D106+Handicap!D106</f>
        <v>0</v>
      </c>
      <c r="N106" s="21">
        <f>E106+Handicap!E106</f>
        <v>0</v>
      </c>
      <c r="O106" s="22">
        <f>F106+Handicap!F106</f>
        <v>0</v>
      </c>
      <c r="P106" s="6">
        <f>G106+Handicap!G106</f>
        <v>0</v>
      </c>
      <c r="Q106" s="2"/>
    </row>
    <row r="107" spans="1:17" x14ac:dyDescent="0.35">
      <c r="A107" s="13" t="s">
        <v>147</v>
      </c>
      <c r="B107" s="8"/>
      <c r="C107" s="9"/>
      <c r="D107" s="10"/>
      <c r="E107" s="21"/>
      <c r="F107" s="22"/>
      <c r="G107" s="6"/>
      <c r="H107" s="4"/>
      <c r="I107" s="2"/>
      <c r="J107" s="13" t="s">
        <v>147</v>
      </c>
      <c r="K107" s="8">
        <f>B107+Handicap!B107</f>
        <v>0</v>
      </c>
      <c r="L107" s="9">
        <f>C107+Handicap!C107</f>
        <v>0</v>
      </c>
      <c r="M107" s="10">
        <f>D107+Handicap!D107</f>
        <v>0</v>
      </c>
      <c r="N107" s="21">
        <f>E107+Handicap!E107</f>
        <v>0</v>
      </c>
      <c r="O107" s="22">
        <f>F107+Handicap!F107</f>
        <v>0</v>
      </c>
      <c r="P107" s="6">
        <f>G107+Handicap!G107</f>
        <v>0</v>
      </c>
      <c r="Q107" s="2"/>
    </row>
    <row r="108" spans="1:17" x14ac:dyDescent="0.35">
      <c r="A108" s="13" t="s">
        <v>152</v>
      </c>
      <c r="B108" s="8"/>
      <c r="C108" s="9"/>
      <c r="D108" s="10"/>
      <c r="E108" s="21"/>
      <c r="F108" s="22"/>
      <c r="G108" s="6"/>
      <c r="H108" s="4"/>
      <c r="I108" s="2"/>
      <c r="J108" s="13" t="s">
        <v>152</v>
      </c>
      <c r="K108" s="8">
        <f>B108+Handicap!B108</f>
        <v>0</v>
      </c>
      <c r="L108" s="9">
        <f>C108+Handicap!C108</f>
        <v>0</v>
      </c>
      <c r="M108" s="10">
        <f>D108+Handicap!D108</f>
        <v>0</v>
      </c>
      <c r="N108" s="21">
        <f>E108+Handicap!E108</f>
        <v>0</v>
      </c>
      <c r="O108" s="22">
        <f>F108+Handicap!F108</f>
        <v>0</v>
      </c>
      <c r="P108" s="6">
        <f>G108+Handicap!G108</f>
        <v>0</v>
      </c>
      <c r="Q108" s="2"/>
    </row>
    <row r="109" spans="1:17" x14ac:dyDescent="0.35">
      <c r="A109" s="13" t="s">
        <v>153</v>
      </c>
      <c r="B109" s="8"/>
      <c r="C109" s="9"/>
      <c r="D109" s="10"/>
      <c r="E109" s="21"/>
      <c r="F109" s="22"/>
      <c r="G109" s="6"/>
      <c r="H109" s="4"/>
      <c r="I109" s="2"/>
      <c r="J109" s="13" t="s">
        <v>153</v>
      </c>
      <c r="K109" s="8">
        <f>B109+Handicap!B109</f>
        <v>0</v>
      </c>
      <c r="L109" s="9">
        <f>C109+Handicap!C109</f>
        <v>0</v>
      </c>
      <c r="M109" s="10">
        <f>D109+Handicap!D109</f>
        <v>0</v>
      </c>
      <c r="N109" s="21">
        <f>E109+Handicap!E109</f>
        <v>0</v>
      </c>
      <c r="O109" s="22">
        <f>F109+Handicap!F109</f>
        <v>0</v>
      </c>
      <c r="P109" s="6">
        <f>G109+Handicap!G109</f>
        <v>0</v>
      </c>
      <c r="Q109" s="2"/>
    </row>
    <row r="110" spans="1:17" x14ac:dyDescent="0.35">
      <c r="A110" s="13" t="s">
        <v>154</v>
      </c>
      <c r="B110" s="8"/>
      <c r="C110" s="9"/>
      <c r="D110" s="10"/>
      <c r="E110" s="21"/>
      <c r="F110" s="22"/>
      <c r="G110" s="6"/>
      <c r="H110" s="4"/>
      <c r="I110" s="2"/>
      <c r="J110" s="13" t="s">
        <v>154</v>
      </c>
      <c r="K110" s="8">
        <f>B110+Handicap!B110</f>
        <v>0</v>
      </c>
      <c r="L110" s="9">
        <f>C110+Handicap!C110</f>
        <v>0</v>
      </c>
      <c r="M110" s="10">
        <f>D110+Handicap!D110</f>
        <v>0</v>
      </c>
      <c r="N110" s="21">
        <f>E110+Handicap!E110</f>
        <v>0</v>
      </c>
      <c r="O110" s="22">
        <f>F110+Handicap!F110</f>
        <v>0</v>
      </c>
      <c r="P110" s="6">
        <f>G110+Handicap!G110</f>
        <v>0</v>
      </c>
      <c r="Q110" s="2"/>
    </row>
    <row r="111" spans="1:17" x14ac:dyDescent="0.35">
      <c r="A111" s="13" t="s">
        <v>155</v>
      </c>
      <c r="B111" s="8"/>
      <c r="C111" s="9"/>
      <c r="D111" s="10"/>
      <c r="E111" s="21"/>
      <c r="F111" s="22"/>
      <c r="G111" s="6"/>
      <c r="H111" s="4"/>
      <c r="I111" s="2"/>
      <c r="J111" s="13" t="s">
        <v>155</v>
      </c>
      <c r="K111" s="8">
        <f>B111+Handicap!B111</f>
        <v>0</v>
      </c>
      <c r="L111" s="9">
        <f>C111+Handicap!C111</f>
        <v>0</v>
      </c>
      <c r="M111" s="10">
        <f>D111+Handicap!D111</f>
        <v>0</v>
      </c>
      <c r="N111" s="21">
        <f>E111+Handicap!E111</f>
        <v>0</v>
      </c>
      <c r="O111" s="22">
        <f>F111+Handicap!F111</f>
        <v>0</v>
      </c>
      <c r="P111" s="6">
        <f>G111+Handicap!G111</f>
        <v>0</v>
      </c>
      <c r="Q111" s="2"/>
    </row>
    <row r="112" spans="1:17" x14ac:dyDescent="0.35">
      <c r="A112" s="13" t="s">
        <v>156</v>
      </c>
      <c r="B112" s="8"/>
      <c r="C112" s="9"/>
      <c r="D112" s="10"/>
      <c r="E112" s="21"/>
      <c r="F112" s="22"/>
      <c r="G112" s="6"/>
      <c r="H112" s="4"/>
      <c r="I112" s="2"/>
      <c r="J112" s="13" t="s">
        <v>156</v>
      </c>
      <c r="K112" s="8">
        <f>B112+Handicap!B112</f>
        <v>0</v>
      </c>
      <c r="L112" s="9">
        <f>C112+Handicap!C112</f>
        <v>0</v>
      </c>
      <c r="M112" s="10">
        <f>D112+Handicap!D112</f>
        <v>0</v>
      </c>
      <c r="N112" s="21">
        <f>E112+Handicap!E112</f>
        <v>0</v>
      </c>
      <c r="O112" s="22">
        <f>F112+Handicap!F112</f>
        <v>0</v>
      </c>
      <c r="P112" s="6">
        <f>G112+Handicap!G112</f>
        <v>0</v>
      </c>
      <c r="Q112" s="2"/>
    </row>
    <row r="113" spans="1:17" x14ac:dyDescent="0.35">
      <c r="A113" s="2"/>
      <c r="B113" s="2"/>
      <c r="C113" s="2"/>
      <c r="D113" s="2"/>
      <c r="E113" s="2"/>
      <c r="F113" s="2"/>
      <c r="G113" s="2"/>
      <c r="H113" s="2"/>
      <c r="I113" s="2"/>
      <c r="J113" s="14"/>
      <c r="K113" s="14"/>
      <c r="L113" s="14"/>
      <c r="M113" s="14"/>
      <c r="N113" s="14"/>
      <c r="O113" s="14"/>
      <c r="P113" s="14"/>
      <c r="Q113" s="2"/>
    </row>
    <row r="114" spans="1:17" x14ac:dyDescent="0.35">
      <c r="A114" s="2"/>
      <c r="B114" s="2"/>
      <c r="C114" s="2"/>
      <c r="D114" s="2"/>
      <c r="E114" s="2"/>
      <c r="F114" s="2"/>
      <c r="G114" s="2"/>
      <c r="H114" s="2"/>
      <c r="I114" s="2"/>
      <c r="J114" s="14"/>
      <c r="K114" s="14"/>
      <c r="L114" s="14"/>
      <c r="M114" s="14"/>
      <c r="N114" s="14"/>
      <c r="O114" s="14"/>
      <c r="P114" s="14"/>
      <c r="Q114" s="2"/>
    </row>
    <row r="115" spans="1:17" x14ac:dyDescent="0.35">
      <c r="A115" s="2"/>
      <c r="B115" s="2"/>
      <c r="C115" s="2"/>
      <c r="D115" s="2"/>
      <c r="E115" s="2"/>
      <c r="F115" s="2"/>
      <c r="G115" s="2"/>
      <c r="H115" s="2"/>
      <c r="I115" s="2"/>
      <c r="J115" s="14"/>
      <c r="K115" s="14"/>
      <c r="L115" s="14"/>
      <c r="M115" s="14"/>
      <c r="N115" s="14"/>
      <c r="O115" s="14"/>
      <c r="P115" s="14"/>
      <c r="Q115" s="2"/>
    </row>
    <row r="116" spans="1:17" x14ac:dyDescent="0.35">
      <c r="A116" s="2"/>
      <c r="B116" s="2"/>
      <c r="C116" s="2"/>
      <c r="D116" s="2"/>
      <c r="E116" s="2"/>
      <c r="F116" s="2"/>
      <c r="G116" s="2"/>
      <c r="H116" s="2"/>
      <c r="I116" s="2"/>
      <c r="J116" s="14"/>
      <c r="K116" s="14"/>
      <c r="L116" s="14"/>
      <c r="M116" s="14"/>
      <c r="N116" s="14"/>
      <c r="O116" s="14"/>
      <c r="P116" s="14"/>
      <c r="Q116" s="2"/>
    </row>
  </sheetData>
  <mergeCells count="2">
    <mergeCell ref="C2:F2"/>
    <mergeCell ref="L2:O2"/>
  </mergeCells>
  <phoneticPr fontId="4" type="noConversion"/>
  <pageMargins left="0.7" right="0.7" top="0.75" bottom="0.75" header="0.3" footer="0.3"/>
  <pageSetup orientation="portrait" r:id="rId1"/>
  <headerFooter>
    <oddHeader>&amp;L&amp;"Aptos"&amp;12&amp;K03C03C Public&amp;1#_x000D_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EF9BF-426B-4726-B6B0-3CDA02ADCB08}">
  <dimension ref="A1:Q116"/>
  <sheetViews>
    <sheetView workbookViewId="0">
      <pane ySplit="4" topLeftCell="A5" activePane="bottomLeft" state="frozen"/>
      <selection pane="bottomLeft" activeCell="K12" sqref="K12"/>
    </sheetView>
  </sheetViews>
  <sheetFormatPr defaultRowHeight="14.5" x14ac:dyDescent="0.35"/>
  <cols>
    <col min="1" max="1" width="19.26953125" customWidth="1"/>
    <col min="2" max="7" width="10.7265625" customWidth="1"/>
    <col min="10" max="10" width="19.26953125" customWidth="1"/>
    <col min="11" max="16" width="10.7265625" customWidth="1"/>
  </cols>
  <sheetData>
    <row r="1" spans="1:17" x14ac:dyDescent="0.35">
      <c r="A1" s="3"/>
      <c r="B1" s="3"/>
      <c r="C1" s="4"/>
      <c r="D1" s="4"/>
      <c r="E1" s="4"/>
      <c r="F1" s="4"/>
      <c r="G1" s="4"/>
      <c r="H1" s="4"/>
      <c r="I1" s="2"/>
      <c r="J1" s="2"/>
      <c r="K1" s="2"/>
      <c r="L1" s="2"/>
      <c r="M1" s="2"/>
      <c r="N1" s="2"/>
      <c r="O1" s="2"/>
      <c r="P1" s="2"/>
      <c r="Q1" s="2"/>
    </row>
    <row r="2" spans="1:17" x14ac:dyDescent="0.35">
      <c r="A2" s="3"/>
      <c r="B2" s="2"/>
      <c r="C2" s="244" t="s">
        <v>42</v>
      </c>
      <c r="D2" s="245"/>
      <c r="E2" s="245"/>
      <c r="F2" s="245"/>
      <c r="G2" s="2"/>
      <c r="H2" s="2"/>
      <c r="I2" s="2"/>
      <c r="J2" s="2"/>
      <c r="K2" s="2"/>
      <c r="L2" s="244" t="s">
        <v>43</v>
      </c>
      <c r="M2" s="245"/>
      <c r="N2" s="245"/>
      <c r="O2" s="245"/>
      <c r="P2" s="2"/>
      <c r="Q2" s="2"/>
    </row>
    <row r="3" spans="1:17" x14ac:dyDescent="0.35">
      <c r="A3" s="3"/>
      <c r="B3" s="2"/>
      <c r="C3" s="2"/>
      <c r="D3" s="2"/>
      <c r="E3" s="2"/>
      <c r="F3" s="2"/>
      <c r="G3" s="2"/>
      <c r="H3" s="2"/>
      <c r="I3" s="2"/>
      <c r="J3" s="3"/>
      <c r="K3" s="2"/>
      <c r="L3" s="2"/>
      <c r="M3" s="2"/>
      <c r="N3" s="2"/>
      <c r="O3" s="2"/>
      <c r="P3" s="2"/>
      <c r="Q3" s="2"/>
    </row>
    <row r="4" spans="1:17" x14ac:dyDescent="0.35">
      <c r="A4" s="12"/>
      <c r="B4" s="15" t="s">
        <v>0</v>
      </c>
      <c r="C4" s="16" t="s">
        <v>1</v>
      </c>
      <c r="D4" s="17" t="s">
        <v>2</v>
      </c>
      <c r="E4" s="24" t="s">
        <v>3</v>
      </c>
      <c r="F4" s="23" t="s">
        <v>4</v>
      </c>
      <c r="G4" s="18" t="s">
        <v>5</v>
      </c>
      <c r="H4" s="4"/>
      <c r="I4" s="2"/>
      <c r="J4" s="12"/>
      <c r="K4" s="15" t="s">
        <v>0</v>
      </c>
      <c r="L4" s="16" t="s">
        <v>1</v>
      </c>
      <c r="M4" s="17" t="s">
        <v>2</v>
      </c>
      <c r="N4" s="24" t="s">
        <v>3</v>
      </c>
      <c r="O4" s="23" t="s">
        <v>4</v>
      </c>
      <c r="P4" s="18" t="s">
        <v>5</v>
      </c>
      <c r="Q4" s="2"/>
    </row>
    <row r="5" spans="1:17" x14ac:dyDescent="0.35">
      <c r="A5" s="13" t="s">
        <v>49</v>
      </c>
      <c r="B5" s="8">
        <v>248</v>
      </c>
      <c r="C5" s="9">
        <v>177</v>
      </c>
      <c r="D5" s="10">
        <v>213</v>
      </c>
      <c r="E5" s="21">
        <v>184</v>
      </c>
      <c r="F5" s="22">
        <v>223</v>
      </c>
      <c r="G5" s="177"/>
      <c r="H5" s="4"/>
      <c r="I5" s="4"/>
      <c r="J5" s="13" t="s">
        <v>49</v>
      </c>
      <c r="K5" s="8">
        <f>B5+Handicap!K5</f>
        <v>248</v>
      </c>
      <c r="L5" s="9">
        <f>C5+Handicap!L5</f>
        <v>178</v>
      </c>
      <c r="M5" s="10">
        <f>D5+Handicap!M5</f>
        <v>213</v>
      </c>
      <c r="N5" s="21">
        <f>E5+Handicap!N5</f>
        <v>188</v>
      </c>
      <c r="O5" s="22">
        <f>F5+Handicap!O5</f>
        <v>223</v>
      </c>
      <c r="P5" s="177"/>
      <c r="Q5" s="2"/>
    </row>
    <row r="6" spans="1:17" x14ac:dyDescent="0.35">
      <c r="A6" s="13" t="s">
        <v>50</v>
      </c>
      <c r="B6" s="8">
        <v>211</v>
      </c>
      <c r="C6" s="9">
        <v>191</v>
      </c>
      <c r="D6" s="10">
        <v>196</v>
      </c>
      <c r="E6" s="21">
        <v>209</v>
      </c>
      <c r="F6" s="22">
        <v>194</v>
      </c>
      <c r="G6" s="177"/>
      <c r="H6" s="4"/>
      <c r="I6" s="4"/>
      <c r="J6" s="13" t="s">
        <v>50</v>
      </c>
      <c r="K6" s="8">
        <f>B6+Handicap!K6</f>
        <v>211</v>
      </c>
      <c r="L6" s="9">
        <f>C6+Handicap!L6</f>
        <v>192</v>
      </c>
      <c r="M6" s="10">
        <f>D6+Handicap!M6</f>
        <v>196</v>
      </c>
      <c r="N6" s="21">
        <f>E6+Handicap!N6</f>
        <v>213</v>
      </c>
      <c r="O6" s="22">
        <f>F6+Handicap!O6</f>
        <v>194</v>
      </c>
      <c r="P6" s="177"/>
      <c r="Q6" s="2"/>
    </row>
    <row r="7" spans="1:17" x14ac:dyDescent="0.35">
      <c r="A7" s="13" t="s">
        <v>51</v>
      </c>
      <c r="B7" s="8">
        <v>205</v>
      </c>
      <c r="C7" s="9">
        <v>175</v>
      </c>
      <c r="D7" s="10">
        <v>192</v>
      </c>
      <c r="E7" s="21">
        <v>248</v>
      </c>
      <c r="F7" s="22">
        <v>205</v>
      </c>
      <c r="G7" s="177"/>
      <c r="H7" s="4"/>
      <c r="I7" s="4"/>
      <c r="J7" s="13" t="s">
        <v>51</v>
      </c>
      <c r="K7" s="8">
        <f>B7+Handicap!K7</f>
        <v>205</v>
      </c>
      <c r="L7" s="9">
        <f>C7+Handicap!L7</f>
        <v>176</v>
      </c>
      <c r="M7" s="10">
        <f>D7+Handicap!M7</f>
        <v>192</v>
      </c>
      <c r="N7" s="21">
        <f>E7+Handicap!N7</f>
        <v>252</v>
      </c>
      <c r="O7" s="22">
        <f>F7+Handicap!O7</f>
        <v>205</v>
      </c>
      <c r="P7" s="177"/>
      <c r="Q7" s="2"/>
    </row>
    <row r="8" spans="1:17" x14ac:dyDescent="0.35">
      <c r="A8" s="13" t="s">
        <v>52</v>
      </c>
      <c r="B8" s="8">
        <v>266</v>
      </c>
      <c r="C8" s="9">
        <v>194</v>
      </c>
      <c r="D8" s="10">
        <v>164</v>
      </c>
      <c r="E8" s="21">
        <v>204</v>
      </c>
      <c r="F8" s="22">
        <v>170</v>
      </c>
      <c r="G8" s="177"/>
      <c r="H8" s="4"/>
      <c r="I8" s="4"/>
      <c r="J8" s="13" t="s">
        <v>52</v>
      </c>
      <c r="K8" s="8">
        <f>B8+Handicap!K8</f>
        <v>266</v>
      </c>
      <c r="L8" s="9">
        <f>C8+Handicap!L8</f>
        <v>199</v>
      </c>
      <c r="M8" s="10">
        <f>D8+Handicap!M8</f>
        <v>164</v>
      </c>
      <c r="N8" s="21">
        <f>E8+Handicap!N8</f>
        <v>204</v>
      </c>
      <c r="O8" s="22">
        <f>F8+Handicap!O8</f>
        <v>170</v>
      </c>
      <c r="P8" s="177"/>
      <c r="Q8" s="2"/>
    </row>
    <row r="9" spans="1:17" x14ac:dyDescent="0.35">
      <c r="A9" s="13" t="s">
        <v>53</v>
      </c>
      <c r="B9" s="8">
        <v>194</v>
      </c>
      <c r="C9" s="9">
        <v>240</v>
      </c>
      <c r="D9" s="10">
        <v>211</v>
      </c>
      <c r="E9" s="21">
        <v>238</v>
      </c>
      <c r="F9" s="22">
        <v>153</v>
      </c>
      <c r="G9" s="177"/>
      <c r="H9" s="4"/>
      <c r="I9" s="4"/>
      <c r="J9" s="13" t="s">
        <v>53</v>
      </c>
      <c r="K9" s="8">
        <f>B9+Handicap!K9</f>
        <v>194</v>
      </c>
      <c r="L9" s="9">
        <f>C9+Handicap!L9</f>
        <v>245</v>
      </c>
      <c r="M9" s="10">
        <f>D9+Handicap!M9</f>
        <v>211</v>
      </c>
      <c r="N9" s="21">
        <f>E9+Handicap!N9</f>
        <v>238</v>
      </c>
      <c r="O9" s="22">
        <f>F9+Handicap!O9</f>
        <v>153</v>
      </c>
      <c r="P9" s="177"/>
      <c r="Q9" s="2"/>
    </row>
    <row r="10" spans="1:17" x14ac:dyDescent="0.35">
      <c r="A10" s="13" t="s">
        <v>54</v>
      </c>
      <c r="B10" s="8">
        <v>182</v>
      </c>
      <c r="C10" s="9">
        <v>225</v>
      </c>
      <c r="D10" s="10">
        <v>246</v>
      </c>
      <c r="E10" s="21">
        <v>203</v>
      </c>
      <c r="F10" s="22">
        <v>169</v>
      </c>
      <c r="G10" s="177"/>
      <c r="H10" s="4"/>
      <c r="I10" s="4"/>
      <c r="J10" s="13" t="s">
        <v>54</v>
      </c>
      <c r="K10" s="8">
        <f>B10+Handicap!K10</f>
        <v>182</v>
      </c>
      <c r="L10" s="9">
        <f>C10+Handicap!L10</f>
        <v>230</v>
      </c>
      <c r="M10" s="10">
        <f>D10+Handicap!M10</f>
        <v>246</v>
      </c>
      <c r="N10" s="21">
        <f>E10+Handicap!N10</f>
        <v>203</v>
      </c>
      <c r="O10" s="22">
        <f>F10+Handicap!O10</f>
        <v>169</v>
      </c>
      <c r="P10" s="177"/>
      <c r="Q10" s="2"/>
    </row>
    <row r="11" spans="1:17" x14ac:dyDescent="0.35">
      <c r="A11" s="13" t="s">
        <v>55</v>
      </c>
      <c r="B11" s="177"/>
      <c r="C11" s="9">
        <v>226</v>
      </c>
      <c r="D11" s="10">
        <v>185</v>
      </c>
      <c r="E11" s="21">
        <v>185</v>
      </c>
      <c r="F11" s="177"/>
      <c r="G11" s="6">
        <v>172</v>
      </c>
      <c r="H11" s="4"/>
      <c r="I11" s="4"/>
      <c r="J11" s="13" t="s">
        <v>55</v>
      </c>
      <c r="K11" s="177"/>
      <c r="L11" s="9">
        <f>C11+Handicap!L11</f>
        <v>226</v>
      </c>
      <c r="M11" s="10">
        <f>D11+Handicap!M11</f>
        <v>187</v>
      </c>
      <c r="N11" s="21">
        <f>E11+Handicap!N11</f>
        <v>186</v>
      </c>
      <c r="O11" s="177"/>
      <c r="P11" s="6">
        <f>G11+Handicap!P11</f>
        <v>196</v>
      </c>
      <c r="Q11" s="2"/>
    </row>
    <row r="12" spans="1:17" x14ac:dyDescent="0.35">
      <c r="A12" s="13" t="s">
        <v>56</v>
      </c>
      <c r="B12" s="177"/>
      <c r="C12" s="9">
        <v>214</v>
      </c>
      <c r="D12" s="10">
        <v>185</v>
      </c>
      <c r="E12" s="21">
        <v>185</v>
      </c>
      <c r="F12" s="177"/>
      <c r="G12" s="6">
        <v>165</v>
      </c>
      <c r="H12" s="4"/>
      <c r="I12" s="4"/>
      <c r="J12" s="13" t="s">
        <v>56</v>
      </c>
      <c r="K12" s="177"/>
      <c r="L12" s="9">
        <f>C12+Handicap!L12</f>
        <v>214</v>
      </c>
      <c r="M12" s="10">
        <f>D12+Handicap!M12</f>
        <v>187</v>
      </c>
      <c r="N12" s="21">
        <f>E12+Handicap!N12</f>
        <v>186</v>
      </c>
      <c r="O12" s="177"/>
      <c r="P12" s="6">
        <f>G12+Handicap!P12</f>
        <v>189</v>
      </c>
      <c r="Q12" s="2"/>
    </row>
    <row r="13" spans="1:17" x14ac:dyDescent="0.35">
      <c r="A13" s="13" t="s">
        <v>57</v>
      </c>
      <c r="B13" s="177"/>
      <c r="C13" s="9">
        <v>267</v>
      </c>
      <c r="D13" s="10">
        <v>185</v>
      </c>
      <c r="E13" s="21">
        <v>185</v>
      </c>
      <c r="F13" s="177"/>
      <c r="G13" s="6">
        <v>177</v>
      </c>
      <c r="H13" s="4"/>
      <c r="I13" s="4"/>
      <c r="J13" s="13" t="s">
        <v>57</v>
      </c>
      <c r="K13" s="177"/>
      <c r="L13" s="9">
        <f>C13+Handicap!L13</f>
        <v>267</v>
      </c>
      <c r="M13" s="10">
        <f>D13+Handicap!M13</f>
        <v>187</v>
      </c>
      <c r="N13" s="21">
        <f>E13+Handicap!N13</f>
        <v>186</v>
      </c>
      <c r="O13" s="177"/>
      <c r="P13" s="6">
        <f>G13+Handicap!P13</f>
        <v>201</v>
      </c>
      <c r="Q13" s="2"/>
    </row>
    <row r="14" spans="1:17" x14ac:dyDescent="0.35">
      <c r="A14" s="13" t="s">
        <v>58</v>
      </c>
      <c r="B14" s="8"/>
      <c r="C14" s="9"/>
      <c r="D14" s="10"/>
      <c r="E14" s="21"/>
      <c r="F14" s="22"/>
      <c r="G14" s="6"/>
      <c r="H14" s="4"/>
      <c r="I14" s="4"/>
      <c r="J14" s="13" t="s">
        <v>58</v>
      </c>
      <c r="K14" s="8">
        <f>B14+Handicap!K14</f>
        <v>0</v>
      </c>
      <c r="L14" s="9">
        <f>C14+Handicap!L14</f>
        <v>0</v>
      </c>
      <c r="M14" s="10">
        <f>D14+Handicap!M14</f>
        <v>0</v>
      </c>
      <c r="N14" s="21">
        <f>E14+Handicap!N14</f>
        <v>0</v>
      </c>
      <c r="O14" s="22">
        <f>F14+Handicap!O14</f>
        <v>0</v>
      </c>
      <c r="P14" s="6">
        <f>G14+Handicap!P14</f>
        <v>0</v>
      </c>
      <c r="Q14" s="2"/>
    </row>
    <row r="15" spans="1:17" x14ac:dyDescent="0.35">
      <c r="A15" s="13" t="s">
        <v>59</v>
      </c>
      <c r="B15" s="8"/>
      <c r="C15" s="9"/>
      <c r="D15" s="10"/>
      <c r="E15" s="21"/>
      <c r="F15" s="22"/>
      <c r="G15" s="6"/>
      <c r="H15" s="4"/>
      <c r="I15" s="4"/>
      <c r="J15" s="13" t="s">
        <v>59</v>
      </c>
      <c r="K15" s="8">
        <f>B15+Handicap!K15</f>
        <v>0</v>
      </c>
      <c r="L15" s="9">
        <f>C15+Handicap!L15</f>
        <v>0</v>
      </c>
      <c r="M15" s="10">
        <f>D15+Handicap!M15</f>
        <v>0</v>
      </c>
      <c r="N15" s="21">
        <f>E15+Handicap!N15</f>
        <v>0</v>
      </c>
      <c r="O15" s="22">
        <f>F15+Handicap!O15</f>
        <v>0</v>
      </c>
      <c r="P15" s="6">
        <f>G15+Handicap!P15</f>
        <v>0</v>
      </c>
      <c r="Q15" s="2"/>
    </row>
    <row r="16" spans="1:17" x14ac:dyDescent="0.35">
      <c r="A16" s="13" t="s">
        <v>60</v>
      </c>
      <c r="B16" s="8"/>
      <c r="C16" s="9"/>
      <c r="D16" s="10"/>
      <c r="E16" s="21"/>
      <c r="F16" s="22"/>
      <c r="G16" s="6"/>
      <c r="H16" s="4"/>
      <c r="I16" s="4"/>
      <c r="J16" s="13" t="s">
        <v>60</v>
      </c>
      <c r="K16" s="8">
        <f>B16+Handicap!K16</f>
        <v>0</v>
      </c>
      <c r="L16" s="9">
        <f>C16+Handicap!L16</f>
        <v>0</v>
      </c>
      <c r="M16" s="10">
        <f>D16+Handicap!M16</f>
        <v>0</v>
      </c>
      <c r="N16" s="21">
        <f>E16+Handicap!N16</f>
        <v>0</v>
      </c>
      <c r="O16" s="22">
        <f>F16+Handicap!O16</f>
        <v>0</v>
      </c>
      <c r="P16" s="6">
        <f>G16+Handicap!P16</f>
        <v>0</v>
      </c>
      <c r="Q16" s="2"/>
    </row>
    <row r="17" spans="1:17" x14ac:dyDescent="0.35">
      <c r="A17" s="13" t="s">
        <v>61</v>
      </c>
      <c r="B17" s="8"/>
      <c r="C17" s="9"/>
      <c r="D17" s="10"/>
      <c r="E17" s="21"/>
      <c r="F17" s="22"/>
      <c r="G17" s="6"/>
      <c r="H17" s="4"/>
      <c r="I17" s="4"/>
      <c r="J17" s="13" t="s">
        <v>61</v>
      </c>
      <c r="K17" s="8">
        <f>B17+Handicap!K17</f>
        <v>0</v>
      </c>
      <c r="L17" s="9">
        <f>C17+Handicap!L17</f>
        <v>0</v>
      </c>
      <c r="M17" s="10">
        <f>D17+Handicap!M17</f>
        <v>0</v>
      </c>
      <c r="N17" s="21">
        <f>E17+Handicap!N17</f>
        <v>0</v>
      </c>
      <c r="O17" s="22">
        <f>F17+Handicap!O17</f>
        <v>0</v>
      </c>
      <c r="P17" s="6">
        <f>G17+Handicap!P17</f>
        <v>0</v>
      </c>
      <c r="Q17" s="2"/>
    </row>
    <row r="18" spans="1:17" x14ac:dyDescent="0.35">
      <c r="A18" s="13" t="s">
        <v>62</v>
      </c>
      <c r="B18" s="8"/>
      <c r="C18" s="9"/>
      <c r="D18" s="10"/>
      <c r="E18" s="21"/>
      <c r="F18" s="22"/>
      <c r="G18" s="6"/>
      <c r="H18" s="4"/>
      <c r="I18" s="4"/>
      <c r="J18" s="13" t="s">
        <v>62</v>
      </c>
      <c r="K18" s="8">
        <f>B18+Handicap!K18</f>
        <v>0</v>
      </c>
      <c r="L18" s="9">
        <f>C18+Handicap!L18</f>
        <v>0</v>
      </c>
      <c r="M18" s="10">
        <f>D18+Handicap!M18</f>
        <v>0</v>
      </c>
      <c r="N18" s="21">
        <f>E18+Handicap!N18</f>
        <v>0</v>
      </c>
      <c r="O18" s="22">
        <f>F18+Handicap!O18</f>
        <v>0</v>
      </c>
      <c r="P18" s="6">
        <f>G18+Handicap!P18</f>
        <v>0</v>
      </c>
      <c r="Q18" s="2"/>
    </row>
    <row r="19" spans="1:17" x14ac:dyDescent="0.35">
      <c r="A19" s="13" t="s">
        <v>63</v>
      </c>
      <c r="B19" s="8"/>
      <c r="C19" s="9"/>
      <c r="D19" s="10"/>
      <c r="E19" s="21"/>
      <c r="F19" s="22"/>
      <c r="G19" s="6"/>
      <c r="H19" s="4"/>
      <c r="I19" s="4"/>
      <c r="J19" s="13" t="s">
        <v>63</v>
      </c>
      <c r="K19" s="8">
        <f>B19+Handicap!K19</f>
        <v>0</v>
      </c>
      <c r="L19" s="9">
        <f>C19+Handicap!L19</f>
        <v>0</v>
      </c>
      <c r="M19" s="10">
        <f>D19+Handicap!M19</f>
        <v>0</v>
      </c>
      <c r="N19" s="21">
        <f>E19+Handicap!N19</f>
        <v>0</v>
      </c>
      <c r="O19" s="22">
        <f>F19+Handicap!O19</f>
        <v>0</v>
      </c>
      <c r="P19" s="6">
        <f>G19+Handicap!P19</f>
        <v>0</v>
      </c>
      <c r="Q19" s="2"/>
    </row>
    <row r="20" spans="1:17" x14ac:dyDescent="0.35">
      <c r="A20" s="13" t="s">
        <v>64</v>
      </c>
      <c r="B20" s="8"/>
      <c r="C20" s="9"/>
      <c r="D20" s="10"/>
      <c r="E20" s="21"/>
      <c r="F20" s="22"/>
      <c r="G20" s="6"/>
      <c r="H20" s="4"/>
      <c r="I20" s="4"/>
      <c r="J20" s="13" t="s">
        <v>64</v>
      </c>
      <c r="K20" s="8">
        <f>B20+Handicap!K20</f>
        <v>0</v>
      </c>
      <c r="L20" s="9">
        <f>C20+Handicap!L20</f>
        <v>0</v>
      </c>
      <c r="M20" s="10">
        <f>D20+Handicap!M20</f>
        <v>0</v>
      </c>
      <c r="N20" s="21">
        <f>E20+Handicap!N20</f>
        <v>0</v>
      </c>
      <c r="O20" s="22">
        <f>F20+Handicap!O20</f>
        <v>0</v>
      </c>
      <c r="P20" s="6">
        <f>G20+Handicap!P20</f>
        <v>0</v>
      </c>
      <c r="Q20" s="2"/>
    </row>
    <row r="21" spans="1:17" x14ac:dyDescent="0.35">
      <c r="A21" s="13" t="s">
        <v>67</v>
      </c>
      <c r="B21" s="8"/>
      <c r="C21" s="9"/>
      <c r="D21" s="10"/>
      <c r="E21" s="21"/>
      <c r="F21" s="22"/>
      <c r="G21" s="6"/>
      <c r="H21" s="4"/>
      <c r="I21" s="4"/>
      <c r="J21" s="13" t="s">
        <v>67</v>
      </c>
      <c r="K21" s="8">
        <f>B21+Handicap!K21</f>
        <v>0</v>
      </c>
      <c r="L21" s="9">
        <f>C21+Handicap!L21</f>
        <v>0</v>
      </c>
      <c r="M21" s="10">
        <f>D21+Handicap!M21</f>
        <v>0</v>
      </c>
      <c r="N21" s="21">
        <f>E21+Handicap!N21</f>
        <v>0</v>
      </c>
      <c r="O21" s="22">
        <f>F21+Handicap!O21</f>
        <v>0</v>
      </c>
      <c r="P21" s="6">
        <f>G21+Handicap!P21</f>
        <v>0</v>
      </c>
      <c r="Q21" s="2"/>
    </row>
    <row r="22" spans="1:17" x14ac:dyDescent="0.35">
      <c r="A22" s="13" t="s">
        <v>66</v>
      </c>
      <c r="B22" s="8"/>
      <c r="C22" s="9"/>
      <c r="D22" s="10"/>
      <c r="E22" s="21"/>
      <c r="F22" s="22"/>
      <c r="G22" s="6"/>
      <c r="H22" s="4"/>
      <c r="I22" s="4"/>
      <c r="J22" s="13" t="s">
        <v>66</v>
      </c>
      <c r="K22" s="8">
        <f>B22+Handicap!K22</f>
        <v>0</v>
      </c>
      <c r="L22" s="9">
        <f>C22+Handicap!L22</f>
        <v>0</v>
      </c>
      <c r="M22" s="10">
        <f>D22+Handicap!M22</f>
        <v>0</v>
      </c>
      <c r="N22" s="21">
        <f>E22+Handicap!N22</f>
        <v>0</v>
      </c>
      <c r="O22" s="22">
        <f>F22+Handicap!O22</f>
        <v>0</v>
      </c>
      <c r="P22" s="6">
        <f>G22+Handicap!P22</f>
        <v>0</v>
      </c>
      <c r="Q22" s="2"/>
    </row>
    <row r="23" spans="1:17" x14ac:dyDescent="0.35">
      <c r="A23" s="13" t="s">
        <v>68</v>
      </c>
      <c r="B23" s="8"/>
      <c r="C23" s="9"/>
      <c r="D23" s="10"/>
      <c r="E23" s="21"/>
      <c r="F23" s="22"/>
      <c r="G23" s="6"/>
      <c r="H23" s="4"/>
      <c r="I23" s="4"/>
      <c r="J23" s="13" t="s">
        <v>68</v>
      </c>
      <c r="K23" s="8">
        <f>B23+Handicap!K23</f>
        <v>0</v>
      </c>
      <c r="L23" s="9">
        <f>C23+Handicap!L23</f>
        <v>0</v>
      </c>
      <c r="M23" s="10">
        <f>D23+Handicap!M23</f>
        <v>0</v>
      </c>
      <c r="N23" s="21">
        <f>E23+Handicap!N23</f>
        <v>0</v>
      </c>
      <c r="O23" s="22">
        <f>F23+Handicap!O23</f>
        <v>0</v>
      </c>
      <c r="P23" s="6">
        <f>G23+Handicap!P23</f>
        <v>0</v>
      </c>
      <c r="Q23" s="2"/>
    </row>
    <row r="24" spans="1:17" x14ac:dyDescent="0.35">
      <c r="A24" s="13" t="s">
        <v>65</v>
      </c>
      <c r="B24" s="8"/>
      <c r="C24" s="9"/>
      <c r="D24" s="10"/>
      <c r="E24" s="21"/>
      <c r="F24" s="22"/>
      <c r="G24" s="6"/>
      <c r="H24" s="4"/>
      <c r="I24" s="4"/>
      <c r="J24" s="13" t="s">
        <v>65</v>
      </c>
      <c r="K24" s="8">
        <f>B24+Handicap!K24</f>
        <v>0</v>
      </c>
      <c r="L24" s="9">
        <f>C24+Handicap!L24</f>
        <v>0</v>
      </c>
      <c r="M24" s="10">
        <f>D24+Handicap!M24</f>
        <v>0</v>
      </c>
      <c r="N24" s="21">
        <f>E24+Handicap!N24</f>
        <v>0</v>
      </c>
      <c r="O24" s="22">
        <f>F24+Handicap!O24</f>
        <v>0</v>
      </c>
      <c r="P24" s="6">
        <f>G24+Handicap!P24</f>
        <v>0</v>
      </c>
      <c r="Q24" s="2"/>
    </row>
    <row r="25" spans="1:17" x14ac:dyDescent="0.35">
      <c r="A25" s="13" t="s">
        <v>69</v>
      </c>
      <c r="B25" s="8"/>
      <c r="C25" s="9"/>
      <c r="D25" s="10"/>
      <c r="E25" s="21"/>
      <c r="F25" s="22"/>
      <c r="G25" s="6"/>
      <c r="H25" s="4"/>
      <c r="I25" s="4"/>
      <c r="J25" s="13" t="s">
        <v>69</v>
      </c>
      <c r="K25" s="8">
        <f>B25+Handicap!K25</f>
        <v>0</v>
      </c>
      <c r="L25" s="9">
        <f>C25+Handicap!L25</f>
        <v>0</v>
      </c>
      <c r="M25" s="10">
        <f>D25+Handicap!M25</f>
        <v>0</v>
      </c>
      <c r="N25" s="21">
        <f>E25+Handicap!N25</f>
        <v>0</v>
      </c>
      <c r="O25" s="22">
        <f>F25+Handicap!O25</f>
        <v>0</v>
      </c>
      <c r="P25" s="6">
        <f>G25+Handicap!P25</f>
        <v>0</v>
      </c>
      <c r="Q25" s="2"/>
    </row>
    <row r="26" spans="1:17" x14ac:dyDescent="0.35">
      <c r="A26" s="13" t="s">
        <v>70</v>
      </c>
      <c r="B26" s="8"/>
      <c r="C26" s="9"/>
      <c r="D26" s="10"/>
      <c r="E26" s="21"/>
      <c r="F26" s="22"/>
      <c r="G26" s="6"/>
      <c r="H26" s="4"/>
      <c r="I26" s="4"/>
      <c r="J26" s="13" t="s">
        <v>70</v>
      </c>
      <c r="K26" s="8">
        <f>B26+Handicap!K26</f>
        <v>0</v>
      </c>
      <c r="L26" s="9">
        <f>C26+Handicap!L26</f>
        <v>0</v>
      </c>
      <c r="M26" s="10">
        <f>D26+Handicap!M26</f>
        <v>0</v>
      </c>
      <c r="N26" s="21">
        <f>E26+Handicap!N26</f>
        <v>0</v>
      </c>
      <c r="O26" s="22">
        <f>F26+Handicap!O26</f>
        <v>0</v>
      </c>
      <c r="P26" s="6">
        <f>G26+Handicap!P26</f>
        <v>0</v>
      </c>
      <c r="Q26" s="2"/>
    </row>
    <row r="27" spans="1:17" x14ac:dyDescent="0.35">
      <c r="A27" s="13" t="s">
        <v>71</v>
      </c>
      <c r="B27" s="8"/>
      <c r="C27" s="9"/>
      <c r="D27" s="10"/>
      <c r="E27" s="21"/>
      <c r="F27" s="22"/>
      <c r="G27" s="6"/>
      <c r="H27" s="4"/>
      <c r="I27" s="4"/>
      <c r="J27" s="13" t="s">
        <v>71</v>
      </c>
      <c r="K27" s="8">
        <f>B27+Handicap!K27</f>
        <v>0</v>
      </c>
      <c r="L27" s="9">
        <f>C27+Handicap!L27</f>
        <v>0</v>
      </c>
      <c r="M27" s="10">
        <f>D27+Handicap!M27</f>
        <v>0</v>
      </c>
      <c r="N27" s="21">
        <f>E27+Handicap!N27</f>
        <v>0</v>
      </c>
      <c r="O27" s="22">
        <f>F27+Handicap!O27</f>
        <v>0</v>
      </c>
      <c r="P27" s="6">
        <f>G27+Handicap!P27</f>
        <v>0</v>
      </c>
      <c r="Q27" s="2"/>
    </row>
    <row r="28" spans="1:17" x14ac:dyDescent="0.35">
      <c r="A28" s="13" t="s">
        <v>72</v>
      </c>
      <c r="B28" s="8"/>
      <c r="C28" s="9"/>
      <c r="D28" s="10"/>
      <c r="E28" s="21"/>
      <c r="F28" s="22"/>
      <c r="G28" s="6"/>
      <c r="H28" s="4"/>
      <c r="I28" s="4"/>
      <c r="J28" s="13" t="s">
        <v>72</v>
      </c>
      <c r="K28" s="8">
        <f>B28+Handicap!K28</f>
        <v>0</v>
      </c>
      <c r="L28" s="9">
        <f>C28+Handicap!L28</f>
        <v>0</v>
      </c>
      <c r="M28" s="10">
        <f>D28+Handicap!M28</f>
        <v>0</v>
      </c>
      <c r="N28" s="21">
        <f>E28+Handicap!N28</f>
        <v>0</v>
      </c>
      <c r="O28" s="22">
        <f>F28+Handicap!O28</f>
        <v>0</v>
      </c>
      <c r="P28" s="6">
        <f>G28+Handicap!P28</f>
        <v>0</v>
      </c>
      <c r="Q28" s="2"/>
    </row>
    <row r="29" spans="1:17" x14ac:dyDescent="0.35">
      <c r="A29" s="13" t="s">
        <v>73</v>
      </c>
      <c r="B29" s="8"/>
      <c r="C29" s="9"/>
      <c r="D29" s="10"/>
      <c r="E29" s="21"/>
      <c r="F29" s="22"/>
      <c r="G29" s="6"/>
      <c r="H29" s="4"/>
      <c r="I29" s="4"/>
      <c r="J29" s="13" t="s">
        <v>73</v>
      </c>
      <c r="K29" s="8">
        <f>B29+Handicap!K29</f>
        <v>0</v>
      </c>
      <c r="L29" s="9">
        <f>C29+Handicap!L29</f>
        <v>0</v>
      </c>
      <c r="M29" s="10">
        <f>D29+Handicap!M29</f>
        <v>0</v>
      </c>
      <c r="N29" s="21">
        <f>E29+Handicap!N29</f>
        <v>0</v>
      </c>
      <c r="O29" s="22">
        <f>F29+Handicap!O29</f>
        <v>0</v>
      </c>
      <c r="P29" s="6">
        <f>G29+Handicap!P29</f>
        <v>0</v>
      </c>
      <c r="Q29" s="2"/>
    </row>
    <row r="30" spans="1:17" x14ac:dyDescent="0.35">
      <c r="A30" s="13" t="s">
        <v>74</v>
      </c>
      <c r="B30" s="8"/>
      <c r="C30" s="9"/>
      <c r="D30" s="10"/>
      <c r="E30" s="21"/>
      <c r="F30" s="22"/>
      <c r="G30" s="6"/>
      <c r="H30" s="4"/>
      <c r="I30" s="4"/>
      <c r="J30" s="13" t="s">
        <v>74</v>
      </c>
      <c r="K30" s="8">
        <f>B30+Handicap!K30</f>
        <v>0</v>
      </c>
      <c r="L30" s="9">
        <f>C30+Handicap!L30</f>
        <v>0</v>
      </c>
      <c r="M30" s="10">
        <f>D30+Handicap!M30</f>
        <v>0</v>
      </c>
      <c r="N30" s="21">
        <f>E30+Handicap!N30</f>
        <v>0</v>
      </c>
      <c r="O30" s="22">
        <f>F30+Handicap!O30</f>
        <v>0</v>
      </c>
      <c r="P30" s="6">
        <f>G30+Handicap!P30</f>
        <v>0</v>
      </c>
      <c r="Q30" s="2"/>
    </row>
    <row r="31" spans="1:17" x14ac:dyDescent="0.35">
      <c r="A31" s="13" t="s">
        <v>75</v>
      </c>
      <c r="B31" s="8"/>
      <c r="C31" s="9"/>
      <c r="D31" s="10"/>
      <c r="E31" s="21"/>
      <c r="F31" s="22"/>
      <c r="G31" s="6"/>
      <c r="H31" s="4"/>
      <c r="I31" s="4"/>
      <c r="J31" s="13" t="s">
        <v>75</v>
      </c>
      <c r="K31" s="8">
        <f>B31+Handicap!K31</f>
        <v>0</v>
      </c>
      <c r="L31" s="9">
        <f>C31+Handicap!L31</f>
        <v>0</v>
      </c>
      <c r="M31" s="10">
        <f>D31+Handicap!M31</f>
        <v>0</v>
      </c>
      <c r="N31" s="21">
        <f>E31+Handicap!N31</f>
        <v>0</v>
      </c>
      <c r="O31" s="22">
        <f>F31+Handicap!O31</f>
        <v>0</v>
      </c>
      <c r="P31" s="6">
        <f>G31+Handicap!P31</f>
        <v>0</v>
      </c>
      <c r="Q31" s="2"/>
    </row>
    <row r="32" spans="1:17" x14ac:dyDescent="0.35">
      <c r="A32" s="13" t="s">
        <v>76</v>
      </c>
      <c r="B32" s="8"/>
      <c r="C32" s="9"/>
      <c r="D32" s="10"/>
      <c r="E32" s="21"/>
      <c r="F32" s="22"/>
      <c r="G32" s="6"/>
      <c r="H32" s="4"/>
      <c r="I32" s="4"/>
      <c r="J32" s="13" t="s">
        <v>76</v>
      </c>
      <c r="K32" s="8">
        <f>B32+Handicap!K32</f>
        <v>0</v>
      </c>
      <c r="L32" s="9">
        <f>C32+Handicap!L32</f>
        <v>0</v>
      </c>
      <c r="M32" s="10">
        <f>D32+Handicap!M32</f>
        <v>0</v>
      </c>
      <c r="N32" s="21">
        <f>E32+Handicap!N32</f>
        <v>0</v>
      </c>
      <c r="O32" s="22">
        <f>F32+Handicap!O32</f>
        <v>0</v>
      </c>
      <c r="P32" s="6">
        <f>G32+Handicap!P32</f>
        <v>0</v>
      </c>
      <c r="Q32" s="2"/>
    </row>
    <row r="33" spans="1:17" x14ac:dyDescent="0.35">
      <c r="A33" s="13" t="s">
        <v>77</v>
      </c>
      <c r="B33" s="8"/>
      <c r="C33" s="9"/>
      <c r="D33" s="10"/>
      <c r="E33" s="21"/>
      <c r="F33" s="22"/>
      <c r="G33" s="6"/>
      <c r="H33" s="4"/>
      <c r="I33" s="4"/>
      <c r="J33" s="13" t="s">
        <v>77</v>
      </c>
      <c r="K33" s="8">
        <f>B33+Handicap!K33</f>
        <v>0</v>
      </c>
      <c r="L33" s="9">
        <f>C33+Handicap!L33</f>
        <v>0</v>
      </c>
      <c r="M33" s="10">
        <f>D33+Handicap!M33</f>
        <v>0</v>
      </c>
      <c r="N33" s="21">
        <f>E33+Handicap!N33</f>
        <v>0</v>
      </c>
      <c r="O33" s="22">
        <f>F33+Handicap!O33</f>
        <v>0</v>
      </c>
      <c r="P33" s="6">
        <f>G33+Handicap!P33</f>
        <v>0</v>
      </c>
      <c r="Q33" s="2"/>
    </row>
    <row r="34" spans="1:17" x14ac:dyDescent="0.35">
      <c r="A34" s="13" t="s">
        <v>78</v>
      </c>
      <c r="B34" s="8"/>
      <c r="C34" s="9"/>
      <c r="D34" s="10"/>
      <c r="E34" s="21"/>
      <c r="F34" s="22"/>
      <c r="G34" s="6"/>
      <c r="H34" s="4"/>
      <c r="I34" s="4"/>
      <c r="J34" s="13" t="s">
        <v>78</v>
      </c>
      <c r="K34" s="8">
        <f>B34+Handicap!K34</f>
        <v>0</v>
      </c>
      <c r="L34" s="9">
        <f>C34+Handicap!L34</f>
        <v>0</v>
      </c>
      <c r="M34" s="10">
        <f>D34+Handicap!M34</f>
        <v>0</v>
      </c>
      <c r="N34" s="21">
        <f>E34+Handicap!N34</f>
        <v>0</v>
      </c>
      <c r="O34" s="22">
        <f>F34+Handicap!O34</f>
        <v>0</v>
      </c>
      <c r="P34" s="6">
        <f>G34+Handicap!P34</f>
        <v>0</v>
      </c>
      <c r="Q34" s="2"/>
    </row>
    <row r="35" spans="1:17" x14ac:dyDescent="0.35">
      <c r="A35" s="13" t="s">
        <v>79</v>
      </c>
      <c r="B35" s="8"/>
      <c r="C35" s="9"/>
      <c r="D35" s="10"/>
      <c r="E35" s="21"/>
      <c r="F35" s="22"/>
      <c r="G35" s="6"/>
      <c r="H35" s="4"/>
      <c r="I35" s="4"/>
      <c r="J35" s="13" t="s">
        <v>79</v>
      </c>
      <c r="K35" s="8">
        <f>B35+Handicap!K35</f>
        <v>0</v>
      </c>
      <c r="L35" s="9">
        <f>C35+Handicap!L35</f>
        <v>0</v>
      </c>
      <c r="M35" s="10">
        <f>D35+Handicap!M35</f>
        <v>0</v>
      </c>
      <c r="N35" s="21">
        <f>E35+Handicap!N35</f>
        <v>0</v>
      </c>
      <c r="O35" s="22">
        <f>F35+Handicap!O35</f>
        <v>0</v>
      </c>
      <c r="P35" s="6">
        <f>G35+Handicap!P35</f>
        <v>0</v>
      </c>
      <c r="Q35" s="2"/>
    </row>
    <row r="36" spans="1:17" x14ac:dyDescent="0.35">
      <c r="A36" s="13" t="s">
        <v>80</v>
      </c>
      <c r="B36" s="8"/>
      <c r="C36" s="9"/>
      <c r="D36" s="10"/>
      <c r="E36" s="21"/>
      <c r="F36" s="22"/>
      <c r="G36" s="6"/>
      <c r="H36" s="4"/>
      <c r="I36" s="4"/>
      <c r="J36" s="13" t="s">
        <v>80</v>
      </c>
      <c r="K36" s="8">
        <f>B36+Handicap!K36</f>
        <v>0</v>
      </c>
      <c r="L36" s="9">
        <f>C36+Handicap!L36</f>
        <v>0</v>
      </c>
      <c r="M36" s="10">
        <f>D36+Handicap!M36</f>
        <v>0</v>
      </c>
      <c r="N36" s="21">
        <f>E36+Handicap!N36</f>
        <v>0</v>
      </c>
      <c r="O36" s="22">
        <f>F36+Handicap!O36</f>
        <v>0</v>
      </c>
      <c r="P36" s="6">
        <f>G36+Handicap!P36</f>
        <v>0</v>
      </c>
      <c r="Q36" s="2"/>
    </row>
    <row r="37" spans="1:17" x14ac:dyDescent="0.35">
      <c r="A37" s="13" t="s">
        <v>81</v>
      </c>
      <c r="B37" s="8"/>
      <c r="C37" s="9"/>
      <c r="D37" s="10"/>
      <c r="E37" s="21"/>
      <c r="F37" s="22"/>
      <c r="G37" s="6"/>
      <c r="H37" s="4"/>
      <c r="I37" s="4"/>
      <c r="J37" s="13" t="s">
        <v>81</v>
      </c>
      <c r="K37" s="8">
        <f>B37+Handicap!K37</f>
        <v>0</v>
      </c>
      <c r="L37" s="9">
        <f>C37+Handicap!L37</f>
        <v>0</v>
      </c>
      <c r="M37" s="10">
        <f>D37+Handicap!M37</f>
        <v>0</v>
      </c>
      <c r="N37" s="21">
        <f>E37+Handicap!N37</f>
        <v>0</v>
      </c>
      <c r="O37" s="22">
        <f>F37+Handicap!O37</f>
        <v>0</v>
      </c>
      <c r="P37" s="6">
        <f>G37+Handicap!P37</f>
        <v>0</v>
      </c>
      <c r="Q37" s="2"/>
    </row>
    <row r="38" spans="1:17" x14ac:dyDescent="0.35">
      <c r="A38" s="13" t="s">
        <v>82</v>
      </c>
      <c r="B38" s="8"/>
      <c r="C38" s="9"/>
      <c r="D38" s="10"/>
      <c r="E38" s="21"/>
      <c r="F38" s="22"/>
      <c r="G38" s="6"/>
      <c r="H38" s="4"/>
      <c r="I38" s="4"/>
      <c r="J38" s="13" t="s">
        <v>82</v>
      </c>
      <c r="K38" s="8">
        <f>B38+Handicap!K38</f>
        <v>0</v>
      </c>
      <c r="L38" s="9">
        <f>C38+Handicap!L38</f>
        <v>0</v>
      </c>
      <c r="M38" s="10">
        <f>D38+Handicap!M38</f>
        <v>0</v>
      </c>
      <c r="N38" s="21">
        <f>E38+Handicap!N38</f>
        <v>0</v>
      </c>
      <c r="O38" s="22">
        <f>F38+Handicap!O38</f>
        <v>0</v>
      </c>
      <c r="P38" s="6">
        <f>G38+Handicap!P38</f>
        <v>0</v>
      </c>
      <c r="Q38" s="2"/>
    </row>
    <row r="39" spans="1:17" x14ac:dyDescent="0.35">
      <c r="A39" s="13" t="s">
        <v>83</v>
      </c>
      <c r="B39" s="8"/>
      <c r="C39" s="9"/>
      <c r="D39" s="10"/>
      <c r="E39" s="21"/>
      <c r="F39" s="22"/>
      <c r="G39" s="6"/>
      <c r="H39" s="4"/>
      <c r="I39" s="4"/>
      <c r="J39" s="13" t="s">
        <v>83</v>
      </c>
      <c r="K39" s="8">
        <f>B39+Handicap!K39</f>
        <v>0</v>
      </c>
      <c r="L39" s="9">
        <f>C39+Handicap!L39</f>
        <v>0</v>
      </c>
      <c r="M39" s="10">
        <f>D39+Handicap!M39</f>
        <v>0</v>
      </c>
      <c r="N39" s="21">
        <f>E39+Handicap!N39</f>
        <v>0</v>
      </c>
      <c r="O39" s="22">
        <f>F39+Handicap!O39</f>
        <v>0</v>
      </c>
      <c r="P39" s="6">
        <f>G39+Handicap!P39</f>
        <v>0</v>
      </c>
      <c r="Q39" s="2"/>
    </row>
    <row r="40" spans="1:17" x14ac:dyDescent="0.35">
      <c r="A40" s="13" t="s">
        <v>84</v>
      </c>
      <c r="B40" s="8"/>
      <c r="C40" s="9"/>
      <c r="D40" s="10"/>
      <c r="E40" s="21"/>
      <c r="F40" s="22"/>
      <c r="G40" s="6"/>
      <c r="H40" s="4"/>
      <c r="I40" s="4"/>
      <c r="J40" s="13" t="s">
        <v>84</v>
      </c>
      <c r="K40" s="8">
        <f>B40+Handicap!K40</f>
        <v>0</v>
      </c>
      <c r="L40" s="9">
        <f>C40+Handicap!L40</f>
        <v>0</v>
      </c>
      <c r="M40" s="10">
        <f>D40+Handicap!M40</f>
        <v>0</v>
      </c>
      <c r="N40" s="21">
        <f>E40+Handicap!N40</f>
        <v>0</v>
      </c>
      <c r="O40" s="22">
        <f>F40+Handicap!O40</f>
        <v>0</v>
      </c>
      <c r="P40" s="6">
        <f>G40+Handicap!P40</f>
        <v>0</v>
      </c>
      <c r="Q40" s="2"/>
    </row>
    <row r="41" spans="1:17" x14ac:dyDescent="0.35">
      <c r="A41" s="13" t="s">
        <v>85</v>
      </c>
      <c r="B41" s="8"/>
      <c r="C41" s="9"/>
      <c r="D41" s="10"/>
      <c r="E41" s="21"/>
      <c r="F41" s="22"/>
      <c r="G41" s="6"/>
      <c r="H41" s="4"/>
      <c r="I41" s="4"/>
      <c r="J41" s="13" t="s">
        <v>85</v>
      </c>
      <c r="K41" s="8">
        <f>B41+Handicap!K41</f>
        <v>0</v>
      </c>
      <c r="L41" s="9">
        <f>C41+Handicap!L41</f>
        <v>0</v>
      </c>
      <c r="M41" s="10">
        <f>D41+Handicap!M41</f>
        <v>0</v>
      </c>
      <c r="N41" s="21">
        <f>E41+Handicap!N41</f>
        <v>0</v>
      </c>
      <c r="O41" s="22">
        <f>F41+Handicap!O41</f>
        <v>0</v>
      </c>
      <c r="P41" s="6">
        <f>G41+Handicap!P41</f>
        <v>0</v>
      </c>
      <c r="Q41" s="2"/>
    </row>
    <row r="42" spans="1:17" x14ac:dyDescent="0.35">
      <c r="A42" s="13" t="s">
        <v>86</v>
      </c>
      <c r="B42" s="8"/>
      <c r="C42" s="9"/>
      <c r="D42" s="10"/>
      <c r="E42" s="21"/>
      <c r="F42" s="22"/>
      <c r="G42" s="6"/>
      <c r="H42" s="4"/>
      <c r="I42" s="4"/>
      <c r="J42" s="13" t="s">
        <v>86</v>
      </c>
      <c r="K42" s="8">
        <f>B42+Handicap!K42</f>
        <v>0</v>
      </c>
      <c r="L42" s="9">
        <f>C42+Handicap!L42</f>
        <v>0</v>
      </c>
      <c r="M42" s="10">
        <f>D42+Handicap!M42</f>
        <v>0</v>
      </c>
      <c r="N42" s="21">
        <f>E42+Handicap!N42</f>
        <v>0</v>
      </c>
      <c r="O42" s="22">
        <f>F42+Handicap!O42</f>
        <v>0</v>
      </c>
      <c r="P42" s="6">
        <f>G42+Handicap!P42</f>
        <v>0</v>
      </c>
      <c r="Q42" s="2"/>
    </row>
    <row r="43" spans="1:17" x14ac:dyDescent="0.35">
      <c r="A43" s="13" t="s">
        <v>87</v>
      </c>
      <c r="B43" s="8"/>
      <c r="C43" s="9"/>
      <c r="D43" s="10"/>
      <c r="E43" s="21"/>
      <c r="F43" s="22"/>
      <c r="G43" s="6"/>
      <c r="H43" s="4"/>
      <c r="I43" s="4"/>
      <c r="J43" s="13" t="s">
        <v>87</v>
      </c>
      <c r="K43" s="8">
        <f>B43+Handicap!K43</f>
        <v>0</v>
      </c>
      <c r="L43" s="9">
        <f>C43+Handicap!L43</f>
        <v>0</v>
      </c>
      <c r="M43" s="10">
        <f>D43+Handicap!M43</f>
        <v>0</v>
      </c>
      <c r="N43" s="21">
        <f>E43+Handicap!N43</f>
        <v>0</v>
      </c>
      <c r="O43" s="22">
        <f>F43+Handicap!O43</f>
        <v>0</v>
      </c>
      <c r="P43" s="6">
        <f>G43+Handicap!P43</f>
        <v>0</v>
      </c>
      <c r="Q43" s="2"/>
    </row>
    <row r="44" spans="1:17" x14ac:dyDescent="0.35">
      <c r="A44" s="13" t="s">
        <v>88</v>
      </c>
      <c r="B44" s="8"/>
      <c r="C44" s="9"/>
      <c r="D44" s="10"/>
      <c r="E44" s="21"/>
      <c r="F44" s="22"/>
      <c r="G44" s="6"/>
      <c r="H44" s="4"/>
      <c r="I44" s="4"/>
      <c r="J44" s="13" t="s">
        <v>88</v>
      </c>
      <c r="K44" s="8">
        <f>B44+Handicap!K44</f>
        <v>0</v>
      </c>
      <c r="L44" s="9">
        <f>C44+Handicap!L44</f>
        <v>0</v>
      </c>
      <c r="M44" s="10">
        <f>D44+Handicap!M44</f>
        <v>0</v>
      </c>
      <c r="N44" s="21">
        <f>E44+Handicap!N44</f>
        <v>0</v>
      </c>
      <c r="O44" s="22">
        <f>F44+Handicap!O44</f>
        <v>0</v>
      </c>
      <c r="P44" s="6">
        <f>G44+Handicap!P44</f>
        <v>0</v>
      </c>
      <c r="Q44" s="2"/>
    </row>
    <row r="45" spans="1:17" x14ac:dyDescent="0.35">
      <c r="A45" s="13" t="s">
        <v>89</v>
      </c>
      <c r="B45" s="8"/>
      <c r="C45" s="9"/>
      <c r="D45" s="10"/>
      <c r="E45" s="21"/>
      <c r="F45" s="22"/>
      <c r="G45" s="6"/>
      <c r="H45" s="4"/>
      <c r="I45" s="4"/>
      <c r="J45" s="13" t="s">
        <v>89</v>
      </c>
      <c r="K45" s="8">
        <f>B45+Handicap!K45</f>
        <v>0</v>
      </c>
      <c r="L45" s="9">
        <f>C45+Handicap!L45</f>
        <v>0</v>
      </c>
      <c r="M45" s="10">
        <f>D45+Handicap!M45</f>
        <v>0</v>
      </c>
      <c r="N45" s="21">
        <f>E45+Handicap!N45</f>
        <v>0</v>
      </c>
      <c r="O45" s="22">
        <f>F45+Handicap!O45</f>
        <v>0</v>
      </c>
      <c r="P45" s="6">
        <f>G45+Handicap!P45</f>
        <v>0</v>
      </c>
      <c r="Q45" s="2"/>
    </row>
    <row r="46" spans="1:17" x14ac:dyDescent="0.35">
      <c r="A46" s="13" t="s">
        <v>90</v>
      </c>
      <c r="B46" s="8"/>
      <c r="C46" s="9"/>
      <c r="D46" s="10"/>
      <c r="E46" s="21"/>
      <c r="F46" s="22"/>
      <c r="G46" s="6"/>
      <c r="H46" s="4"/>
      <c r="I46" s="4"/>
      <c r="J46" s="13" t="s">
        <v>90</v>
      </c>
      <c r="K46" s="8">
        <f>B46+Handicap!K46</f>
        <v>0</v>
      </c>
      <c r="L46" s="9">
        <f>C46+Handicap!L46</f>
        <v>0</v>
      </c>
      <c r="M46" s="10">
        <f>D46+Handicap!M46</f>
        <v>0</v>
      </c>
      <c r="N46" s="21">
        <f>E46+Handicap!N46</f>
        <v>0</v>
      </c>
      <c r="O46" s="22">
        <f>F46+Handicap!O46</f>
        <v>0</v>
      </c>
      <c r="P46" s="6">
        <f>G46+Handicap!P46</f>
        <v>0</v>
      </c>
      <c r="Q46" s="2"/>
    </row>
    <row r="47" spans="1:17" x14ac:dyDescent="0.35">
      <c r="A47" s="13" t="s">
        <v>91</v>
      </c>
      <c r="B47" s="8"/>
      <c r="C47" s="9"/>
      <c r="D47" s="10"/>
      <c r="E47" s="21"/>
      <c r="F47" s="22"/>
      <c r="G47" s="6"/>
      <c r="H47" s="4"/>
      <c r="I47" s="4"/>
      <c r="J47" s="13" t="s">
        <v>91</v>
      </c>
      <c r="K47" s="8">
        <f>B47+Handicap!K47</f>
        <v>0</v>
      </c>
      <c r="L47" s="9">
        <f>C47+Handicap!L47</f>
        <v>0</v>
      </c>
      <c r="M47" s="10">
        <f>D47+Handicap!M47</f>
        <v>0</v>
      </c>
      <c r="N47" s="21">
        <f>E47+Handicap!N47</f>
        <v>0</v>
      </c>
      <c r="O47" s="22">
        <f>F47+Handicap!O47</f>
        <v>0</v>
      </c>
      <c r="P47" s="6">
        <f>G47+Handicap!P47</f>
        <v>0</v>
      </c>
      <c r="Q47" s="2"/>
    </row>
    <row r="48" spans="1:17" x14ac:dyDescent="0.35">
      <c r="A48" s="13" t="s">
        <v>92</v>
      </c>
      <c r="B48" s="8"/>
      <c r="C48" s="9"/>
      <c r="D48" s="10"/>
      <c r="E48" s="21"/>
      <c r="F48" s="22"/>
      <c r="G48" s="6"/>
      <c r="H48" s="4"/>
      <c r="I48" s="4"/>
      <c r="J48" s="13" t="s">
        <v>92</v>
      </c>
      <c r="K48" s="8">
        <f>B48+Handicap!K48</f>
        <v>0</v>
      </c>
      <c r="L48" s="9">
        <f>C48+Handicap!L48</f>
        <v>0</v>
      </c>
      <c r="M48" s="10">
        <f>D48+Handicap!M48</f>
        <v>0</v>
      </c>
      <c r="N48" s="21">
        <f>E48+Handicap!N48</f>
        <v>0</v>
      </c>
      <c r="O48" s="22">
        <f>F48+Handicap!O48</f>
        <v>0</v>
      </c>
      <c r="P48" s="6">
        <f>G48+Handicap!P48</f>
        <v>0</v>
      </c>
      <c r="Q48" s="2"/>
    </row>
    <row r="49" spans="1:17" x14ac:dyDescent="0.35">
      <c r="A49" s="13" t="s">
        <v>93</v>
      </c>
      <c r="B49" s="8"/>
      <c r="C49" s="9"/>
      <c r="D49" s="10"/>
      <c r="E49" s="21"/>
      <c r="F49" s="22"/>
      <c r="G49" s="6"/>
      <c r="H49" s="4"/>
      <c r="I49" s="4"/>
      <c r="J49" s="13" t="s">
        <v>93</v>
      </c>
      <c r="K49" s="8">
        <f>B49+Handicap!K49</f>
        <v>0</v>
      </c>
      <c r="L49" s="9">
        <f>C49+Handicap!L49</f>
        <v>0</v>
      </c>
      <c r="M49" s="10">
        <f>D49+Handicap!M49</f>
        <v>0</v>
      </c>
      <c r="N49" s="21">
        <f>E49+Handicap!N49</f>
        <v>0</v>
      </c>
      <c r="O49" s="22">
        <f>F49+Handicap!O49</f>
        <v>0</v>
      </c>
      <c r="P49" s="6">
        <f>G49+Handicap!P49</f>
        <v>0</v>
      </c>
      <c r="Q49" s="2"/>
    </row>
    <row r="50" spans="1:17" x14ac:dyDescent="0.35">
      <c r="A50" s="13" t="s">
        <v>94</v>
      </c>
      <c r="B50" s="8"/>
      <c r="C50" s="9"/>
      <c r="D50" s="10"/>
      <c r="E50" s="21"/>
      <c r="F50" s="22"/>
      <c r="G50" s="6"/>
      <c r="H50" s="4"/>
      <c r="I50" s="4"/>
      <c r="J50" s="13" t="s">
        <v>94</v>
      </c>
      <c r="K50" s="8">
        <f>B50+Handicap!K50</f>
        <v>0</v>
      </c>
      <c r="L50" s="9">
        <f>C50+Handicap!L50</f>
        <v>0</v>
      </c>
      <c r="M50" s="10">
        <f>D50+Handicap!M50</f>
        <v>0</v>
      </c>
      <c r="N50" s="21">
        <f>E50+Handicap!N50</f>
        <v>0</v>
      </c>
      <c r="O50" s="22">
        <f>F50+Handicap!O50</f>
        <v>0</v>
      </c>
      <c r="P50" s="6">
        <f>G50+Handicap!P50</f>
        <v>0</v>
      </c>
      <c r="Q50" s="2"/>
    </row>
    <row r="51" spans="1:17" x14ac:dyDescent="0.35">
      <c r="A51" s="13" t="s">
        <v>95</v>
      </c>
      <c r="B51" s="8"/>
      <c r="C51" s="9"/>
      <c r="D51" s="10"/>
      <c r="E51" s="21"/>
      <c r="F51" s="22"/>
      <c r="G51" s="6"/>
      <c r="H51" s="4"/>
      <c r="I51" s="4"/>
      <c r="J51" s="13" t="s">
        <v>95</v>
      </c>
      <c r="K51" s="8">
        <f>B51+Handicap!K51</f>
        <v>0</v>
      </c>
      <c r="L51" s="9">
        <f>C51+Handicap!L51</f>
        <v>0</v>
      </c>
      <c r="M51" s="10">
        <f>D51+Handicap!M51</f>
        <v>0</v>
      </c>
      <c r="N51" s="21">
        <f>E51+Handicap!N51</f>
        <v>0</v>
      </c>
      <c r="O51" s="22">
        <f>F51+Handicap!O51</f>
        <v>0</v>
      </c>
      <c r="P51" s="6">
        <f>G51+Handicap!P51</f>
        <v>0</v>
      </c>
      <c r="Q51" s="2"/>
    </row>
    <row r="52" spans="1:17" x14ac:dyDescent="0.35">
      <c r="A52" s="13" t="s">
        <v>96</v>
      </c>
      <c r="B52" s="8"/>
      <c r="C52" s="9"/>
      <c r="D52" s="10"/>
      <c r="E52" s="21"/>
      <c r="F52" s="22"/>
      <c r="G52" s="6"/>
      <c r="H52" s="4"/>
      <c r="I52" s="4"/>
      <c r="J52" s="13" t="s">
        <v>96</v>
      </c>
      <c r="K52" s="8">
        <f>B52+Handicap!K52</f>
        <v>0</v>
      </c>
      <c r="L52" s="9">
        <f>C52+Handicap!L52</f>
        <v>0</v>
      </c>
      <c r="M52" s="10">
        <f>D52+Handicap!M52</f>
        <v>0</v>
      </c>
      <c r="N52" s="21">
        <f>E52+Handicap!N52</f>
        <v>0</v>
      </c>
      <c r="O52" s="22">
        <f>F52+Handicap!O52</f>
        <v>0</v>
      </c>
      <c r="P52" s="6">
        <f>G52+Handicap!P52</f>
        <v>0</v>
      </c>
      <c r="Q52" s="2"/>
    </row>
    <row r="53" spans="1:17" x14ac:dyDescent="0.35">
      <c r="A53" s="13" t="s">
        <v>97</v>
      </c>
      <c r="B53" s="8"/>
      <c r="C53" s="9"/>
      <c r="D53" s="10"/>
      <c r="E53" s="21"/>
      <c r="F53" s="22"/>
      <c r="G53" s="6"/>
      <c r="H53" s="4"/>
      <c r="I53" s="4"/>
      <c r="J53" s="13" t="s">
        <v>97</v>
      </c>
      <c r="K53" s="8">
        <f>B53+Handicap!K53</f>
        <v>0</v>
      </c>
      <c r="L53" s="9">
        <f>C53+Handicap!L53</f>
        <v>0</v>
      </c>
      <c r="M53" s="10">
        <f>D53+Handicap!M53</f>
        <v>0</v>
      </c>
      <c r="N53" s="21">
        <f>E53+Handicap!N53</f>
        <v>0</v>
      </c>
      <c r="O53" s="22">
        <f>F53+Handicap!O53</f>
        <v>0</v>
      </c>
      <c r="P53" s="6">
        <f>G53+Handicap!P53</f>
        <v>0</v>
      </c>
      <c r="Q53" s="2"/>
    </row>
    <row r="54" spans="1:17" x14ac:dyDescent="0.35">
      <c r="A54" s="13" t="s">
        <v>98</v>
      </c>
      <c r="B54" s="8"/>
      <c r="C54" s="9"/>
      <c r="D54" s="10"/>
      <c r="E54" s="21"/>
      <c r="F54" s="22"/>
      <c r="G54" s="6"/>
      <c r="H54" s="4"/>
      <c r="I54" s="4"/>
      <c r="J54" s="13" t="s">
        <v>98</v>
      </c>
      <c r="K54" s="8">
        <f>B54+Handicap!K54</f>
        <v>0</v>
      </c>
      <c r="L54" s="9">
        <f>C54+Handicap!L54</f>
        <v>0</v>
      </c>
      <c r="M54" s="10">
        <f>D54+Handicap!M54</f>
        <v>0</v>
      </c>
      <c r="N54" s="21">
        <f>E54+Handicap!N54</f>
        <v>0</v>
      </c>
      <c r="O54" s="22">
        <f>F54+Handicap!O54</f>
        <v>0</v>
      </c>
      <c r="P54" s="6">
        <f>G54+Handicap!P54</f>
        <v>0</v>
      </c>
      <c r="Q54" s="2"/>
    </row>
    <row r="55" spans="1:17" x14ac:dyDescent="0.35">
      <c r="A55" s="13" t="s">
        <v>99</v>
      </c>
      <c r="B55" s="8"/>
      <c r="C55" s="9"/>
      <c r="D55" s="10"/>
      <c r="E55" s="21"/>
      <c r="F55" s="22"/>
      <c r="G55" s="6"/>
      <c r="H55" s="4"/>
      <c r="I55" s="4"/>
      <c r="J55" s="13" t="s">
        <v>99</v>
      </c>
      <c r="K55" s="8">
        <f>B55+Handicap!K55</f>
        <v>0</v>
      </c>
      <c r="L55" s="9">
        <f>C55+Handicap!L55</f>
        <v>0</v>
      </c>
      <c r="M55" s="10">
        <f>D55+Handicap!M55</f>
        <v>0</v>
      </c>
      <c r="N55" s="21">
        <f>E55+Handicap!N55</f>
        <v>0</v>
      </c>
      <c r="O55" s="22">
        <f>F55+Handicap!O55</f>
        <v>0</v>
      </c>
      <c r="P55" s="6">
        <f>G55+Handicap!P55</f>
        <v>0</v>
      </c>
      <c r="Q55" s="2"/>
    </row>
    <row r="56" spans="1:17" x14ac:dyDescent="0.35">
      <c r="A56" s="13" t="s">
        <v>100</v>
      </c>
      <c r="B56" s="8"/>
      <c r="C56" s="9"/>
      <c r="D56" s="10"/>
      <c r="E56" s="21"/>
      <c r="F56" s="22"/>
      <c r="G56" s="6"/>
      <c r="H56" s="4"/>
      <c r="I56" s="4"/>
      <c r="J56" s="13" t="s">
        <v>100</v>
      </c>
      <c r="K56" s="8">
        <f>B56+Handicap!K56</f>
        <v>0</v>
      </c>
      <c r="L56" s="9">
        <f>C56+Handicap!L56</f>
        <v>0</v>
      </c>
      <c r="M56" s="10">
        <f>D56+Handicap!M56</f>
        <v>0</v>
      </c>
      <c r="N56" s="21">
        <f>E56+Handicap!N56</f>
        <v>0</v>
      </c>
      <c r="O56" s="22">
        <f>F56+Handicap!O56</f>
        <v>0</v>
      </c>
      <c r="P56" s="6">
        <f>G56+Handicap!P56</f>
        <v>0</v>
      </c>
      <c r="Q56" s="2"/>
    </row>
    <row r="57" spans="1:17" x14ac:dyDescent="0.35">
      <c r="A57" s="13" t="s">
        <v>101</v>
      </c>
      <c r="B57" s="8"/>
      <c r="C57" s="9"/>
      <c r="D57" s="10"/>
      <c r="E57" s="21"/>
      <c r="F57" s="22"/>
      <c r="G57" s="6"/>
      <c r="H57" s="4"/>
      <c r="I57" s="4"/>
      <c r="J57" s="13" t="s">
        <v>101</v>
      </c>
      <c r="K57" s="8">
        <f>B57+Handicap!K57</f>
        <v>0</v>
      </c>
      <c r="L57" s="9">
        <f>C57+Handicap!L57</f>
        <v>0</v>
      </c>
      <c r="M57" s="10">
        <f>D57+Handicap!M57</f>
        <v>0</v>
      </c>
      <c r="N57" s="21">
        <f>E57+Handicap!N57</f>
        <v>0</v>
      </c>
      <c r="O57" s="22">
        <f>F57+Handicap!O57</f>
        <v>0</v>
      </c>
      <c r="P57" s="6">
        <f>G57+Handicap!P57</f>
        <v>0</v>
      </c>
      <c r="Q57" s="2"/>
    </row>
    <row r="58" spans="1:17" x14ac:dyDescent="0.35">
      <c r="A58" s="13" t="s">
        <v>102</v>
      </c>
      <c r="B58" s="8"/>
      <c r="C58" s="9"/>
      <c r="D58" s="10"/>
      <c r="E58" s="21"/>
      <c r="F58" s="22"/>
      <c r="G58" s="6"/>
      <c r="H58" s="4"/>
      <c r="I58" s="4"/>
      <c r="J58" s="13" t="s">
        <v>102</v>
      </c>
      <c r="K58" s="8">
        <f>B58+Handicap!K58</f>
        <v>0</v>
      </c>
      <c r="L58" s="9">
        <f>C58+Handicap!L58</f>
        <v>0</v>
      </c>
      <c r="M58" s="10">
        <f>D58+Handicap!M58</f>
        <v>0</v>
      </c>
      <c r="N58" s="21">
        <f>E58+Handicap!N58</f>
        <v>0</v>
      </c>
      <c r="O58" s="22">
        <f>F58+Handicap!O58</f>
        <v>0</v>
      </c>
      <c r="P58" s="6">
        <f>G58+Handicap!P58</f>
        <v>0</v>
      </c>
      <c r="Q58" s="2"/>
    </row>
    <row r="59" spans="1:17" x14ac:dyDescent="0.35">
      <c r="A59" s="13" t="s">
        <v>103</v>
      </c>
      <c r="B59" s="8"/>
      <c r="C59" s="9"/>
      <c r="D59" s="10"/>
      <c r="E59" s="21"/>
      <c r="F59" s="22"/>
      <c r="G59" s="6"/>
      <c r="H59" s="4"/>
      <c r="I59" s="4"/>
      <c r="J59" s="13" t="s">
        <v>103</v>
      </c>
      <c r="K59" s="8">
        <f>B59+Handicap!K59</f>
        <v>0</v>
      </c>
      <c r="L59" s="9">
        <f>C59+Handicap!L59</f>
        <v>0</v>
      </c>
      <c r="M59" s="10">
        <f>D59+Handicap!M59</f>
        <v>0</v>
      </c>
      <c r="N59" s="21">
        <f>E59+Handicap!N59</f>
        <v>0</v>
      </c>
      <c r="O59" s="22">
        <f>F59+Handicap!O59</f>
        <v>0</v>
      </c>
      <c r="P59" s="6">
        <f>G59+Handicap!P59</f>
        <v>0</v>
      </c>
      <c r="Q59" s="2"/>
    </row>
    <row r="60" spans="1:17" x14ac:dyDescent="0.35">
      <c r="A60" s="13" t="s">
        <v>104</v>
      </c>
      <c r="B60" s="8"/>
      <c r="C60" s="9"/>
      <c r="D60" s="10"/>
      <c r="E60" s="21"/>
      <c r="F60" s="22"/>
      <c r="G60" s="6"/>
      <c r="H60" s="4"/>
      <c r="I60" s="4"/>
      <c r="J60" s="13" t="s">
        <v>104</v>
      </c>
      <c r="K60" s="8">
        <f>B60+Handicap!K60</f>
        <v>0</v>
      </c>
      <c r="L60" s="9">
        <f>C60+Handicap!L60</f>
        <v>0</v>
      </c>
      <c r="M60" s="10">
        <f>D60+Handicap!M60</f>
        <v>0</v>
      </c>
      <c r="N60" s="21">
        <f>E60+Handicap!N60</f>
        <v>0</v>
      </c>
      <c r="O60" s="22">
        <f>F60+Handicap!O60</f>
        <v>0</v>
      </c>
      <c r="P60" s="6">
        <f>G60+Handicap!P60</f>
        <v>0</v>
      </c>
      <c r="Q60" s="2"/>
    </row>
    <row r="61" spans="1:17" x14ac:dyDescent="0.35">
      <c r="A61" s="13" t="s">
        <v>105</v>
      </c>
      <c r="B61" s="8"/>
      <c r="C61" s="9"/>
      <c r="D61" s="10"/>
      <c r="E61" s="21"/>
      <c r="F61" s="22"/>
      <c r="G61" s="6"/>
      <c r="H61" s="4"/>
      <c r="I61" s="4"/>
      <c r="J61" s="13" t="s">
        <v>105</v>
      </c>
      <c r="K61" s="8">
        <f>B61+Handicap!K61</f>
        <v>0</v>
      </c>
      <c r="L61" s="9">
        <f>C61+Handicap!L61</f>
        <v>0</v>
      </c>
      <c r="M61" s="10">
        <f>D61+Handicap!M61</f>
        <v>0</v>
      </c>
      <c r="N61" s="21">
        <f>E61+Handicap!N61</f>
        <v>0</v>
      </c>
      <c r="O61" s="22">
        <f>F61+Handicap!O61</f>
        <v>0</v>
      </c>
      <c r="P61" s="6">
        <f>G61+Handicap!P61</f>
        <v>0</v>
      </c>
      <c r="Q61" s="2"/>
    </row>
    <row r="62" spans="1:17" x14ac:dyDescent="0.35">
      <c r="A62" s="13" t="s">
        <v>106</v>
      </c>
      <c r="B62" s="8"/>
      <c r="C62" s="9"/>
      <c r="D62" s="10"/>
      <c r="E62" s="21"/>
      <c r="F62" s="22"/>
      <c r="G62" s="6"/>
      <c r="H62" s="4"/>
      <c r="I62" s="4"/>
      <c r="J62" s="13" t="s">
        <v>106</v>
      </c>
      <c r="K62" s="8">
        <f>B62+Handicap!K62</f>
        <v>0</v>
      </c>
      <c r="L62" s="9">
        <f>C62+Handicap!L62</f>
        <v>0</v>
      </c>
      <c r="M62" s="10">
        <f>D62+Handicap!M62</f>
        <v>0</v>
      </c>
      <c r="N62" s="21">
        <f>E62+Handicap!N62</f>
        <v>0</v>
      </c>
      <c r="O62" s="22">
        <f>F62+Handicap!O62</f>
        <v>0</v>
      </c>
      <c r="P62" s="6">
        <f>G62+Handicap!P62</f>
        <v>0</v>
      </c>
      <c r="Q62" s="2"/>
    </row>
    <row r="63" spans="1:17" x14ac:dyDescent="0.35">
      <c r="A63" s="13" t="s">
        <v>107</v>
      </c>
      <c r="B63" s="8"/>
      <c r="C63" s="9"/>
      <c r="D63" s="10"/>
      <c r="E63" s="21"/>
      <c r="F63" s="22"/>
      <c r="G63" s="6"/>
      <c r="H63" s="4"/>
      <c r="I63" s="4"/>
      <c r="J63" s="13" t="s">
        <v>107</v>
      </c>
      <c r="K63" s="8">
        <f>B63+Handicap!K63</f>
        <v>0</v>
      </c>
      <c r="L63" s="9">
        <f>C63+Handicap!L63</f>
        <v>0</v>
      </c>
      <c r="M63" s="10">
        <f>D63+Handicap!M63</f>
        <v>0</v>
      </c>
      <c r="N63" s="21">
        <f>E63+Handicap!N63</f>
        <v>0</v>
      </c>
      <c r="O63" s="22">
        <f>F63+Handicap!O63</f>
        <v>0</v>
      </c>
      <c r="P63" s="6">
        <f>G63+Handicap!P63</f>
        <v>0</v>
      </c>
      <c r="Q63" s="2"/>
    </row>
    <row r="64" spans="1:17" x14ac:dyDescent="0.35">
      <c r="A64" s="13" t="s">
        <v>108</v>
      </c>
      <c r="B64" s="8"/>
      <c r="C64" s="9"/>
      <c r="D64" s="10"/>
      <c r="E64" s="21"/>
      <c r="F64" s="22"/>
      <c r="G64" s="6"/>
      <c r="H64" s="4"/>
      <c r="I64" s="4"/>
      <c r="J64" s="13" t="s">
        <v>108</v>
      </c>
      <c r="K64" s="8">
        <f>B64+Handicap!K64</f>
        <v>0</v>
      </c>
      <c r="L64" s="9">
        <f>C64+Handicap!L64</f>
        <v>0</v>
      </c>
      <c r="M64" s="10">
        <f>D64+Handicap!M64</f>
        <v>0</v>
      </c>
      <c r="N64" s="21">
        <f>E64+Handicap!N64</f>
        <v>0</v>
      </c>
      <c r="O64" s="22">
        <f>F64+Handicap!O64</f>
        <v>0</v>
      </c>
      <c r="P64" s="6">
        <f>G64+Handicap!P64</f>
        <v>0</v>
      </c>
      <c r="Q64" s="2"/>
    </row>
    <row r="65" spans="1:17" x14ac:dyDescent="0.35">
      <c r="A65" s="13" t="s">
        <v>109</v>
      </c>
      <c r="B65" s="8"/>
      <c r="C65" s="9"/>
      <c r="D65" s="10"/>
      <c r="E65" s="21"/>
      <c r="F65" s="22"/>
      <c r="G65" s="6"/>
      <c r="H65" s="4"/>
      <c r="I65" s="4"/>
      <c r="J65" s="13" t="s">
        <v>109</v>
      </c>
      <c r="K65" s="8">
        <f>B65+Handicap!K65</f>
        <v>0</v>
      </c>
      <c r="L65" s="9">
        <f>C65+Handicap!L65</f>
        <v>0</v>
      </c>
      <c r="M65" s="10">
        <f>D65+Handicap!M65</f>
        <v>0</v>
      </c>
      <c r="N65" s="21">
        <f>E65+Handicap!N65</f>
        <v>0</v>
      </c>
      <c r="O65" s="22">
        <f>F65+Handicap!O65</f>
        <v>0</v>
      </c>
      <c r="P65" s="6">
        <f>G65+Handicap!P65</f>
        <v>0</v>
      </c>
      <c r="Q65" s="2"/>
    </row>
    <row r="66" spans="1:17" x14ac:dyDescent="0.35">
      <c r="A66" s="13" t="s">
        <v>110</v>
      </c>
      <c r="B66" s="8"/>
      <c r="C66" s="9"/>
      <c r="D66" s="10"/>
      <c r="E66" s="21"/>
      <c r="F66" s="22"/>
      <c r="G66" s="6"/>
      <c r="H66" s="4"/>
      <c r="I66" s="4"/>
      <c r="J66" s="13" t="s">
        <v>110</v>
      </c>
      <c r="K66" s="8">
        <f>B66+Handicap!K66</f>
        <v>0</v>
      </c>
      <c r="L66" s="9">
        <f>C66+Handicap!L66</f>
        <v>0</v>
      </c>
      <c r="M66" s="10">
        <f>D66+Handicap!M66</f>
        <v>0</v>
      </c>
      <c r="N66" s="21">
        <f>E66+Handicap!N66</f>
        <v>0</v>
      </c>
      <c r="O66" s="22">
        <f>F66+Handicap!O66</f>
        <v>0</v>
      </c>
      <c r="P66" s="6">
        <f>G66+Handicap!P66</f>
        <v>0</v>
      </c>
      <c r="Q66" s="2"/>
    </row>
    <row r="67" spans="1:17" x14ac:dyDescent="0.35">
      <c r="A67" s="13" t="s">
        <v>111</v>
      </c>
      <c r="B67" s="8"/>
      <c r="C67" s="9"/>
      <c r="D67" s="10"/>
      <c r="E67" s="21"/>
      <c r="F67" s="22"/>
      <c r="G67" s="6"/>
      <c r="H67" s="4"/>
      <c r="I67" s="4"/>
      <c r="J67" s="13" t="s">
        <v>111</v>
      </c>
      <c r="K67" s="8">
        <f>B67+Handicap!K67</f>
        <v>0</v>
      </c>
      <c r="L67" s="9">
        <f>C67+Handicap!L67</f>
        <v>0</v>
      </c>
      <c r="M67" s="10">
        <f>D67+Handicap!M67</f>
        <v>0</v>
      </c>
      <c r="N67" s="21">
        <f>E67+Handicap!N67</f>
        <v>0</v>
      </c>
      <c r="O67" s="22">
        <f>F67+Handicap!O67</f>
        <v>0</v>
      </c>
      <c r="P67" s="6">
        <f>G67+Handicap!P67</f>
        <v>0</v>
      </c>
      <c r="Q67" s="2"/>
    </row>
    <row r="68" spans="1:17" x14ac:dyDescent="0.35">
      <c r="A68" s="13" t="s">
        <v>112</v>
      </c>
      <c r="B68" s="8"/>
      <c r="C68" s="9"/>
      <c r="D68" s="10"/>
      <c r="E68" s="21"/>
      <c r="F68" s="22"/>
      <c r="G68" s="6"/>
      <c r="H68" s="4"/>
      <c r="I68" s="4"/>
      <c r="J68" s="13" t="s">
        <v>112</v>
      </c>
      <c r="K68" s="8">
        <f>B68+Handicap!K68</f>
        <v>0</v>
      </c>
      <c r="L68" s="9">
        <f>C68+Handicap!L68</f>
        <v>0</v>
      </c>
      <c r="M68" s="10">
        <f>D68+Handicap!M68</f>
        <v>0</v>
      </c>
      <c r="N68" s="21">
        <f>E68+Handicap!N68</f>
        <v>0</v>
      </c>
      <c r="O68" s="22">
        <f>F68+Handicap!O68</f>
        <v>0</v>
      </c>
      <c r="P68" s="6">
        <f>G68+Handicap!P68</f>
        <v>0</v>
      </c>
      <c r="Q68" s="2"/>
    </row>
    <row r="69" spans="1:17" x14ac:dyDescent="0.35">
      <c r="A69" s="13" t="s">
        <v>113</v>
      </c>
      <c r="B69" s="8"/>
      <c r="C69" s="9"/>
      <c r="D69" s="10"/>
      <c r="E69" s="21"/>
      <c r="F69" s="22"/>
      <c r="G69" s="6"/>
      <c r="H69" s="4"/>
      <c r="I69" s="4"/>
      <c r="J69" s="13" t="s">
        <v>113</v>
      </c>
      <c r="K69" s="8">
        <f>B69+Handicap!K69</f>
        <v>0</v>
      </c>
      <c r="L69" s="9">
        <f>C69+Handicap!L69</f>
        <v>0</v>
      </c>
      <c r="M69" s="10">
        <f>D69+Handicap!M69</f>
        <v>0</v>
      </c>
      <c r="N69" s="21">
        <f>E69+Handicap!N69</f>
        <v>0</v>
      </c>
      <c r="O69" s="22">
        <f>F69+Handicap!O69</f>
        <v>0</v>
      </c>
      <c r="P69" s="6">
        <f>G69+Handicap!P69</f>
        <v>0</v>
      </c>
      <c r="Q69" s="2"/>
    </row>
    <row r="70" spans="1:17" x14ac:dyDescent="0.35">
      <c r="A70" s="13" t="s">
        <v>114</v>
      </c>
      <c r="B70" s="8"/>
      <c r="C70" s="9"/>
      <c r="D70" s="10"/>
      <c r="E70" s="21"/>
      <c r="F70" s="22"/>
      <c r="G70" s="6"/>
      <c r="H70" s="4"/>
      <c r="I70" s="4"/>
      <c r="J70" s="13" t="s">
        <v>114</v>
      </c>
      <c r="K70" s="8">
        <f>B70+Handicap!K70</f>
        <v>0</v>
      </c>
      <c r="L70" s="9">
        <f>C70+Handicap!L70</f>
        <v>0</v>
      </c>
      <c r="M70" s="10">
        <f>D70+Handicap!M70</f>
        <v>0</v>
      </c>
      <c r="N70" s="21">
        <f>E70+Handicap!N70</f>
        <v>0</v>
      </c>
      <c r="O70" s="22">
        <f>F70+Handicap!O70</f>
        <v>0</v>
      </c>
      <c r="P70" s="6">
        <f>G70+Handicap!P70</f>
        <v>0</v>
      </c>
      <c r="Q70" s="2"/>
    </row>
    <row r="71" spans="1:17" x14ac:dyDescent="0.35">
      <c r="A71" s="13" t="s">
        <v>115</v>
      </c>
      <c r="B71" s="8"/>
      <c r="C71" s="9"/>
      <c r="D71" s="10"/>
      <c r="E71" s="21"/>
      <c r="F71" s="22"/>
      <c r="G71" s="6"/>
      <c r="H71" s="4"/>
      <c r="I71" s="4"/>
      <c r="J71" s="13" t="s">
        <v>115</v>
      </c>
      <c r="K71" s="8">
        <f>B71+Handicap!K71</f>
        <v>0</v>
      </c>
      <c r="L71" s="9">
        <f>C71+Handicap!L71</f>
        <v>0</v>
      </c>
      <c r="M71" s="10">
        <f>D71+Handicap!M71</f>
        <v>0</v>
      </c>
      <c r="N71" s="21">
        <f>E71+Handicap!N71</f>
        <v>0</v>
      </c>
      <c r="O71" s="22">
        <f>F71+Handicap!O71</f>
        <v>0</v>
      </c>
      <c r="P71" s="6">
        <f>G71+Handicap!P71</f>
        <v>0</v>
      </c>
      <c r="Q71" s="2"/>
    </row>
    <row r="72" spans="1:17" x14ac:dyDescent="0.35">
      <c r="A72" s="13" t="s">
        <v>116</v>
      </c>
      <c r="B72" s="8"/>
      <c r="C72" s="9"/>
      <c r="D72" s="10"/>
      <c r="E72" s="21"/>
      <c r="F72" s="22"/>
      <c r="G72" s="6"/>
      <c r="H72" s="4"/>
      <c r="I72" s="4"/>
      <c r="J72" s="13" t="s">
        <v>116</v>
      </c>
      <c r="K72" s="8">
        <f>B72+Handicap!K72</f>
        <v>0</v>
      </c>
      <c r="L72" s="9">
        <f>C72+Handicap!L72</f>
        <v>0</v>
      </c>
      <c r="M72" s="10">
        <f>D72+Handicap!M72</f>
        <v>0</v>
      </c>
      <c r="N72" s="21">
        <f>E72+Handicap!N72</f>
        <v>0</v>
      </c>
      <c r="O72" s="22">
        <f>F72+Handicap!O72</f>
        <v>0</v>
      </c>
      <c r="P72" s="6">
        <f>G72+Handicap!P72</f>
        <v>0</v>
      </c>
      <c r="Q72" s="2"/>
    </row>
    <row r="73" spans="1:17" x14ac:dyDescent="0.35">
      <c r="A73" s="13" t="s">
        <v>117</v>
      </c>
      <c r="B73" s="8"/>
      <c r="C73" s="9"/>
      <c r="D73" s="10"/>
      <c r="E73" s="21"/>
      <c r="F73" s="22"/>
      <c r="G73" s="6"/>
      <c r="H73" s="4"/>
      <c r="I73" s="4"/>
      <c r="J73" s="13" t="s">
        <v>117</v>
      </c>
      <c r="K73" s="8">
        <f>B73+Handicap!K73</f>
        <v>0</v>
      </c>
      <c r="L73" s="9">
        <f>C73+Handicap!L73</f>
        <v>0</v>
      </c>
      <c r="M73" s="10">
        <f>D73+Handicap!M73</f>
        <v>0</v>
      </c>
      <c r="N73" s="21">
        <f>E73+Handicap!N73</f>
        <v>0</v>
      </c>
      <c r="O73" s="22">
        <f>F73+Handicap!O73</f>
        <v>0</v>
      </c>
      <c r="P73" s="6">
        <f>G73+Handicap!P73</f>
        <v>0</v>
      </c>
      <c r="Q73" s="2"/>
    </row>
    <row r="74" spans="1:17" x14ac:dyDescent="0.35">
      <c r="A74" s="13" t="s">
        <v>118</v>
      </c>
      <c r="B74" s="8"/>
      <c r="C74" s="9"/>
      <c r="D74" s="10"/>
      <c r="E74" s="21"/>
      <c r="F74" s="22"/>
      <c r="G74" s="6"/>
      <c r="H74" s="4"/>
      <c r="I74" s="4"/>
      <c r="J74" s="13" t="s">
        <v>118</v>
      </c>
      <c r="K74" s="8">
        <f>B74+Handicap!K74</f>
        <v>0</v>
      </c>
      <c r="L74" s="9">
        <f>C74+Handicap!L74</f>
        <v>0</v>
      </c>
      <c r="M74" s="10">
        <f>D74+Handicap!M74</f>
        <v>0</v>
      </c>
      <c r="N74" s="21">
        <f>E74+Handicap!N74</f>
        <v>0</v>
      </c>
      <c r="O74" s="22">
        <f>F74+Handicap!O74</f>
        <v>0</v>
      </c>
      <c r="P74" s="6">
        <f>G74+Handicap!P74</f>
        <v>0</v>
      </c>
      <c r="Q74" s="2"/>
    </row>
    <row r="75" spans="1:17" x14ac:dyDescent="0.35">
      <c r="A75" s="13" t="s">
        <v>119</v>
      </c>
      <c r="B75" s="8"/>
      <c r="C75" s="9"/>
      <c r="D75" s="10"/>
      <c r="E75" s="21"/>
      <c r="F75" s="22"/>
      <c r="G75" s="6"/>
      <c r="H75" s="4"/>
      <c r="I75" s="4"/>
      <c r="J75" s="13" t="s">
        <v>119</v>
      </c>
      <c r="K75" s="8">
        <f>B75+Handicap!K75</f>
        <v>0</v>
      </c>
      <c r="L75" s="9">
        <f>C75+Handicap!L75</f>
        <v>0</v>
      </c>
      <c r="M75" s="10">
        <f>D75+Handicap!M75</f>
        <v>0</v>
      </c>
      <c r="N75" s="21">
        <f>E75+Handicap!N75</f>
        <v>0</v>
      </c>
      <c r="O75" s="22">
        <f>F75+Handicap!O75</f>
        <v>0</v>
      </c>
      <c r="P75" s="6">
        <f>G75+Handicap!P75</f>
        <v>0</v>
      </c>
      <c r="Q75" s="2"/>
    </row>
    <row r="76" spans="1:17" x14ac:dyDescent="0.35">
      <c r="A76" s="13" t="s">
        <v>120</v>
      </c>
      <c r="B76" s="8"/>
      <c r="C76" s="9"/>
      <c r="D76" s="10"/>
      <c r="E76" s="21"/>
      <c r="F76" s="22"/>
      <c r="G76" s="6"/>
      <c r="H76" s="4"/>
      <c r="I76" s="4"/>
      <c r="J76" s="13" t="s">
        <v>120</v>
      </c>
      <c r="K76" s="8">
        <f>B76+Handicap!K76</f>
        <v>0</v>
      </c>
      <c r="L76" s="9">
        <f>C76+Handicap!L76</f>
        <v>0</v>
      </c>
      <c r="M76" s="10">
        <f>D76+Handicap!M76</f>
        <v>0</v>
      </c>
      <c r="N76" s="21">
        <f>E76+Handicap!N76</f>
        <v>0</v>
      </c>
      <c r="O76" s="22">
        <f>F76+Handicap!O76</f>
        <v>0</v>
      </c>
      <c r="P76" s="6">
        <f>G76+Handicap!P76</f>
        <v>0</v>
      </c>
      <c r="Q76" s="2"/>
    </row>
    <row r="77" spans="1:17" x14ac:dyDescent="0.35">
      <c r="A77" s="13" t="s">
        <v>121</v>
      </c>
      <c r="B77" s="8"/>
      <c r="C77" s="9"/>
      <c r="D77" s="10"/>
      <c r="E77" s="21"/>
      <c r="F77" s="22"/>
      <c r="G77" s="6"/>
      <c r="H77" s="4"/>
      <c r="I77" s="4"/>
      <c r="J77" s="13" t="s">
        <v>121</v>
      </c>
      <c r="K77" s="8">
        <f>B77+Handicap!K77</f>
        <v>0</v>
      </c>
      <c r="L77" s="9">
        <f>C77+Handicap!L77</f>
        <v>0</v>
      </c>
      <c r="M77" s="10">
        <f>D77+Handicap!M77</f>
        <v>0</v>
      </c>
      <c r="N77" s="21">
        <f>E77+Handicap!N77</f>
        <v>0</v>
      </c>
      <c r="O77" s="22">
        <f>F77+Handicap!O77</f>
        <v>0</v>
      </c>
      <c r="P77" s="6">
        <f>G77+Handicap!P77</f>
        <v>0</v>
      </c>
      <c r="Q77" s="2"/>
    </row>
    <row r="78" spans="1:17" x14ac:dyDescent="0.35">
      <c r="A78" s="13" t="s">
        <v>122</v>
      </c>
      <c r="B78" s="8"/>
      <c r="C78" s="9"/>
      <c r="D78" s="10"/>
      <c r="E78" s="21"/>
      <c r="F78" s="22"/>
      <c r="G78" s="6"/>
      <c r="H78" s="4"/>
      <c r="I78" s="4"/>
      <c r="J78" s="13" t="s">
        <v>122</v>
      </c>
      <c r="K78" s="8">
        <f>B78+Handicap!K78</f>
        <v>0</v>
      </c>
      <c r="L78" s="9">
        <f>C78+Handicap!L78</f>
        <v>0</v>
      </c>
      <c r="M78" s="10">
        <f>D78+Handicap!M78</f>
        <v>0</v>
      </c>
      <c r="N78" s="21">
        <f>E78+Handicap!N78</f>
        <v>0</v>
      </c>
      <c r="O78" s="22">
        <f>F78+Handicap!O78</f>
        <v>0</v>
      </c>
      <c r="P78" s="6">
        <f>G78+Handicap!P78</f>
        <v>0</v>
      </c>
      <c r="Q78" s="2"/>
    </row>
    <row r="79" spans="1:17" x14ac:dyDescent="0.35">
      <c r="A79" s="13" t="s">
        <v>123</v>
      </c>
      <c r="B79" s="8"/>
      <c r="C79" s="9"/>
      <c r="D79" s="10"/>
      <c r="E79" s="21"/>
      <c r="F79" s="22"/>
      <c r="G79" s="6"/>
      <c r="H79" s="4"/>
      <c r="I79" s="4"/>
      <c r="J79" s="13" t="s">
        <v>123</v>
      </c>
      <c r="K79" s="8">
        <f>B79+Handicap!K79</f>
        <v>0</v>
      </c>
      <c r="L79" s="9">
        <f>C79+Handicap!L79</f>
        <v>0</v>
      </c>
      <c r="M79" s="10">
        <f>D79+Handicap!M79</f>
        <v>0</v>
      </c>
      <c r="N79" s="21">
        <f>E79+Handicap!N79</f>
        <v>0</v>
      </c>
      <c r="O79" s="22">
        <f>F79+Handicap!O79</f>
        <v>0</v>
      </c>
      <c r="P79" s="6">
        <f>G79+Handicap!P79</f>
        <v>0</v>
      </c>
      <c r="Q79" s="2"/>
    </row>
    <row r="80" spans="1:17" x14ac:dyDescent="0.35">
      <c r="A80" s="13" t="s">
        <v>124</v>
      </c>
      <c r="B80" s="8"/>
      <c r="C80" s="9"/>
      <c r="D80" s="10"/>
      <c r="E80" s="21"/>
      <c r="F80" s="22"/>
      <c r="G80" s="6"/>
      <c r="H80" s="4"/>
      <c r="I80" s="4"/>
      <c r="J80" s="13" t="s">
        <v>124</v>
      </c>
      <c r="K80" s="8">
        <f>B80+Handicap!K80</f>
        <v>0</v>
      </c>
      <c r="L80" s="9">
        <f>C80+Handicap!L80</f>
        <v>0</v>
      </c>
      <c r="M80" s="10">
        <f>D80+Handicap!M80</f>
        <v>0</v>
      </c>
      <c r="N80" s="21">
        <f>E80+Handicap!N80</f>
        <v>0</v>
      </c>
      <c r="O80" s="22">
        <f>F80+Handicap!O80</f>
        <v>0</v>
      </c>
      <c r="P80" s="6">
        <f>G80+Handicap!P80</f>
        <v>0</v>
      </c>
      <c r="Q80" s="2"/>
    </row>
    <row r="81" spans="1:17" x14ac:dyDescent="0.35">
      <c r="A81" s="13" t="s">
        <v>125</v>
      </c>
      <c r="B81" s="8"/>
      <c r="C81" s="9"/>
      <c r="D81" s="10"/>
      <c r="E81" s="21"/>
      <c r="F81" s="22"/>
      <c r="G81" s="6"/>
      <c r="H81" s="4"/>
      <c r="I81" s="4"/>
      <c r="J81" s="13" t="s">
        <v>125</v>
      </c>
      <c r="K81" s="8">
        <f>B81+Handicap!K81</f>
        <v>0</v>
      </c>
      <c r="L81" s="9">
        <f>C81+Handicap!L81</f>
        <v>0</v>
      </c>
      <c r="M81" s="10">
        <f>D81+Handicap!M81</f>
        <v>0</v>
      </c>
      <c r="N81" s="21">
        <f>E81+Handicap!N81</f>
        <v>0</v>
      </c>
      <c r="O81" s="22">
        <f>F81+Handicap!O81</f>
        <v>0</v>
      </c>
      <c r="P81" s="6">
        <f>G81+Handicap!P81</f>
        <v>0</v>
      </c>
      <c r="Q81" s="2"/>
    </row>
    <row r="82" spans="1:17" x14ac:dyDescent="0.35">
      <c r="A82" s="13" t="s">
        <v>126</v>
      </c>
      <c r="B82" s="8"/>
      <c r="C82" s="9"/>
      <c r="D82" s="10"/>
      <c r="E82" s="21"/>
      <c r="F82" s="22"/>
      <c r="G82" s="6"/>
      <c r="H82" s="4"/>
      <c r="I82" s="4"/>
      <c r="J82" s="13" t="s">
        <v>126</v>
      </c>
      <c r="K82" s="8">
        <f>B82+Handicap!K82</f>
        <v>0</v>
      </c>
      <c r="L82" s="9">
        <f>C82+Handicap!L82</f>
        <v>0</v>
      </c>
      <c r="M82" s="10">
        <f>D82+Handicap!M82</f>
        <v>0</v>
      </c>
      <c r="N82" s="21">
        <f>E82+Handicap!N82</f>
        <v>0</v>
      </c>
      <c r="O82" s="22">
        <f>F82+Handicap!O82</f>
        <v>0</v>
      </c>
      <c r="P82" s="6">
        <f>G82+Handicap!P82</f>
        <v>0</v>
      </c>
      <c r="Q82" s="2"/>
    </row>
    <row r="83" spans="1:17" x14ac:dyDescent="0.35">
      <c r="A83" s="13" t="s">
        <v>127</v>
      </c>
      <c r="B83" s="8"/>
      <c r="C83" s="9"/>
      <c r="D83" s="10"/>
      <c r="E83" s="21"/>
      <c r="F83" s="22"/>
      <c r="G83" s="6"/>
      <c r="H83" s="4"/>
      <c r="I83" s="4"/>
      <c r="J83" s="13" t="s">
        <v>127</v>
      </c>
      <c r="K83" s="8">
        <f>B83+Handicap!K83</f>
        <v>0</v>
      </c>
      <c r="L83" s="9">
        <f>C83+Handicap!L83</f>
        <v>0</v>
      </c>
      <c r="M83" s="10">
        <f>D83+Handicap!M83</f>
        <v>0</v>
      </c>
      <c r="N83" s="21">
        <f>E83+Handicap!N83</f>
        <v>0</v>
      </c>
      <c r="O83" s="22">
        <f>F83+Handicap!O83</f>
        <v>0</v>
      </c>
      <c r="P83" s="6">
        <f>G83+Handicap!P83</f>
        <v>0</v>
      </c>
      <c r="Q83" s="2"/>
    </row>
    <row r="84" spans="1:17" x14ac:dyDescent="0.35">
      <c r="A84" s="13" t="s">
        <v>128</v>
      </c>
      <c r="B84" s="8"/>
      <c r="C84" s="9"/>
      <c r="D84" s="10"/>
      <c r="E84" s="21"/>
      <c r="F84" s="22"/>
      <c r="G84" s="6"/>
      <c r="H84" s="4"/>
      <c r="I84" s="4"/>
      <c r="J84" s="13" t="s">
        <v>128</v>
      </c>
      <c r="K84" s="8">
        <f>B84+Handicap!K84</f>
        <v>0</v>
      </c>
      <c r="L84" s="9">
        <f>C84+Handicap!L84</f>
        <v>0</v>
      </c>
      <c r="M84" s="10">
        <f>D84+Handicap!M84</f>
        <v>0</v>
      </c>
      <c r="N84" s="21">
        <f>E84+Handicap!N84</f>
        <v>0</v>
      </c>
      <c r="O84" s="22">
        <f>F84+Handicap!O84</f>
        <v>0</v>
      </c>
      <c r="P84" s="6">
        <f>G84+Handicap!P84</f>
        <v>0</v>
      </c>
      <c r="Q84" s="2"/>
    </row>
    <row r="85" spans="1:17" x14ac:dyDescent="0.35">
      <c r="A85" s="13" t="s">
        <v>129</v>
      </c>
      <c r="B85" s="8"/>
      <c r="C85" s="9"/>
      <c r="D85" s="10"/>
      <c r="E85" s="21"/>
      <c r="F85" s="22"/>
      <c r="G85" s="6"/>
      <c r="H85" s="4"/>
      <c r="I85" s="4"/>
      <c r="J85" s="13" t="s">
        <v>129</v>
      </c>
      <c r="K85" s="8">
        <f>B85+Handicap!K85</f>
        <v>0</v>
      </c>
      <c r="L85" s="9">
        <f>C85+Handicap!L85</f>
        <v>0</v>
      </c>
      <c r="M85" s="10">
        <f>D85+Handicap!M85</f>
        <v>0</v>
      </c>
      <c r="N85" s="21">
        <f>E85+Handicap!N85</f>
        <v>0</v>
      </c>
      <c r="O85" s="22">
        <f>F85+Handicap!O85</f>
        <v>0</v>
      </c>
      <c r="P85" s="6">
        <f>G85+Handicap!P85</f>
        <v>0</v>
      </c>
      <c r="Q85" s="2"/>
    </row>
    <row r="86" spans="1:17" x14ac:dyDescent="0.35">
      <c r="A86" s="13" t="s">
        <v>130</v>
      </c>
      <c r="B86" s="8"/>
      <c r="C86" s="9"/>
      <c r="D86" s="10"/>
      <c r="E86" s="21"/>
      <c r="F86" s="22"/>
      <c r="G86" s="6"/>
      <c r="H86" s="4"/>
      <c r="I86" s="4"/>
      <c r="J86" s="13" t="s">
        <v>130</v>
      </c>
      <c r="K86" s="8">
        <f>B86+Handicap!K86</f>
        <v>0</v>
      </c>
      <c r="L86" s="9">
        <f>C86+Handicap!L86</f>
        <v>0</v>
      </c>
      <c r="M86" s="10">
        <f>D86+Handicap!M86</f>
        <v>0</v>
      </c>
      <c r="N86" s="21">
        <f>E86+Handicap!N86</f>
        <v>0</v>
      </c>
      <c r="O86" s="22">
        <f>F86+Handicap!O86</f>
        <v>0</v>
      </c>
      <c r="P86" s="6">
        <f>G86+Handicap!P86</f>
        <v>0</v>
      </c>
      <c r="Q86" s="2"/>
    </row>
    <row r="87" spans="1:17" x14ac:dyDescent="0.35">
      <c r="A87" s="13" t="s">
        <v>131</v>
      </c>
      <c r="B87" s="8"/>
      <c r="C87" s="9"/>
      <c r="D87" s="10"/>
      <c r="E87" s="21"/>
      <c r="F87" s="22"/>
      <c r="G87" s="6"/>
      <c r="H87" s="4"/>
      <c r="I87" s="4"/>
      <c r="J87" s="13" t="s">
        <v>131</v>
      </c>
      <c r="K87" s="8">
        <f>B87+Handicap!K87</f>
        <v>0</v>
      </c>
      <c r="L87" s="9">
        <f>C87+Handicap!L87</f>
        <v>0</v>
      </c>
      <c r="M87" s="10">
        <f>D87+Handicap!M87</f>
        <v>0</v>
      </c>
      <c r="N87" s="21">
        <f>E87+Handicap!N87</f>
        <v>0</v>
      </c>
      <c r="O87" s="22">
        <f>F87+Handicap!O87</f>
        <v>0</v>
      </c>
      <c r="P87" s="6">
        <f>G87+Handicap!P87</f>
        <v>0</v>
      </c>
      <c r="Q87" s="2"/>
    </row>
    <row r="88" spans="1:17" x14ac:dyDescent="0.35">
      <c r="A88" s="13" t="s">
        <v>132</v>
      </c>
      <c r="B88" s="8"/>
      <c r="C88" s="9"/>
      <c r="D88" s="10"/>
      <c r="E88" s="21"/>
      <c r="F88" s="22"/>
      <c r="G88" s="6"/>
      <c r="H88" s="4"/>
      <c r="I88" s="4"/>
      <c r="J88" s="13" t="s">
        <v>132</v>
      </c>
      <c r="K88" s="8">
        <f>B88+Handicap!K88</f>
        <v>0</v>
      </c>
      <c r="L88" s="9">
        <f>C88+Handicap!L88</f>
        <v>0</v>
      </c>
      <c r="M88" s="10">
        <f>D88+Handicap!M88</f>
        <v>0</v>
      </c>
      <c r="N88" s="21">
        <f>E88+Handicap!N88</f>
        <v>0</v>
      </c>
      <c r="O88" s="22">
        <f>F88+Handicap!O88</f>
        <v>0</v>
      </c>
      <c r="P88" s="6">
        <f>G88+Handicap!P88</f>
        <v>0</v>
      </c>
      <c r="Q88" s="2"/>
    </row>
    <row r="89" spans="1:17" x14ac:dyDescent="0.35">
      <c r="A89" s="13" t="s">
        <v>133</v>
      </c>
      <c r="B89" s="8"/>
      <c r="C89" s="9"/>
      <c r="D89" s="10"/>
      <c r="E89" s="21"/>
      <c r="F89" s="22"/>
      <c r="G89" s="6"/>
      <c r="H89" s="4"/>
      <c r="I89" s="4"/>
      <c r="J89" s="13" t="s">
        <v>133</v>
      </c>
      <c r="K89" s="8">
        <f>B89+Handicap!K89</f>
        <v>0</v>
      </c>
      <c r="L89" s="9">
        <f>C89+Handicap!L89</f>
        <v>0</v>
      </c>
      <c r="M89" s="10">
        <f>D89+Handicap!M89</f>
        <v>0</v>
      </c>
      <c r="N89" s="21">
        <f>E89+Handicap!N89</f>
        <v>0</v>
      </c>
      <c r="O89" s="22">
        <f>F89+Handicap!O89</f>
        <v>0</v>
      </c>
      <c r="P89" s="6">
        <f>G89+Handicap!P89</f>
        <v>0</v>
      </c>
      <c r="Q89" s="2"/>
    </row>
    <row r="90" spans="1:17" x14ac:dyDescent="0.35">
      <c r="A90" s="13" t="s">
        <v>134</v>
      </c>
      <c r="B90" s="8"/>
      <c r="C90" s="9"/>
      <c r="D90" s="10"/>
      <c r="E90" s="21"/>
      <c r="F90" s="22"/>
      <c r="G90" s="6"/>
      <c r="H90" s="4"/>
      <c r="I90" s="4"/>
      <c r="J90" s="13" t="s">
        <v>134</v>
      </c>
      <c r="K90" s="8">
        <f>B90+Handicap!K90</f>
        <v>0</v>
      </c>
      <c r="L90" s="9">
        <f>C90+Handicap!L90</f>
        <v>0</v>
      </c>
      <c r="M90" s="10">
        <f>D90+Handicap!M90</f>
        <v>0</v>
      </c>
      <c r="N90" s="21">
        <f>E90+Handicap!N90</f>
        <v>0</v>
      </c>
      <c r="O90" s="22">
        <f>F90+Handicap!O90</f>
        <v>0</v>
      </c>
      <c r="P90" s="6">
        <f>G90+Handicap!P90</f>
        <v>0</v>
      </c>
      <c r="Q90" s="2"/>
    </row>
    <row r="91" spans="1:17" x14ac:dyDescent="0.35">
      <c r="A91" s="13" t="s">
        <v>135</v>
      </c>
      <c r="B91" s="8"/>
      <c r="C91" s="9"/>
      <c r="D91" s="10"/>
      <c r="E91" s="21"/>
      <c r="F91" s="22"/>
      <c r="G91" s="6"/>
      <c r="H91" s="4"/>
      <c r="I91" s="4"/>
      <c r="J91" s="13" t="s">
        <v>135</v>
      </c>
      <c r="K91" s="8">
        <f>B91+Handicap!K91</f>
        <v>0</v>
      </c>
      <c r="L91" s="9">
        <f>C91+Handicap!L91</f>
        <v>0</v>
      </c>
      <c r="M91" s="10">
        <f>D91+Handicap!M91</f>
        <v>0</v>
      </c>
      <c r="N91" s="21">
        <f>E91+Handicap!N91</f>
        <v>0</v>
      </c>
      <c r="O91" s="22">
        <f>F91+Handicap!O91</f>
        <v>0</v>
      </c>
      <c r="P91" s="6">
        <f>G91+Handicap!P91</f>
        <v>0</v>
      </c>
      <c r="Q91" s="2"/>
    </row>
    <row r="92" spans="1:17" x14ac:dyDescent="0.35">
      <c r="A92" s="13" t="s">
        <v>136</v>
      </c>
      <c r="B92" s="8"/>
      <c r="C92" s="9"/>
      <c r="D92" s="10"/>
      <c r="E92" s="21"/>
      <c r="F92" s="22"/>
      <c r="G92" s="6"/>
      <c r="H92" s="4"/>
      <c r="I92" s="4"/>
      <c r="J92" s="13" t="s">
        <v>136</v>
      </c>
      <c r="K92" s="8">
        <f>B92+Handicap!K92</f>
        <v>0</v>
      </c>
      <c r="L92" s="9">
        <f>C92+Handicap!L92</f>
        <v>0</v>
      </c>
      <c r="M92" s="10">
        <f>D92+Handicap!M92</f>
        <v>0</v>
      </c>
      <c r="N92" s="21">
        <f>E92+Handicap!N92</f>
        <v>0</v>
      </c>
      <c r="O92" s="22">
        <f>F92+Handicap!O92</f>
        <v>0</v>
      </c>
      <c r="P92" s="6">
        <f>G92+Handicap!P92</f>
        <v>0</v>
      </c>
      <c r="Q92" s="2"/>
    </row>
    <row r="93" spans="1:17" x14ac:dyDescent="0.35">
      <c r="A93" s="13" t="s">
        <v>137</v>
      </c>
      <c r="B93" s="8"/>
      <c r="C93" s="9"/>
      <c r="D93" s="10"/>
      <c r="E93" s="21"/>
      <c r="F93" s="22"/>
      <c r="G93" s="6"/>
      <c r="H93" s="4"/>
      <c r="I93" s="4"/>
      <c r="J93" s="13" t="s">
        <v>137</v>
      </c>
      <c r="K93" s="8">
        <f>B93+Handicap!K93</f>
        <v>0</v>
      </c>
      <c r="L93" s="9">
        <f>C93+Handicap!L93</f>
        <v>0</v>
      </c>
      <c r="M93" s="10">
        <f>D93+Handicap!M93</f>
        <v>0</v>
      </c>
      <c r="N93" s="21">
        <f>E93+Handicap!N93</f>
        <v>0</v>
      </c>
      <c r="O93" s="22">
        <f>F93+Handicap!O93</f>
        <v>0</v>
      </c>
      <c r="P93" s="6">
        <f>G93+Handicap!P93</f>
        <v>0</v>
      </c>
      <c r="Q93" s="2"/>
    </row>
    <row r="94" spans="1:17" x14ac:dyDescent="0.35">
      <c r="A94" s="13" t="s">
        <v>138</v>
      </c>
      <c r="B94" s="8"/>
      <c r="C94" s="9"/>
      <c r="D94" s="10"/>
      <c r="E94" s="21"/>
      <c r="F94" s="22"/>
      <c r="G94" s="6"/>
      <c r="H94" s="4"/>
      <c r="I94" s="4"/>
      <c r="J94" s="13" t="s">
        <v>138</v>
      </c>
      <c r="K94" s="8">
        <f>B94+Handicap!K94</f>
        <v>0</v>
      </c>
      <c r="L94" s="9">
        <f>C94+Handicap!L94</f>
        <v>0</v>
      </c>
      <c r="M94" s="10">
        <f>D94+Handicap!M94</f>
        <v>0</v>
      </c>
      <c r="N94" s="21">
        <f>E94+Handicap!N94</f>
        <v>0</v>
      </c>
      <c r="O94" s="22">
        <f>F94+Handicap!O94</f>
        <v>0</v>
      </c>
      <c r="P94" s="6">
        <f>G94+Handicap!P94</f>
        <v>0</v>
      </c>
      <c r="Q94" s="2"/>
    </row>
    <row r="95" spans="1:17" x14ac:dyDescent="0.35">
      <c r="A95" s="13" t="s">
        <v>139</v>
      </c>
      <c r="B95" s="8"/>
      <c r="C95" s="9"/>
      <c r="D95" s="10"/>
      <c r="E95" s="21"/>
      <c r="F95" s="22"/>
      <c r="G95" s="6"/>
      <c r="H95" s="4"/>
      <c r="I95" s="4"/>
      <c r="J95" s="13" t="s">
        <v>139</v>
      </c>
      <c r="K95" s="8">
        <f>B95+Handicap!K95</f>
        <v>0</v>
      </c>
      <c r="L95" s="9">
        <f>C95+Handicap!L95</f>
        <v>0</v>
      </c>
      <c r="M95" s="10">
        <f>D95+Handicap!M95</f>
        <v>0</v>
      </c>
      <c r="N95" s="21">
        <f>E95+Handicap!N95</f>
        <v>0</v>
      </c>
      <c r="O95" s="22">
        <f>F95+Handicap!O95</f>
        <v>0</v>
      </c>
      <c r="P95" s="6">
        <f>G95+Handicap!P95</f>
        <v>0</v>
      </c>
      <c r="Q95" s="2"/>
    </row>
    <row r="96" spans="1:17" x14ac:dyDescent="0.35">
      <c r="A96" s="13" t="s">
        <v>141</v>
      </c>
      <c r="B96" s="8"/>
      <c r="C96" s="9"/>
      <c r="D96" s="10"/>
      <c r="E96" s="21"/>
      <c r="F96" s="22"/>
      <c r="G96" s="6"/>
      <c r="H96" s="4"/>
      <c r="I96" s="4"/>
      <c r="J96" s="13" t="s">
        <v>141</v>
      </c>
      <c r="K96" s="8">
        <f>B96+Handicap!K96</f>
        <v>0</v>
      </c>
      <c r="L96" s="9">
        <f>C96+Handicap!L96</f>
        <v>0</v>
      </c>
      <c r="M96" s="10">
        <f>D96+Handicap!M96</f>
        <v>0</v>
      </c>
      <c r="N96" s="21">
        <f>E96+Handicap!N96</f>
        <v>0</v>
      </c>
      <c r="O96" s="22">
        <f>F96+Handicap!O96</f>
        <v>0</v>
      </c>
      <c r="P96" s="6">
        <f>G96+Handicap!P96</f>
        <v>0</v>
      </c>
      <c r="Q96" s="2"/>
    </row>
    <row r="97" spans="1:17" x14ac:dyDescent="0.35">
      <c r="A97" s="13" t="s">
        <v>142</v>
      </c>
      <c r="B97" s="8"/>
      <c r="C97" s="9"/>
      <c r="D97" s="10"/>
      <c r="E97" s="21"/>
      <c r="F97" s="22"/>
      <c r="G97" s="6"/>
      <c r="H97" s="4"/>
      <c r="I97" s="4"/>
      <c r="J97" s="13" t="s">
        <v>142</v>
      </c>
      <c r="K97" s="8">
        <f>B97+Handicap!K97</f>
        <v>0</v>
      </c>
      <c r="L97" s="9">
        <f>C97+Handicap!L97</f>
        <v>0</v>
      </c>
      <c r="M97" s="10">
        <f>D97+Handicap!M97</f>
        <v>0</v>
      </c>
      <c r="N97" s="21">
        <f>E97+Handicap!N97</f>
        <v>0</v>
      </c>
      <c r="O97" s="22">
        <f>F97+Handicap!O97</f>
        <v>0</v>
      </c>
      <c r="P97" s="6">
        <f>G97+Handicap!P97</f>
        <v>0</v>
      </c>
      <c r="Q97" s="2"/>
    </row>
    <row r="98" spans="1:17" x14ac:dyDescent="0.35">
      <c r="A98" s="13" t="s">
        <v>140</v>
      </c>
      <c r="B98" s="8"/>
      <c r="C98" s="9"/>
      <c r="D98" s="10"/>
      <c r="E98" s="21"/>
      <c r="F98" s="22"/>
      <c r="G98" s="6"/>
      <c r="H98" s="4"/>
      <c r="I98" s="4"/>
      <c r="J98" s="13" t="s">
        <v>140</v>
      </c>
      <c r="K98" s="8">
        <f>B98+Handicap!K98</f>
        <v>0</v>
      </c>
      <c r="L98" s="9">
        <f>C98+Handicap!L98</f>
        <v>0</v>
      </c>
      <c r="M98" s="10">
        <f>D98+Handicap!M98</f>
        <v>0</v>
      </c>
      <c r="N98" s="21">
        <f>E98+Handicap!N98</f>
        <v>0</v>
      </c>
      <c r="O98" s="22">
        <f>F98+Handicap!O98</f>
        <v>0</v>
      </c>
      <c r="P98" s="6">
        <f>G98+Handicap!P98</f>
        <v>0</v>
      </c>
      <c r="Q98" s="2"/>
    </row>
    <row r="99" spans="1:17" x14ac:dyDescent="0.35">
      <c r="A99" s="13" t="s">
        <v>143</v>
      </c>
      <c r="B99" s="8"/>
      <c r="C99" s="9"/>
      <c r="D99" s="10"/>
      <c r="E99" s="21"/>
      <c r="F99" s="22"/>
      <c r="G99" s="6"/>
      <c r="H99" s="4"/>
      <c r="I99" s="4"/>
      <c r="J99" s="13" t="s">
        <v>143</v>
      </c>
      <c r="K99" s="8">
        <f>B99+Handicap!K99</f>
        <v>0</v>
      </c>
      <c r="L99" s="9">
        <f>C99+Handicap!L99</f>
        <v>0</v>
      </c>
      <c r="M99" s="10">
        <f>D99+Handicap!M99</f>
        <v>0</v>
      </c>
      <c r="N99" s="21">
        <f>E99+Handicap!N99</f>
        <v>0</v>
      </c>
      <c r="O99" s="22">
        <f>F99+Handicap!O99</f>
        <v>0</v>
      </c>
      <c r="P99" s="6">
        <f>G99+Handicap!P99</f>
        <v>0</v>
      </c>
      <c r="Q99" s="2"/>
    </row>
    <row r="100" spans="1:17" x14ac:dyDescent="0.35">
      <c r="A100" s="13" t="s">
        <v>144</v>
      </c>
      <c r="B100" s="8"/>
      <c r="C100" s="9"/>
      <c r="D100" s="10"/>
      <c r="E100" s="21"/>
      <c r="F100" s="22"/>
      <c r="G100" s="6"/>
      <c r="H100" s="4"/>
      <c r="I100" s="4"/>
      <c r="J100" s="13" t="s">
        <v>144</v>
      </c>
      <c r="K100" s="8">
        <f>B100+Handicap!K100</f>
        <v>0</v>
      </c>
      <c r="L100" s="9">
        <f>C100+Handicap!L100</f>
        <v>0</v>
      </c>
      <c r="M100" s="10">
        <f>D100+Handicap!M100</f>
        <v>0</v>
      </c>
      <c r="N100" s="21">
        <f>E100+Handicap!N100</f>
        <v>0</v>
      </c>
      <c r="O100" s="22">
        <f>F100+Handicap!O100</f>
        <v>0</v>
      </c>
      <c r="P100" s="6">
        <f>G100+Handicap!P100</f>
        <v>0</v>
      </c>
      <c r="Q100" s="2"/>
    </row>
    <row r="101" spans="1:17" x14ac:dyDescent="0.35">
      <c r="A101" s="13" t="s">
        <v>145</v>
      </c>
      <c r="B101" s="8"/>
      <c r="C101" s="9"/>
      <c r="D101" s="10"/>
      <c r="E101" s="21"/>
      <c r="F101" s="22"/>
      <c r="G101" s="6"/>
      <c r="H101" s="4"/>
      <c r="I101" s="4"/>
      <c r="J101" s="13" t="s">
        <v>145</v>
      </c>
      <c r="K101" s="8">
        <f>B101+Handicap!K101</f>
        <v>0</v>
      </c>
      <c r="L101" s="9">
        <f>C101+Handicap!L101</f>
        <v>0</v>
      </c>
      <c r="M101" s="10">
        <f>D101+Handicap!M101</f>
        <v>0</v>
      </c>
      <c r="N101" s="21">
        <f>E101+Handicap!N101</f>
        <v>0</v>
      </c>
      <c r="O101" s="22">
        <f>F101+Handicap!O101</f>
        <v>0</v>
      </c>
      <c r="P101" s="6">
        <f>G101+Handicap!P101</f>
        <v>0</v>
      </c>
      <c r="Q101" s="2"/>
    </row>
    <row r="102" spans="1:17" x14ac:dyDescent="0.35">
      <c r="A102" s="13" t="s">
        <v>148</v>
      </c>
      <c r="B102" s="8"/>
      <c r="C102" s="9"/>
      <c r="D102" s="10"/>
      <c r="E102" s="21"/>
      <c r="F102" s="22"/>
      <c r="G102" s="6"/>
      <c r="H102" s="4"/>
      <c r="I102" s="4"/>
      <c r="J102" s="13" t="s">
        <v>148</v>
      </c>
      <c r="K102" s="8">
        <f>B102+Handicap!K102</f>
        <v>0</v>
      </c>
      <c r="L102" s="9">
        <f>C102+Handicap!L102</f>
        <v>0</v>
      </c>
      <c r="M102" s="10">
        <f>D102+Handicap!M102</f>
        <v>0</v>
      </c>
      <c r="N102" s="21">
        <f>E102+Handicap!N102</f>
        <v>0</v>
      </c>
      <c r="O102" s="22">
        <f>F102+Handicap!O102</f>
        <v>0</v>
      </c>
      <c r="P102" s="6">
        <f>G102+Handicap!P102</f>
        <v>0</v>
      </c>
      <c r="Q102" s="2"/>
    </row>
    <row r="103" spans="1:17" x14ac:dyDescent="0.35">
      <c r="A103" s="13" t="s">
        <v>149</v>
      </c>
      <c r="B103" s="8"/>
      <c r="C103" s="9"/>
      <c r="D103" s="10"/>
      <c r="E103" s="21"/>
      <c r="F103" s="22"/>
      <c r="G103" s="6"/>
      <c r="H103" s="4"/>
      <c r="I103" s="4"/>
      <c r="J103" s="13" t="s">
        <v>149</v>
      </c>
      <c r="K103" s="8">
        <f>B103+Handicap!K103</f>
        <v>0</v>
      </c>
      <c r="L103" s="9">
        <f>C103+Handicap!L103</f>
        <v>0</v>
      </c>
      <c r="M103" s="10">
        <f>D103+Handicap!M103</f>
        <v>0</v>
      </c>
      <c r="N103" s="21">
        <f>E103+Handicap!N103</f>
        <v>0</v>
      </c>
      <c r="O103" s="22">
        <f>F103+Handicap!O103</f>
        <v>0</v>
      </c>
      <c r="P103" s="6">
        <f>G103+Handicap!P103</f>
        <v>0</v>
      </c>
      <c r="Q103" s="2"/>
    </row>
    <row r="104" spans="1:17" x14ac:dyDescent="0.35">
      <c r="A104" s="13" t="s">
        <v>146</v>
      </c>
      <c r="B104" s="8"/>
      <c r="C104" s="9"/>
      <c r="D104" s="10"/>
      <c r="E104" s="21"/>
      <c r="F104" s="22"/>
      <c r="G104" s="6"/>
      <c r="H104" s="4"/>
      <c r="I104" s="4"/>
      <c r="J104" s="13" t="s">
        <v>146</v>
      </c>
      <c r="K104" s="8">
        <f>B104+Handicap!K104</f>
        <v>0</v>
      </c>
      <c r="L104" s="9">
        <f>C104+Handicap!L104</f>
        <v>0</v>
      </c>
      <c r="M104" s="10">
        <f>D104+Handicap!M104</f>
        <v>0</v>
      </c>
      <c r="N104" s="21">
        <f>E104+Handicap!N104</f>
        <v>0</v>
      </c>
      <c r="O104" s="22">
        <f>F104+Handicap!O104</f>
        <v>0</v>
      </c>
      <c r="P104" s="6">
        <f>G104+Handicap!P104</f>
        <v>0</v>
      </c>
      <c r="Q104" s="2"/>
    </row>
    <row r="105" spans="1:17" x14ac:dyDescent="0.35">
      <c r="A105" s="13" t="s">
        <v>150</v>
      </c>
      <c r="B105" s="8"/>
      <c r="C105" s="9"/>
      <c r="D105" s="10"/>
      <c r="E105" s="21"/>
      <c r="F105" s="22"/>
      <c r="G105" s="6"/>
      <c r="H105" s="4"/>
      <c r="I105" s="4"/>
      <c r="J105" s="13" t="s">
        <v>150</v>
      </c>
      <c r="K105" s="8">
        <f>B105+Handicap!K105</f>
        <v>0</v>
      </c>
      <c r="L105" s="9">
        <f>C105+Handicap!L105</f>
        <v>0</v>
      </c>
      <c r="M105" s="10">
        <f>D105+Handicap!M105</f>
        <v>0</v>
      </c>
      <c r="N105" s="21">
        <f>E105+Handicap!N105</f>
        <v>0</v>
      </c>
      <c r="O105" s="22">
        <f>F105+Handicap!O105</f>
        <v>0</v>
      </c>
      <c r="P105" s="6">
        <f>G105+Handicap!P105</f>
        <v>0</v>
      </c>
      <c r="Q105" s="2"/>
    </row>
    <row r="106" spans="1:17" x14ac:dyDescent="0.35">
      <c r="A106" s="13" t="s">
        <v>151</v>
      </c>
      <c r="B106" s="8"/>
      <c r="C106" s="9"/>
      <c r="D106" s="10"/>
      <c r="E106" s="21"/>
      <c r="F106" s="22"/>
      <c r="G106" s="6"/>
      <c r="H106" s="4"/>
      <c r="I106" s="4"/>
      <c r="J106" s="13" t="s">
        <v>151</v>
      </c>
      <c r="K106" s="8">
        <f>B106+Handicap!K106</f>
        <v>0</v>
      </c>
      <c r="L106" s="9">
        <f>C106+Handicap!L106</f>
        <v>0</v>
      </c>
      <c r="M106" s="10">
        <f>D106+Handicap!M106</f>
        <v>0</v>
      </c>
      <c r="N106" s="21">
        <f>E106+Handicap!N106</f>
        <v>0</v>
      </c>
      <c r="O106" s="22">
        <f>F106+Handicap!O106</f>
        <v>0</v>
      </c>
      <c r="P106" s="6">
        <f>G106+Handicap!P106</f>
        <v>0</v>
      </c>
      <c r="Q106" s="2"/>
    </row>
    <row r="107" spans="1:17" x14ac:dyDescent="0.35">
      <c r="A107" s="13" t="s">
        <v>147</v>
      </c>
      <c r="B107" s="8"/>
      <c r="C107" s="9"/>
      <c r="D107" s="10"/>
      <c r="E107" s="21"/>
      <c r="F107" s="22"/>
      <c r="G107" s="6"/>
      <c r="H107" s="4"/>
      <c r="I107" s="4"/>
      <c r="J107" s="13" t="s">
        <v>147</v>
      </c>
      <c r="K107" s="8">
        <f>B107+Handicap!K107</f>
        <v>0</v>
      </c>
      <c r="L107" s="9">
        <f>C107+Handicap!L107</f>
        <v>0</v>
      </c>
      <c r="M107" s="10">
        <f>D107+Handicap!M107</f>
        <v>0</v>
      </c>
      <c r="N107" s="21">
        <f>E107+Handicap!N107</f>
        <v>0</v>
      </c>
      <c r="O107" s="22">
        <f>F107+Handicap!O107</f>
        <v>0</v>
      </c>
      <c r="P107" s="6">
        <f>G107+Handicap!P107</f>
        <v>0</v>
      </c>
      <c r="Q107" s="2"/>
    </row>
    <row r="108" spans="1:17" x14ac:dyDescent="0.35">
      <c r="A108" s="13" t="s">
        <v>152</v>
      </c>
      <c r="B108" s="8"/>
      <c r="C108" s="9"/>
      <c r="D108" s="10"/>
      <c r="E108" s="21"/>
      <c r="F108" s="22"/>
      <c r="G108" s="6"/>
      <c r="H108" s="4"/>
      <c r="I108" s="4"/>
      <c r="J108" s="13" t="s">
        <v>152</v>
      </c>
      <c r="K108" s="8">
        <f>B108+Handicap!K108</f>
        <v>0</v>
      </c>
      <c r="L108" s="9">
        <f>C108+Handicap!L108</f>
        <v>0</v>
      </c>
      <c r="M108" s="10">
        <f>D108+Handicap!M108</f>
        <v>0</v>
      </c>
      <c r="N108" s="21">
        <f>E108+Handicap!N108</f>
        <v>0</v>
      </c>
      <c r="O108" s="22">
        <f>F108+Handicap!O108</f>
        <v>0</v>
      </c>
      <c r="P108" s="6">
        <f>G108+Handicap!P108</f>
        <v>0</v>
      </c>
      <c r="Q108" s="2"/>
    </row>
    <row r="109" spans="1:17" x14ac:dyDescent="0.35">
      <c r="A109" s="13" t="s">
        <v>153</v>
      </c>
      <c r="B109" s="8"/>
      <c r="C109" s="9"/>
      <c r="D109" s="10"/>
      <c r="E109" s="21"/>
      <c r="F109" s="22"/>
      <c r="G109" s="6"/>
      <c r="H109" s="4"/>
      <c r="I109" s="4"/>
      <c r="J109" s="13" t="s">
        <v>153</v>
      </c>
      <c r="K109" s="8">
        <f>B109+Handicap!K109</f>
        <v>0</v>
      </c>
      <c r="L109" s="9">
        <f>C109+Handicap!L109</f>
        <v>0</v>
      </c>
      <c r="M109" s="10">
        <f>D109+Handicap!M109</f>
        <v>0</v>
      </c>
      <c r="N109" s="21">
        <f>E109+Handicap!N109</f>
        <v>0</v>
      </c>
      <c r="O109" s="22">
        <f>F109+Handicap!O109</f>
        <v>0</v>
      </c>
      <c r="P109" s="6">
        <f>G109+Handicap!P109</f>
        <v>0</v>
      </c>
      <c r="Q109" s="2"/>
    </row>
    <row r="110" spans="1:17" x14ac:dyDescent="0.35">
      <c r="A110" s="13" t="s">
        <v>154</v>
      </c>
      <c r="B110" s="8"/>
      <c r="C110" s="9"/>
      <c r="D110" s="10"/>
      <c r="E110" s="21"/>
      <c r="F110" s="22"/>
      <c r="G110" s="6"/>
      <c r="H110" s="4"/>
      <c r="I110" s="4"/>
      <c r="J110" s="13" t="s">
        <v>154</v>
      </c>
      <c r="K110" s="8">
        <f>B110+Handicap!K110</f>
        <v>0</v>
      </c>
      <c r="L110" s="9">
        <f>C110+Handicap!L110</f>
        <v>0</v>
      </c>
      <c r="M110" s="10">
        <f>D110+Handicap!M110</f>
        <v>0</v>
      </c>
      <c r="N110" s="21">
        <f>E110+Handicap!N110</f>
        <v>0</v>
      </c>
      <c r="O110" s="22">
        <f>F110+Handicap!O110</f>
        <v>0</v>
      </c>
      <c r="P110" s="6">
        <f>G110+Handicap!P110</f>
        <v>0</v>
      </c>
      <c r="Q110" s="2"/>
    </row>
    <row r="111" spans="1:17" x14ac:dyDescent="0.35">
      <c r="A111" s="13" t="s">
        <v>155</v>
      </c>
      <c r="B111" s="8"/>
      <c r="C111" s="9"/>
      <c r="D111" s="10"/>
      <c r="E111" s="21"/>
      <c r="F111" s="22"/>
      <c r="G111" s="6"/>
      <c r="H111" s="4"/>
      <c r="I111" s="4"/>
      <c r="J111" s="13" t="s">
        <v>155</v>
      </c>
      <c r="K111" s="8">
        <f>B111+Handicap!K111</f>
        <v>0</v>
      </c>
      <c r="L111" s="9">
        <f>C111+Handicap!L111</f>
        <v>0</v>
      </c>
      <c r="M111" s="10">
        <f>D111+Handicap!M111</f>
        <v>0</v>
      </c>
      <c r="N111" s="21">
        <f>E111+Handicap!N111</f>
        <v>0</v>
      </c>
      <c r="O111" s="22">
        <f>F111+Handicap!O111</f>
        <v>0</v>
      </c>
      <c r="P111" s="6">
        <f>G111+Handicap!P111</f>
        <v>0</v>
      </c>
      <c r="Q111" s="2"/>
    </row>
    <row r="112" spans="1:17" x14ac:dyDescent="0.35">
      <c r="A112" s="13" t="s">
        <v>156</v>
      </c>
      <c r="B112" s="8"/>
      <c r="C112" s="9"/>
      <c r="D112" s="10"/>
      <c r="E112" s="21"/>
      <c r="F112" s="22"/>
      <c r="G112" s="6"/>
      <c r="H112" s="4"/>
      <c r="I112" s="4"/>
      <c r="J112" s="13" t="s">
        <v>156</v>
      </c>
      <c r="K112" s="8">
        <f>B112+Handicap!K112</f>
        <v>0</v>
      </c>
      <c r="L112" s="9">
        <f>C112+Handicap!L112</f>
        <v>0</v>
      </c>
      <c r="M112" s="10">
        <f>D112+Handicap!M112</f>
        <v>0</v>
      </c>
      <c r="N112" s="21">
        <f>E112+Handicap!N112</f>
        <v>0</v>
      </c>
      <c r="O112" s="22">
        <f>F112+Handicap!O112</f>
        <v>0</v>
      </c>
      <c r="P112" s="6">
        <f>G112+Handicap!P112</f>
        <v>0</v>
      </c>
      <c r="Q112" s="2"/>
    </row>
    <row r="113" spans="1:17" x14ac:dyDescent="0.35">
      <c r="A113" s="2"/>
      <c r="B113" s="2"/>
      <c r="C113" s="2"/>
      <c r="D113" s="2"/>
      <c r="E113" s="2"/>
      <c r="F113" s="2"/>
      <c r="G113" s="2"/>
      <c r="H113" s="2"/>
      <c r="I113" s="2"/>
      <c r="J113" s="14"/>
      <c r="K113" s="14"/>
      <c r="L113" s="14"/>
      <c r="M113" s="14"/>
      <c r="N113" s="14"/>
      <c r="O113" s="14"/>
      <c r="P113" s="14"/>
      <c r="Q113" s="2"/>
    </row>
    <row r="114" spans="1:17" x14ac:dyDescent="0.35">
      <c r="A114" s="2"/>
      <c r="B114" s="2"/>
      <c r="C114" s="2"/>
      <c r="D114" s="2"/>
      <c r="E114" s="2"/>
      <c r="F114" s="2"/>
      <c r="G114" s="2"/>
      <c r="H114" s="2"/>
      <c r="I114" s="2"/>
      <c r="J114" s="14"/>
      <c r="K114" s="14"/>
      <c r="L114" s="14"/>
      <c r="M114" s="14"/>
      <c r="N114" s="14"/>
      <c r="O114" s="14"/>
      <c r="P114" s="14"/>
      <c r="Q114" s="2"/>
    </row>
    <row r="115" spans="1:17" x14ac:dyDescent="0.35">
      <c r="A115" s="2"/>
      <c r="B115" s="2"/>
      <c r="C115" s="2"/>
      <c r="D115" s="2"/>
      <c r="E115" s="2"/>
      <c r="F115" s="2"/>
      <c r="G115" s="2"/>
      <c r="H115" s="2"/>
      <c r="I115" s="2"/>
      <c r="J115" s="14"/>
      <c r="K115" s="14"/>
      <c r="L115" s="14"/>
      <c r="M115" s="14"/>
      <c r="N115" s="14"/>
      <c r="O115" s="14"/>
      <c r="P115" s="14"/>
      <c r="Q115" s="2"/>
    </row>
    <row r="116" spans="1:17" x14ac:dyDescent="0.35">
      <c r="A116" s="2"/>
      <c r="B116" s="2"/>
      <c r="C116" s="2"/>
      <c r="D116" s="2"/>
      <c r="E116" s="2"/>
      <c r="F116" s="2"/>
      <c r="G116" s="2"/>
      <c r="H116" s="2"/>
      <c r="I116" s="2"/>
      <c r="J116" s="14"/>
      <c r="K116" s="14"/>
      <c r="L116" s="14"/>
      <c r="M116" s="14"/>
      <c r="N116" s="14"/>
      <c r="O116" s="14"/>
      <c r="P116" s="14"/>
      <c r="Q116" s="2"/>
    </row>
  </sheetData>
  <mergeCells count="2">
    <mergeCell ref="C2:F2"/>
    <mergeCell ref="L2:O2"/>
  </mergeCells>
  <pageMargins left="0.7" right="0.7" top="0.75" bottom="0.75" header="0.3" footer="0.3"/>
  <pageSetup orientation="portrait" r:id="rId1"/>
  <headerFooter>
    <oddHeader>&amp;L&amp;"Aptos"&amp;12&amp;K03C03C Public&amp;1#_x000D_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35813-51A5-4A44-85F0-EB4D290740AE}">
  <dimension ref="A1:Q116"/>
  <sheetViews>
    <sheetView topLeftCell="B1" workbookViewId="0">
      <pane ySplit="4" topLeftCell="A5" activePane="bottomLeft" state="frozen"/>
      <selection pane="bottomLeft" activeCell="O13" sqref="O13"/>
    </sheetView>
  </sheetViews>
  <sheetFormatPr defaultRowHeight="14.5" x14ac:dyDescent="0.35"/>
  <cols>
    <col min="1" max="1" width="18.453125" customWidth="1"/>
    <col min="2" max="7" width="10.7265625" customWidth="1"/>
    <col min="10" max="10" width="18.453125" customWidth="1"/>
    <col min="11" max="16" width="10.7265625" customWidth="1"/>
  </cols>
  <sheetData>
    <row r="1" spans="1:17" x14ac:dyDescent="0.35">
      <c r="A1" s="3"/>
      <c r="B1" s="3"/>
      <c r="C1" s="4"/>
      <c r="D1" s="4"/>
      <c r="E1" s="4"/>
      <c r="F1" s="4"/>
      <c r="G1" s="4"/>
      <c r="H1" s="4"/>
      <c r="I1" s="2"/>
      <c r="J1" s="2"/>
      <c r="K1" s="2"/>
      <c r="L1" s="2"/>
      <c r="M1" s="2"/>
      <c r="N1" s="2"/>
      <c r="O1" s="2"/>
      <c r="P1" s="2"/>
      <c r="Q1" s="2"/>
    </row>
    <row r="2" spans="1:17" x14ac:dyDescent="0.35">
      <c r="A2" s="3"/>
      <c r="B2" s="2"/>
      <c r="C2" s="244" t="s">
        <v>165</v>
      </c>
      <c r="D2" s="245"/>
      <c r="E2" s="245"/>
      <c r="F2" s="245"/>
      <c r="G2" s="2"/>
      <c r="H2" s="2"/>
      <c r="I2" s="2"/>
      <c r="J2" s="2"/>
      <c r="K2" s="2"/>
      <c r="L2" s="244" t="s">
        <v>166</v>
      </c>
      <c r="M2" s="245"/>
      <c r="N2" s="245"/>
      <c r="O2" s="245"/>
      <c r="P2" s="2"/>
      <c r="Q2" s="2"/>
    </row>
    <row r="3" spans="1:17" x14ac:dyDescent="0.35">
      <c r="A3" s="3"/>
      <c r="B3" s="2"/>
      <c r="C3" s="2"/>
      <c r="D3" s="2"/>
      <c r="E3" s="2"/>
      <c r="F3" s="2"/>
      <c r="G3" s="2"/>
      <c r="H3" s="2"/>
      <c r="I3" s="2"/>
      <c r="J3" s="3"/>
      <c r="K3" s="2"/>
      <c r="L3" s="2"/>
      <c r="M3" s="2"/>
      <c r="N3" s="2"/>
      <c r="O3" s="2"/>
      <c r="P3" s="2"/>
      <c r="Q3" s="2"/>
    </row>
    <row r="4" spans="1:17" x14ac:dyDescent="0.35">
      <c r="A4" s="12"/>
      <c r="B4" s="15" t="s">
        <v>0</v>
      </c>
      <c r="C4" s="16" t="s">
        <v>1</v>
      </c>
      <c r="D4" s="17" t="s">
        <v>2</v>
      </c>
      <c r="E4" s="24" t="s">
        <v>3</v>
      </c>
      <c r="F4" s="23" t="s">
        <v>4</v>
      </c>
      <c r="G4" s="18" t="s">
        <v>5</v>
      </c>
      <c r="H4" s="4"/>
      <c r="I4" s="2"/>
      <c r="J4" s="12"/>
      <c r="K4" s="15" t="s">
        <v>0</v>
      </c>
      <c r="L4" s="16" t="s">
        <v>1</v>
      </c>
      <c r="M4" s="17" t="s">
        <v>2</v>
      </c>
      <c r="N4" s="24" t="s">
        <v>3</v>
      </c>
      <c r="O4" s="23" t="s">
        <v>4</v>
      </c>
      <c r="P4" s="18" t="s">
        <v>5</v>
      </c>
      <c r="Q4" s="2"/>
    </row>
    <row r="5" spans="1:17" x14ac:dyDescent="0.35">
      <c r="A5" s="13" t="s">
        <v>49</v>
      </c>
      <c r="B5" s="8">
        <v>20</v>
      </c>
      <c r="C5" s="9">
        <v>0</v>
      </c>
      <c r="D5" s="10">
        <v>0</v>
      </c>
      <c r="E5" s="21">
        <v>0</v>
      </c>
      <c r="F5" s="22">
        <v>4</v>
      </c>
      <c r="G5" s="177"/>
      <c r="H5" s="4"/>
      <c r="I5" s="2"/>
      <c r="J5" s="13" t="s">
        <v>49</v>
      </c>
      <c r="K5" s="8">
        <v>0</v>
      </c>
      <c r="L5" s="9">
        <v>1</v>
      </c>
      <c r="M5" s="10">
        <v>0</v>
      </c>
      <c r="N5" s="21">
        <v>4</v>
      </c>
      <c r="O5" s="22">
        <v>0</v>
      </c>
      <c r="P5" s="177"/>
      <c r="Q5" s="2"/>
    </row>
    <row r="6" spans="1:17" x14ac:dyDescent="0.35">
      <c r="A6" s="13" t="s">
        <v>50</v>
      </c>
      <c r="B6" s="8">
        <v>20</v>
      </c>
      <c r="C6" s="9">
        <v>0</v>
      </c>
      <c r="D6" s="10">
        <v>0</v>
      </c>
      <c r="E6" s="21">
        <v>0</v>
      </c>
      <c r="F6" s="22">
        <v>4</v>
      </c>
      <c r="G6" s="177"/>
      <c r="H6" s="4"/>
      <c r="I6" s="2"/>
      <c r="J6" s="13" t="s">
        <v>50</v>
      </c>
      <c r="K6" s="8">
        <v>0</v>
      </c>
      <c r="L6" s="9">
        <v>1</v>
      </c>
      <c r="M6" s="10">
        <v>0</v>
      </c>
      <c r="N6" s="21">
        <v>4</v>
      </c>
      <c r="O6" s="22">
        <v>0</v>
      </c>
      <c r="P6" s="177"/>
      <c r="Q6" s="2"/>
    </row>
    <row r="7" spans="1:17" x14ac:dyDescent="0.35">
      <c r="A7" s="13" t="s">
        <v>51</v>
      </c>
      <c r="B7" s="8">
        <v>20</v>
      </c>
      <c r="C7" s="9">
        <v>0</v>
      </c>
      <c r="D7" s="10">
        <v>0</v>
      </c>
      <c r="E7" s="21">
        <v>0</v>
      </c>
      <c r="F7" s="22">
        <v>4</v>
      </c>
      <c r="G7" s="177"/>
      <c r="H7" s="4"/>
      <c r="I7" s="2"/>
      <c r="J7" s="13" t="s">
        <v>51</v>
      </c>
      <c r="K7" s="8">
        <v>0</v>
      </c>
      <c r="L7" s="9">
        <v>1</v>
      </c>
      <c r="M7" s="10">
        <v>0</v>
      </c>
      <c r="N7" s="21">
        <v>4</v>
      </c>
      <c r="O7" s="22">
        <v>0</v>
      </c>
      <c r="P7" s="177"/>
      <c r="Q7" s="2"/>
    </row>
    <row r="8" spans="1:17" x14ac:dyDescent="0.35">
      <c r="A8" s="13" t="s">
        <v>52</v>
      </c>
      <c r="B8" s="8">
        <v>16</v>
      </c>
      <c r="C8" s="9">
        <v>0</v>
      </c>
      <c r="D8" s="10">
        <v>0</v>
      </c>
      <c r="E8" s="21">
        <v>4</v>
      </c>
      <c r="F8" s="22">
        <v>0</v>
      </c>
      <c r="G8" s="177"/>
      <c r="H8" s="4"/>
      <c r="I8" s="2"/>
      <c r="J8" s="13" t="s">
        <v>52</v>
      </c>
      <c r="K8" s="8">
        <v>0</v>
      </c>
      <c r="L8" s="9">
        <v>5</v>
      </c>
      <c r="M8" s="10">
        <v>0</v>
      </c>
      <c r="N8" s="21">
        <v>0</v>
      </c>
      <c r="O8" s="22">
        <v>0</v>
      </c>
      <c r="P8" s="177"/>
      <c r="Q8" s="2"/>
    </row>
    <row r="9" spans="1:17" x14ac:dyDescent="0.35">
      <c r="A9" s="13" t="s">
        <v>53</v>
      </c>
      <c r="B9" s="8">
        <v>16</v>
      </c>
      <c r="C9" s="9">
        <v>0</v>
      </c>
      <c r="D9" s="10">
        <v>0</v>
      </c>
      <c r="E9" s="21">
        <v>4</v>
      </c>
      <c r="F9" s="22">
        <v>0</v>
      </c>
      <c r="G9" s="177"/>
      <c r="H9" s="4"/>
      <c r="I9" s="2"/>
      <c r="J9" s="13" t="s">
        <v>53</v>
      </c>
      <c r="K9" s="8">
        <v>0</v>
      </c>
      <c r="L9" s="9">
        <v>5</v>
      </c>
      <c r="M9" s="10">
        <v>0</v>
      </c>
      <c r="N9" s="21">
        <v>0</v>
      </c>
      <c r="O9" s="22">
        <v>0</v>
      </c>
      <c r="P9" s="177"/>
      <c r="Q9" s="2"/>
    </row>
    <row r="10" spans="1:17" x14ac:dyDescent="0.35">
      <c r="A10" s="13" t="s">
        <v>54</v>
      </c>
      <c r="B10" s="8">
        <v>16</v>
      </c>
      <c r="C10" s="9">
        <v>0</v>
      </c>
      <c r="D10" s="10">
        <v>0</v>
      </c>
      <c r="E10" s="21">
        <v>4</v>
      </c>
      <c r="F10" s="22">
        <v>0</v>
      </c>
      <c r="G10" s="177"/>
      <c r="H10" s="4"/>
      <c r="I10" s="2"/>
      <c r="J10" s="13" t="s">
        <v>54</v>
      </c>
      <c r="K10" s="8">
        <v>0</v>
      </c>
      <c r="L10" s="9">
        <v>5</v>
      </c>
      <c r="M10" s="10">
        <v>0</v>
      </c>
      <c r="N10" s="21">
        <v>0</v>
      </c>
      <c r="O10" s="22">
        <v>0</v>
      </c>
      <c r="P10" s="177"/>
      <c r="Q10" s="2"/>
    </row>
    <row r="11" spans="1:17" x14ac:dyDescent="0.35">
      <c r="A11" s="13" t="s">
        <v>55</v>
      </c>
      <c r="B11" s="177"/>
      <c r="C11" s="9">
        <v>20</v>
      </c>
      <c r="D11" s="10">
        <v>0</v>
      </c>
      <c r="E11" s="21">
        <v>0</v>
      </c>
      <c r="F11" s="177"/>
      <c r="G11" s="6">
        <v>0</v>
      </c>
      <c r="H11" s="4"/>
      <c r="I11" s="2"/>
      <c r="J11" s="13" t="s">
        <v>55</v>
      </c>
      <c r="K11" s="177"/>
      <c r="L11" s="9">
        <v>0</v>
      </c>
      <c r="M11" s="10">
        <v>2</v>
      </c>
      <c r="N11" s="21">
        <v>1</v>
      </c>
      <c r="O11" s="177"/>
      <c r="P11" s="6">
        <v>24</v>
      </c>
      <c r="Q11" s="2"/>
    </row>
    <row r="12" spans="1:17" x14ac:dyDescent="0.35">
      <c r="A12" s="13" t="s">
        <v>56</v>
      </c>
      <c r="B12" s="177"/>
      <c r="C12" s="9">
        <v>20</v>
      </c>
      <c r="D12" s="10">
        <v>0</v>
      </c>
      <c r="E12" s="21">
        <v>0</v>
      </c>
      <c r="F12" s="177"/>
      <c r="G12" s="6">
        <v>0</v>
      </c>
      <c r="H12" s="4"/>
      <c r="I12" s="2"/>
      <c r="J12" s="13" t="s">
        <v>56</v>
      </c>
      <c r="K12" s="177"/>
      <c r="L12" s="9">
        <v>0</v>
      </c>
      <c r="M12" s="10">
        <v>2</v>
      </c>
      <c r="N12" s="21">
        <v>1</v>
      </c>
      <c r="O12" s="177"/>
      <c r="P12" s="6">
        <v>24</v>
      </c>
      <c r="Q12" s="2"/>
    </row>
    <row r="13" spans="1:17" x14ac:dyDescent="0.35">
      <c r="A13" s="13" t="s">
        <v>57</v>
      </c>
      <c r="B13" s="177"/>
      <c r="C13" s="9">
        <v>20</v>
      </c>
      <c r="D13" s="10">
        <v>0</v>
      </c>
      <c r="E13" s="21">
        <v>0</v>
      </c>
      <c r="F13" s="177"/>
      <c r="G13" s="6">
        <v>0</v>
      </c>
      <c r="H13" s="4"/>
      <c r="I13" s="2"/>
      <c r="J13" s="13" t="s">
        <v>57</v>
      </c>
      <c r="K13" s="177"/>
      <c r="L13" s="9">
        <v>0</v>
      </c>
      <c r="M13" s="10">
        <v>2</v>
      </c>
      <c r="N13" s="21">
        <v>1</v>
      </c>
      <c r="O13" s="177"/>
      <c r="P13" s="6">
        <v>24</v>
      </c>
      <c r="Q13" s="2"/>
    </row>
    <row r="14" spans="1:17" x14ac:dyDescent="0.35">
      <c r="A14" s="13" t="s">
        <v>58</v>
      </c>
      <c r="B14" s="8"/>
      <c r="C14" s="9"/>
      <c r="D14" s="10"/>
      <c r="E14" s="21"/>
      <c r="F14" s="22"/>
      <c r="G14" s="6"/>
      <c r="H14" s="4"/>
      <c r="I14" s="2"/>
      <c r="J14" s="13" t="s">
        <v>58</v>
      </c>
      <c r="K14" s="8"/>
      <c r="L14" s="9"/>
      <c r="M14" s="10"/>
      <c r="N14" s="21"/>
      <c r="O14" s="22"/>
      <c r="P14" s="6"/>
      <c r="Q14" s="2"/>
    </row>
    <row r="15" spans="1:17" x14ac:dyDescent="0.35">
      <c r="A15" s="13" t="s">
        <v>59</v>
      </c>
      <c r="B15" s="8"/>
      <c r="C15" s="9"/>
      <c r="D15" s="10"/>
      <c r="E15" s="21"/>
      <c r="F15" s="22"/>
      <c r="G15" s="6"/>
      <c r="H15" s="4"/>
      <c r="I15" s="2"/>
      <c r="J15" s="13" t="s">
        <v>59</v>
      </c>
      <c r="K15" s="8"/>
      <c r="L15" s="9"/>
      <c r="M15" s="10"/>
      <c r="N15" s="21"/>
      <c r="O15" s="22"/>
      <c r="P15" s="6"/>
      <c r="Q15" s="2"/>
    </row>
    <row r="16" spans="1:17" x14ac:dyDescent="0.35">
      <c r="A16" s="13" t="s">
        <v>60</v>
      </c>
      <c r="B16" s="8"/>
      <c r="C16" s="9"/>
      <c r="D16" s="10"/>
      <c r="E16" s="21"/>
      <c r="F16" s="22"/>
      <c r="G16" s="6"/>
      <c r="H16" s="4"/>
      <c r="I16" s="2"/>
      <c r="J16" s="13" t="s">
        <v>60</v>
      </c>
      <c r="K16" s="8"/>
      <c r="L16" s="9"/>
      <c r="M16" s="10"/>
      <c r="N16" s="21"/>
      <c r="O16" s="22"/>
      <c r="P16" s="6"/>
      <c r="Q16" s="2"/>
    </row>
    <row r="17" spans="1:17" x14ac:dyDescent="0.35">
      <c r="A17" s="13" t="s">
        <v>61</v>
      </c>
      <c r="B17" s="8"/>
      <c r="C17" s="9"/>
      <c r="D17" s="10"/>
      <c r="E17" s="21"/>
      <c r="F17" s="22"/>
      <c r="G17" s="6"/>
      <c r="H17" s="4"/>
      <c r="I17" s="2"/>
      <c r="J17" s="13" t="s">
        <v>61</v>
      </c>
      <c r="K17" s="8"/>
      <c r="L17" s="9"/>
      <c r="M17" s="10"/>
      <c r="N17" s="21"/>
      <c r="O17" s="22"/>
      <c r="P17" s="6"/>
      <c r="Q17" s="2"/>
    </row>
    <row r="18" spans="1:17" x14ac:dyDescent="0.35">
      <c r="A18" s="13" t="s">
        <v>62</v>
      </c>
      <c r="B18" s="8"/>
      <c r="C18" s="9"/>
      <c r="D18" s="10"/>
      <c r="E18" s="21"/>
      <c r="F18" s="22"/>
      <c r="G18" s="6"/>
      <c r="H18" s="4"/>
      <c r="I18" s="2"/>
      <c r="J18" s="13" t="s">
        <v>62</v>
      </c>
      <c r="K18" s="8"/>
      <c r="L18" s="9"/>
      <c r="M18" s="10"/>
      <c r="N18" s="21"/>
      <c r="O18" s="22"/>
      <c r="P18" s="6"/>
      <c r="Q18" s="2"/>
    </row>
    <row r="19" spans="1:17" x14ac:dyDescent="0.35">
      <c r="A19" s="13" t="s">
        <v>63</v>
      </c>
      <c r="B19" s="8"/>
      <c r="C19" s="9"/>
      <c r="D19" s="10"/>
      <c r="E19" s="21"/>
      <c r="F19" s="22"/>
      <c r="G19" s="6"/>
      <c r="H19" s="4"/>
      <c r="I19" s="2"/>
      <c r="J19" s="13" t="s">
        <v>63</v>
      </c>
      <c r="K19" s="8"/>
      <c r="L19" s="9"/>
      <c r="M19" s="10"/>
      <c r="N19" s="21"/>
      <c r="O19" s="22"/>
      <c r="P19" s="6"/>
      <c r="Q19" s="2"/>
    </row>
    <row r="20" spans="1:17" x14ac:dyDescent="0.35">
      <c r="A20" s="13" t="s">
        <v>64</v>
      </c>
      <c r="B20" s="8"/>
      <c r="C20" s="9"/>
      <c r="D20" s="10"/>
      <c r="E20" s="21"/>
      <c r="F20" s="22"/>
      <c r="G20" s="6"/>
      <c r="H20" s="4"/>
      <c r="I20" s="2"/>
      <c r="J20" s="13" t="s">
        <v>64</v>
      </c>
      <c r="K20" s="8"/>
      <c r="L20" s="9"/>
      <c r="M20" s="10"/>
      <c r="N20" s="21"/>
      <c r="O20" s="22"/>
      <c r="P20" s="6"/>
      <c r="Q20" s="2"/>
    </row>
    <row r="21" spans="1:17" x14ac:dyDescent="0.35">
      <c r="A21" s="13" t="s">
        <v>67</v>
      </c>
      <c r="B21" s="8"/>
      <c r="C21" s="9"/>
      <c r="D21" s="10"/>
      <c r="E21" s="21"/>
      <c r="F21" s="22"/>
      <c r="G21" s="6"/>
      <c r="H21" s="4"/>
      <c r="I21" s="2"/>
      <c r="J21" s="13" t="s">
        <v>67</v>
      </c>
      <c r="K21" s="8"/>
      <c r="L21" s="9"/>
      <c r="M21" s="10"/>
      <c r="N21" s="21"/>
      <c r="O21" s="22"/>
      <c r="P21" s="6"/>
      <c r="Q21" s="2"/>
    </row>
    <row r="22" spans="1:17" x14ac:dyDescent="0.35">
      <c r="A22" s="13" t="s">
        <v>66</v>
      </c>
      <c r="B22" s="8"/>
      <c r="C22" s="9"/>
      <c r="D22" s="10"/>
      <c r="E22" s="21"/>
      <c r="F22" s="22"/>
      <c r="G22" s="6"/>
      <c r="H22" s="4"/>
      <c r="I22" s="2"/>
      <c r="J22" s="13" t="s">
        <v>66</v>
      </c>
      <c r="K22" s="8"/>
      <c r="L22" s="9"/>
      <c r="M22" s="10"/>
      <c r="N22" s="21"/>
      <c r="O22" s="22"/>
      <c r="P22" s="6"/>
      <c r="Q22" s="2"/>
    </row>
    <row r="23" spans="1:17" x14ac:dyDescent="0.35">
      <c r="A23" s="13" t="s">
        <v>68</v>
      </c>
      <c r="B23" s="8"/>
      <c r="C23" s="9"/>
      <c r="D23" s="10"/>
      <c r="E23" s="21"/>
      <c r="F23" s="22"/>
      <c r="G23" s="6"/>
      <c r="H23" s="4"/>
      <c r="I23" s="2"/>
      <c r="J23" s="13" t="s">
        <v>68</v>
      </c>
      <c r="K23" s="8"/>
      <c r="L23" s="9"/>
      <c r="M23" s="10"/>
      <c r="N23" s="21"/>
      <c r="O23" s="22"/>
      <c r="P23" s="6"/>
      <c r="Q23" s="2"/>
    </row>
    <row r="24" spans="1:17" x14ac:dyDescent="0.35">
      <c r="A24" s="13" t="s">
        <v>65</v>
      </c>
      <c r="B24" s="8"/>
      <c r="C24" s="9"/>
      <c r="D24" s="10"/>
      <c r="E24" s="21"/>
      <c r="F24" s="22"/>
      <c r="G24" s="6"/>
      <c r="H24" s="4"/>
      <c r="I24" s="2"/>
      <c r="J24" s="13" t="s">
        <v>65</v>
      </c>
      <c r="K24" s="8"/>
      <c r="L24" s="9"/>
      <c r="M24" s="10"/>
      <c r="N24" s="21"/>
      <c r="O24" s="22"/>
      <c r="P24" s="6"/>
      <c r="Q24" s="2"/>
    </row>
    <row r="25" spans="1:17" x14ac:dyDescent="0.35">
      <c r="A25" s="13" t="s">
        <v>69</v>
      </c>
      <c r="B25" s="8"/>
      <c r="C25" s="9"/>
      <c r="D25" s="10"/>
      <c r="E25" s="21"/>
      <c r="F25" s="22"/>
      <c r="G25" s="6"/>
      <c r="H25" s="4"/>
      <c r="I25" s="2"/>
      <c r="J25" s="13" t="s">
        <v>69</v>
      </c>
      <c r="K25" s="8"/>
      <c r="L25" s="9"/>
      <c r="M25" s="10"/>
      <c r="N25" s="21"/>
      <c r="O25" s="22"/>
      <c r="P25" s="6"/>
      <c r="Q25" s="2"/>
    </row>
    <row r="26" spans="1:17" x14ac:dyDescent="0.35">
      <c r="A26" s="13" t="s">
        <v>70</v>
      </c>
      <c r="B26" s="8"/>
      <c r="C26" s="9"/>
      <c r="D26" s="10"/>
      <c r="E26" s="21"/>
      <c r="F26" s="22"/>
      <c r="G26" s="6"/>
      <c r="H26" s="4"/>
      <c r="I26" s="2"/>
      <c r="J26" s="13" t="s">
        <v>70</v>
      </c>
      <c r="K26" s="8"/>
      <c r="L26" s="9"/>
      <c r="M26" s="10"/>
      <c r="N26" s="21"/>
      <c r="O26" s="22"/>
      <c r="P26" s="6"/>
      <c r="Q26" s="2"/>
    </row>
    <row r="27" spans="1:17" x14ac:dyDescent="0.35">
      <c r="A27" s="13" t="s">
        <v>71</v>
      </c>
      <c r="B27" s="8"/>
      <c r="C27" s="9"/>
      <c r="D27" s="10"/>
      <c r="E27" s="21"/>
      <c r="F27" s="22"/>
      <c r="G27" s="6"/>
      <c r="H27" s="4"/>
      <c r="I27" s="2"/>
      <c r="J27" s="13" t="s">
        <v>71</v>
      </c>
      <c r="K27" s="8"/>
      <c r="L27" s="9"/>
      <c r="M27" s="10"/>
      <c r="N27" s="21"/>
      <c r="O27" s="22"/>
      <c r="P27" s="6"/>
      <c r="Q27" s="2"/>
    </row>
    <row r="28" spans="1:17" x14ac:dyDescent="0.35">
      <c r="A28" s="13" t="s">
        <v>72</v>
      </c>
      <c r="B28" s="8"/>
      <c r="C28" s="9"/>
      <c r="D28" s="10"/>
      <c r="E28" s="21"/>
      <c r="F28" s="22"/>
      <c r="G28" s="6"/>
      <c r="H28" s="4"/>
      <c r="I28" s="2"/>
      <c r="J28" s="13" t="s">
        <v>72</v>
      </c>
      <c r="K28" s="8"/>
      <c r="L28" s="9"/>
      <c r="M28" s="10"/>
      <c r="N28" s="21"/>
      <c r="O28" s="22"/>
      <c r="P28" s="6"/>
      <c r="Q28" s="2"/>
    </row>
    <row r="29" spans="1:17" x14ac:dyDescent="0.35">
      <c r="A29" s="13" t="s">
        <v>73</v>
      </c>
      <c r="B29" s="8"/>
      <c r="C29" s="9"/>
      <c r="D29" s="10"/>
      <c r="E29" s="21"/>
      <c r="F29" s="22"/>
      <c r="G29" s="6"/>
      <c r="H29" s="4"/>
      <c r="I29" s="2"/>
      <c r="J29" s="13" t="s">
        <v>73</v>
      </c>
      <c r="K29" s="8"/>
      <c r="L29" s="9"/>
      <c r="M29" s="10"/>
      <c r="N29" s="21"/>
      <c r="O29" s="22"/>
      <c r="P29" s="6"/>
      <c r="Q29" s="2"/>
    </row>
    <row r="30" spans="1:17" x14ac:dyDescent="0.35">
      <c r="A30" s="13" t="s">
        <v>74</v>
      </c>
      <c r="B30" s="8"/>
      <c r="C30" s="9"/>
      <c r="D30" s="10"/>
      <c r="E30" s="21"/>
      <c r="F30" s="22"/>
      <c r="G30" s="6"/>
      <c r="H30" s="4"/>
      <c r="I30" s="2"/>
      <c r="J30" s="13" t="s">
        <v>74</v>
      </c>
      <c r="K30" s="8"/>
      <c r="L30" s="9"/>
      <c r="M30" s="10"/>
      <c r="N30" s="21"/>
      <c r="O30" s="22"/>
      <c r="P30" s="6"/>
      <c r="Q30" s="2"/>
    </row>
    <row r="31" spans="1:17" x14ac:dyDescent="0.35">
      <c r="A31" s="13" t="s">
        <v>75</v>
      </c>
      <c r="B31" s="8"/>
      <c r="C31" s="9"/>
      <c r="D31" s="10"/>
      <c r="E31" s="21"/>
      <c r="F31" s="22"/>
      <c r="G31" s="6"/>
      <c r="H31" s="4"/>
      <c r="I31" s="2"/>
      <c r="J31" s="13" t="s">
        <v>75</v>
      </c>
      <c r="K31" s="8"/>
      <c r="L31" s="9"/>
      <c r="M31" s="10"/>
      <c r="N31" s="21"/>
      <c r="O31" s="22"/>
      <c r="P31" s="6"/>
      <c r="Q31" s="2"/>
    </row>
    <row r="32" spans="1:17" x14ac:dyDescent="0.35">
      <c r="A32" s="13" t="s">
        <v>76</v>
      </c>
      <c r="B32" s="8"/>
      <c r="C32" s="9"/>
      <c r="D32" s="10"/>
      <c r="E32" s="21"/>
      <c r="F32" s="22"/>
      <c r="G32" s="6"/>
      <c r="H32" s="4"/>
      <c r="I32" s="2"/>
      <c r="J32" s="13" t="s">
        <v>76</v>
      </c>
      <c r="K32" s="8"/>
      <c r="L32" s="9"/>
      <c r="M32" s="10"/>
      <c r="N32" s="21"/>
      <c r="O32" s="22"/>
      <c r="P32" s="6"/>
      <c r="Q32" s="2"/>
    </row>
    <row r="33" spans="1:17" x14ac:dyDescent="0.35">
      <c r="A33" s="13" t="s">
        <v>77</v>
      </c>
      <c r="B33" s="8"/>
      <c r="C33" s="9"/>
      <c r="D33" s="10"/>
      <c r="E33" s="21"/>
      <c r="F33" s="22"/>
      <c r="G33" s="6"/>
      <c r="H33" s="4"/>
      <c r="I33" s="2"/>
      <c r="J33" s="13" t="s">
        <v>77</v>
      </c>
      <c r="K33" s="8"/>
      <c r="L33" s="9"/>
      <c r="M33" s="10"/>
      <c r="N33" s="21"/>
      <c r="O33" s="22"/>
      <c r="P33" s="6"/>
      <c r="Q33" s="2"/>
    </row>
    <row r="34" spans="1:17" x14ac:dyDescent="0.35">
      <c r="A34" s="13" t="s">
        <v>78</v>
      </c>
      <c r="B34" s="8"/>
      <c r="C34" s="9"/>
      <c r="D34" s="10"/>
      <c r="E34" s="21"/>
      <c r="F34" s="22"/>
      <c r="G34" s="6"/>
      <c r="H34" s="4"/>
      <c r="I34" s="2"/>
      <c r="J34" s="13" t="s">
        <v>78</v>
      </c>
      <c r="K34" s="8"/>
      <c r="L34" s="9"/>
      <c r="M34" s="10"/>
      <c r="N34" s="21"/>
      <c r="O34" s="22"/>
      <c r="P34" s="6"/>
      <c r="Q34" s="2"/>
    </row>
    <row r="35" spans="1:17" x14ac:dyDescent="0.35">
      <c r="A35" s="13" t="s">
        <v>79</v>
      </c>
      <c r="B35" s="8"/>
      <c r="C35" s="9"/>
      <c r="D35" s="10"/>
      <c r="E35" s="21"/>
      <c r="F35" s="22"/>
      <c r="G35" s="6"/>
      <c r="H35" s="4"/>
      <c r="I35" s="2"/>
      <c r="J35" s="13" t="s">
        <v>79</v>
      </c>
      <c r="K35" s="8"/>
      <c r="L35" s="9"/>
      <c r="M35" s="10"/>
      <c r="N35" s="21"/>
      <c r="O35" s="22"/>
      <c r="P35" s="6"/>
      <c r="Q35" s="2"/>
    </row>
    <row r="36" spans="1:17" x14ac:dyDescent="0.35">
      <c r="A36" s="13" t="s">
        <v>80</v>
      </c>
      <c r="B36" s="8"/>
      <c r="C36" s="9"/>
      <c r="D36" s="10"/>
      <c r="E36" s="21"/>
      <c r="F36" s="22"/>
      <c r="G36" s="6"/>
      <c r="H36" s="4"/>
      <c r="I36" s="2"/>
      <c r="J36" s="13" t="s">
        <v>80</v>
      </c>
      <c r="K36" s="8"/>
      <c r="L36" s="9"/>
      <c r="M36" s="10"/>
      <c r="N36" s="21"/>
      <c r="O36" s="22"/>
      <c r="P36" s="6"/>
      <c r="Q36" s="2"/>
    </row>
    <row r="37" spans="1:17" x14ac:dyDescent="0.35">
      <c r="A37" s="13" t="s">
        <v>81</v>
      </c>
      <c r="B37" s="8"/>
      <c r="C37" s="9"/>
      <c r="D37" s="10"/>
      <c r="E37" s="21"/>
      <c r="F37" s="22"/>
      <c r="G37" s="6"/>
      <c r="H37" s="4"/>
      <c r="I37" s="2"/>
      <c r="J37" s="13" t="s">
        <v>81</v>
      </c>
      <c r="K37" s="8"/>
      <c r="L37" s="9"/>
      <c r="M37" s="10"/>
      <c r="N37" s="21"/>
      <c r="O37" s="22"/>
      <c r="P37" s="6"/>
      <c r="Q37" s="2"/>
    </row>
    <row r="38" spans="1:17" x14ac:dyDescent="0.35">
      <c r="A38" s="13" t="s">
        <v>82</v>
      </c>
      <c r="B38" s="8"/>
      <c r="C38" s="9"/>
      <c r="D38" s="10"/>
      <c r="E38" s="21"/>
      <c r="F38" s="22"/>
      <c r="G38" s="6"/>
      <c r="H38" s="4"/>
      <c r="I38" s="2"/>
      <c r="J38" s="13" t="s">
        <v>82</v>
      </c>
      <c r="K38" s="8"/>
      <c r="L38" s="9"/>
      <c r="M38" s="10"/>
      <c r="N38" s="21"/>
      <c r="O38" s="22"/>
      <c r="P38" s="6"/>
      <c r="Q38" s="2"/>
    </row>
    <row r="39" spans="1:17" x14ac:dyDescent="0.35">
      <c r="A39" s="13" t="s">
        <v>83</v>
      </c>
      <c r="B39" s="8"/>
      <c r="C39" s="9"/>
      <c r="D39" s="10"/>
      <c r="E39" s="21"/>
      <c r="F39" s="22"/>
      <c r="G39" s="6"/>
      <c r="H39" s="4"/>
      <c r="I39" s="2"/>
      <c r="J39" s="13" t="s">
        <v>83</v>
      </c>
      <c r="K39" s="8"/>
      <c r="L39" s="9"/>
      <c r="M39" s="10"/>
      <c r="N39" s="21"/>
      <c r="O39" s="22"/>
      <c r="P39" s="6"/>
      <c r="Q39" s="2"/>
    </row>
    <row r="40" spans="1:17" x14ac:dyDescent="0.35">
      <c r="A40" s="13" t="s">
        <v>84</v>
      </c>
      <c r="B40" s="8"/>
      <c r="C40" s="9"/>
      <c r="D40" s="10"/>
      <c r="E40" s="21"/>
      <c r="F40" s="22"/>
      <c r="G40" s="6"/>
      <c r="H40" s="4"/>
      <c r="I40" s="2"/>
      <c r="J40" s="13" t="s">
        <v>84</v>
      </c>
      <c r="K40" s="8"/>
      <c r="L40" s="9"/>
      <c r="M40" s="10"/>
      <c r="N40" s="21"/>
      <c r="O40" s="22"/>
      <c r="P40" s="6"/>
      <c r="Q40" s="2"/>
    </row>
    <row r="41" spans="1:17" x14ac:dyDescent="0.35">
      <c r="A41" s="13" t="s">
        <v>85</v>
      </c>
      <c r="B41" s="8"/>
      <c r="C41" s="9"/>
      <c r="D41" s="10"/>
      <c r="E41" s="21"/>
      <c r="F41" s="22"/>
      <c r="G41" s="6"/>
      <c r="H41" s="4"/>
      <c r="I41" s="2"/>
      <c r="J41" s="13" t="s">
        <v>85</v>
      </c>
      <c r="K41" s="8"/>
      <c r="L41" s="9"/>
      <c r="M41" s="10"/>
      <c r="N41" s="21"/>
      <c r="O41" s="22"/>
      <c r="P41" s="6"/>
      <c r="Q41" s="2"/>
    </row>
    <row r="42" spans="1:17" x14ac:dyDescent="0.35">
      <c r="A42" s="13" t="s">
        <v>86</v>
      </c>
      <c r="B42" s="8"/>
      <c r="C42" s="9"/>
      <c r="D42" s="10"/>
      <c r="E42" s="21"/>
      <c r="F42" s="22"/>
      <c r="G42" s="6"/>
      <c r="H42" s="4"/>
      <c r="I42" s="2"/>
      <c r="J42" s="13" t="s">
        <v>86</v>
      </c>
      <c r="K42" s="8"/>
      <c r="L42" s="9"/>
      <c r="M42" s="10"/>
      <c r="N42" s="21"/>
      <c r="O42" s="22"/>
      <c r="P42" s="6"/>
      <c r="Q42" s="2"/>
    </row>
    <row r="43" spans="1:17" x14ac:dyDescent="0.35">
      <c r="A43" s="13" t="s">
        <v>87</v>
      </c>
      <c r="B43" s="8"/>
      <c r="C43" s="9"/>
      <c r="D43" s="10"/>
      <c r="E43" s="21"/>
      <c r="F43" s="22"/>
      <c r="G43" s="6"/>
      <c r="H43" s="4"/>
      <c r="I43" s="2"/>
      <c r="J43" s="13" t="s">
        <v>87</v>
      </c>
      <c r="K43" s="8"/>
      <c r="L43" s="9"/>
      <c r="M43" s="10"/>
      <c r="N43" s="21"/>
      <c r="O43" s="22"/>
      <c r="P43" s="6"/>
      <c r="Q43" s="2"/>
    </row>
    <row r="44" spans="1:17" x14ac:dyDescent="0.35">
      <c r="A44" s="13" t="s">
        <v>88</v>
      </c>
      <c r="B44" s="8"/>
      <c r="C44" s="9"/>
      <c r="D44" s="10"/>
      <c r="E44" s="21"/>
      <c r="F44" s="22"/>
      <c r="G44" s="6"/>
      <c r="H44" s="4"/>
      <c r="I44" s="2"/>
      <c r="J44" s="13" t="s">
        <v>88</v>
      </c>
      <c r="K44" s="8"/>
      <c r="L44" s="9"/>
      <c r="M44" s="10"/>
      <c r="N44" s="21"/>
      <c r="O44" s="22"/>
      <c r="P44" s="6"/>
      <c r="Q44" s="2"/>
    </row>
    <row r="45" spans="1:17" x14ac:dyDescent="0.35">
      <c r="A45" s="13" t="s">
        <v>89</v>
      </c>
      <c r="B45" s="8"/>
      <c r="C45" s="9"/>
      <c r="D45" s="10"/>
      <c r="E45" s="21"/>
      <c r="F45" s="22"/>
      <c r="G45" s="6"/>
      <c r="H45" s="4"/>
      <c r="I45" s="2"/>
      <c r="J45" s="13" t="s">
        <v>89</v>
      </c>
      <c r="K45" s="8"/>
      <c r="L45" s="9"/>
      <c r="M45" s="10"/>
      <c r="N45" s="21"/>
      <c r="O45" s="22"/>
      <c r="P45" s="6"/>
      <c r="Q45" s="2"/>
    </row>
    <row r="46" spans="1:17" x14ac:dyDescent="0.35">
      <c r="A46" s="13" t="s">
        <v>90</v>
      </c>
      <c r="B46" s="8"/>
      <c r="C46" s="9"/>
      <c r="D46" s="10"/>
      <c r="E46" s="21"/>
      <c r="F46" s="22"/>
      <c r="G46" s="6"/>
      <c r="H46" s="4"/>
      <c r="I46" s="2"/>
      <c r="J46" s="13" t="s">
        <v>90</v>
      </c>
      <c r="K46" s="8"/>
      <c r="L46" s="9"/>
      <c r="M46" s="10"/>
      <c r="N46" s="21"/>
      <c r="O46" s="22"/>
      <c r="P46" s="6"/>
      <c r="Q46" s="2"/>
    </row>
    <row r="47" spans="1:17" x14ac:dyDescent="0.35">
      <c r="A47" s="13" t="s">
        <v>91</v>
      </c>
      <c r="B47" s="8"/>
      <c r="C47" s="9"/>
      <c r="D47" s="10"/>
      <c r="E47" s="21"/>
      <c r="F47" s="22"/>
      <c r="G47" s="6"/>
      <c r="H47" s="4"/>
      <c r="I47" s="2"/>
      <c r="J47" s="13" t="s">
        <v>91</v>
      </c>
      <c r="K47" s="8"/>
      <c r="L47" s="9"/>
      <c r="M47" s="10"/>
      <c r="N47" s="21"/>
      <c r="O47" s="22"/>
      <c r="P47" s="6"/>
      <c r="Q47" s="2"/>
    </row>
    <row r="48" spans="1:17" x14ac:dyDescent="0.35">
      <c r="A48" s="13" t="s">
        <v>92</v>
      </c>
      <c r="B48" s="8"/>
      <c r="C48" s="9"/>
      <c r="D48" s="10"/>
      <c r="E48" s="21"/>
      <c r="F48" s="22"/>
      <c r="G48" s="6"/>
      <c r="H48" s="4"/>
      <c r="I48" s="2"/>
      <c r="J48" s="13" t="s">
        <v>92</v>
      </c>
      <c r="K48" s="8"/>
      <c r="L48" s="9"/>
      <c r="M48" s="10"/>
      <c r="N48" s="21"/>
      <c r="O48" s="22"/>
      <c r="P48" s="6"/>
      <c r="Q48" s="2"/>
    </row>
    <row r="49" spans="1:17" x14ac:dyDescent="0.35">
      <c r="A49" s="13" t="s">
        <v>93</v>
      </c>
      <c r="B49" s="8"/>
      <c r="C49" s="9"/>
      <c r="D49" s="10"/>
      <c r="E49" s="21"/>
      <c r="F49" s="22"/>
      <c r="G49" s="6"/>
      <c r="H49" s="4"/>
      <c r="I49" s="2"/>
      <c r="J49" s="13" t="s">
        <v>93</v>
      </c>
      <c r="K49" s="8"/>
      <c r="L49" s="9"/>
      <c r="M49" s="10"/>
      <c r="N49" s="21"/>
      <c r="O49" s="22"/>
      <c r="P49" s="6"/>
      <c r="Q49" s="2"/>
    </row>
    <row r="50" spans="1:17" x14ac:dyDescent="0.35">
      <c r="A50" s="13" t="s">
        <v>94</v>
      </c>
      <c r="B50" s="8"/>
      <c r="C50" s="9"/>
      <c r="D50" s="10"/>
      <c r="E50" s="21"/>
      <c r="F50" s="22"/>
      <c r="G50" s="6"/>
      <c r="H50" s="4"/>
      <c r="I50" s="2"/>
      <c r="J50" s="13" t="s">
        <v>94</v>
      </c>
      <c r="K50" s="8"/>
      <c r="L50" s="9"/>
      <c r="M50" s="10"/>
      <c r="N50" s="21"/>
      <c r="O50" s="22"/>
      <c r="P50" s="6"/>
      <c r="Q50" s="2"/>
    </row>
    <row r="51" spans="1:17" x14ac:dyDescent="0.35">
      <c r="A51" s="13" t="s">
        <v>95</v>
      </c>
      <c r="B51" s="8"/>
      <c r="C51" s="9"/>
      <c r="D51" s="10"/>
      <c r="E51" s="21"/>
      <c r="F51" s="22"/>
      <c r="G51" s="6"/>
      <c r="H51" s="4"/>
      <c r="I51" s="2"/>
      <c r="J51" s="13" t="s">
        <v>95</v>
      </c>
      <c r="K51" s="8"/>
      <c r="L51" s="9"/>
      <c r="M51" s="10"/>
      <c r="N51" s="21"/>
      <c r="O51" s="22"/>
      <c r="P51" s="6"/>
      <c r="Q51" s="2"/>
    </row>
    <row r="52" spans="1:17" x14ac:dyDescent="0.35">
      <c r="A52" s="13" t="s">
        <v>96</v>
      </c>
      <c r="B52" s="8"/>
      <c r="C52" s="9"/>
      <c r="D52" s="10"/>
      <c r="E52" s="21"/>
      <c r="F52" s="22"/>
      <c r="G52" s="6"/>
      <c r="H52" s="4"/>
      <c r="I52" s="2"/>
      <c r="J52" s="13" t="s">
        <v>96</v>
      </c>
      <c r="K52" s="8"/>
      <c r="L52" s="9"/>
      <c r="M52" s="10"/>
      <c r="N52" s="21"/>
      <c r="O52" s="22"/>
      <c r="P52" s="6"/>
      <c r="Q52" s="2"/>
    </row>
    <row r="53" spans="1:17" x14ac:dyDescent="0.35">
      <c r="A53" s="13" t="s">
        <v>97</v>
      </c>
      <c r="B53" s="8"/>
      <c r="C53" s="9"/>
      <c r="D53" s="10"/>
      <c r="E53" s="21"/>
      <c r="F53" s="22"/>
      <c r="G53" s="6"/>
      <c r="H53" s="4"/>
      <c r="I53" s="2"/>
      <c r="J53" s="13" t="s">
        <v>97</v>
      </c>
      <c r="K53" s="8"/>
      <c r="L53" s="9"/>
      <c r="M53" s="10"/>
      <c r="N53" s="21"/>
      <c r="O53" s="22"/>
      <c r="P53" s="6"/>
      <c r="Q53" s="2"/>
    </row>
    <row r="54" spans="1:17" x14ac:dyDescent="0.35">
      <c r="A54" s="13" t="s">
        <v>98</v>
      </c>
      <c r="B54" s="8"/>
      <c r="C54" s="9"/>
      <c r="D54" s="10"/>
      <c r="E54" s="21"/>
      <c r="F54" s="22"/>
      <c r="G54" s="6"/>
      <c r="H54" s="4"/>
      <c r="I54" s="2"/>
      <c r="J54" s="13" t="s">
        <v>98</v>
      </c>
      <c r="K54" s="8"/>
      <c r="L54" s="9"/>
      <c r="M54" s="10"/>
      <c r="N54" s="21"/>
      <c r="O54" s="22"/>
      <c r="P54" s="6"/>
      <c r="Q54" s="2"/>
    </row>
    <row r="55" spans="1:17" x14ac:dyDescent="0.35">
      <c r="A55" s="13" t="s">
        <v>99</v>
      </c>
      <c r="B55" s="8"/>
      <c r="C55" s="9"/>
      <c r="D55" s="10"/>
      <c r="E55" s="21"/>
      <c r="F55" s="22"/>
      <c r="G55" s="6"/>
      <c r="H55" s="4"/>
      <c r="I55" s="2"/>
      <c r="J55" s="13" t="s">
        <v>99</v>
      </c>
      <c r="K55" s="8"/>
      <c r="L55" s="9"/>
      <c r="M55" s="10"/>
      <c r="N55" s="21"/>
      <c r="O55" s="22"/>
      <c r="P55" s="6"/>
      <c r="Q55" s="2"/>
    </row>
    <row r="56" spans="1:17" x14ac:dyDescent="0.35">
      <c r="A56" s="13" t="s">
        <v>100</v>
      </c>
      <c r="B56" s="8"/>
      <c r="C56" s="9"/>
      <c r="D56" s="10"/>
      <c r="E56" s="21"/>
      <c r="F56" s="22"/>
      <c r="G56" s="6"/>
      <c r="H56" s="4"/>
      <c r="I56" s="2"/>
      <c r="J56" s="13" t="s">
        <v>100</v>
      </c>
      <c r="K56" s="8"/>
      <c r="L56" s="9"/>
      <c r="M56" s="10"/>
      <c r="N56" s="21"/>
      <c r="O56" s="22"/>
      <c r="P56" s="6"/>
      <c r="Q56" s="2"/>
    </row>
    <row r="57" spans="1:17" x14ac:dyDescent="0.35">
      <c r="A57" s="13" t="s">
        <v>101</v>
      </c>
      <c r="B57" s="8"/>
      <c r="C57" s="9"/>
      <c r="D57" s="10"/>
      <c r="E57" s="21"/>
      <c r="F57" s="22"/>
      <c r="G57" s="6"/>
      <c r="H57" s="4"/>
      <c r="I57" s="2"/>
      <c r="J57" s="13" t="s">
        <v>101</v>
      </c>
      <c r="K57" s="8"/>
      <c r="L57" s="9"/>
      <c r="M57" s="10"/>
      <c r="N57" s="21"/>
      <c r="O57" s="22"/>
      <c r="P57" s="6"/>
      <c r="Q57" s="2"/>
    </row>
    <row r="58" spans="1:17" x14ac:dyDescent="0.35">
      <c r="A58" s="13" t="s">
        <v>102</v>
      </c>
      <c r="B58" s="8"/>
      <c r="C58" s="9"/>
      <c r="D58" s="10"/>
      <c r="E58" s="21"/>
      <c r="F58" s="22"/>
      <c r="G58" s="6"/>
      <c r="H58" s="4"/>
      <c r="I58" s="2"/>
      <c r="J58" s="13" t="s">
        <v>102</v>
      </c>
      <c r="K58" s="8"/>
      <c r="L58" s="9"/>
      <c r="M58" s="10"/>
      <c r="N58" s="21"/>
      <c r="O58" s="22"/>
      <c r="P58" s="6"/>
      <c r="Q58" s="2"/>
    </row>
    <row r="59" spans="1:17" x14ac:dyDescent="0.35">
      <c r="A59" s="13" t="s">
        <v>103</v>
      </c>
      <c r="B59" s="8"/>
      <c r="C59" s="9"/>
      <c r="D59" s="10"/>
      <c r="E59" s="21"/>
      <c r="F59" s="22"/>
      <c r="G59" s="6"/>
      <c r="H59" s="4"/>
      <c r="I59" s="2"/>
      <c r="J59" s="13" t="s">
        <v>103</v>
      </c>
      <c r="K59" s="8"/>
      <c r="L59" s="9"/>
      <c r="M59" s="10"/>
      <c r="N59" s="21"/>
      <c r="O59" s="22"/>
      <c r="P59" s="6"/>
      <c r="Q59" s="2"/>
    </row>
    <row r="60" spans="1:17" x14ac:dyDescent="0.35">
      <c r="A60" s="13" t="s">
        <v>104</v>
      </c>
      <c r="B60" s="8"/>
      <c r="C60" s="9"/>
      <c r="D60" s="10"/>
      <c r="E60" s="21"/>
      <c r="F60" s="22"/>
      <c r="G60" s="6"/>
      <c r="H60" s="4"/>
      <c r="I60" s="2"/>
      <c r="J60" s="13" t="s">
        <v>104</v>
      </c>
      <c r="K60" s="8"/>
      <c r="L60" s="9"/>
      <c r="M60" s="10"/>
      <c r="N60" s="21"/>
      <c r="O60" s="22"/>
      <c r="P60" s="6"/>
      <c r="Q60" s="2"/>
    </row>
    <row r="61" spans="1:17" x14ac:dyDescent="0.35">
      <c r="A61" s="13" t="s">
        <v>105</v>
      </c>
      <c r="B61" s="8"/>
      <c r="C61" s="9"/>
      <c r="D61" s="10"/>
      <c r="E61" s="21"/>
      <c r="F61" s="22"/>
      <c r="G61" s="6"/>
      <c r="H61" s="4"/>
      <c r="I61" s="2"/>
      <c r="J61" s="13" t="s">
        <v>105</v>
      </c>
      <c r="K61" s="8"/>
      <c r="L61" s="9"/>
      <c r="M61" s="10"/>
      <c r="N61" s="21"/>
      <c r="O61" s="22"/>
      <c r="P61" s="6"/>
      <c r="Q61" s="2"/>
    </row>
    <row r="62" spans="1:17" x14ac:dyDescent="0.35">
      <c r="A62" s="13" t="s">
        <v>106</v>
      </c>
      <c r="B62" s="8"/>
      <c r="C62" s="9"/>
      <c r="D62" s="10"/>
      <c r="E62" s="21"/>
      <c r="F62" s="22"/>
      <c r="G62" s="6"/>
      <c r="H62" s="4"/>
      <c r="I62" s="2"/>
      <c r="J62" s="13" t="s">
        <v>106</v>
      </c>
      <c r="K62" s="8"/>
      <c r="L62" s="9"/>
      <c r="M62" s="10"/>
      <c r="N62" s="21"/>
      <c r="O62" s="22"/>
      <c r="P62" s="6"/>
      <c r="Q62" s="2"/>
    </row>
    <row r="63" spans="1:17" x14ac:dyDescent="0.35">
      <c r="A63" s="13" t="s">
        <v>107</v>
      </c>
      <c r="B63" s="8"/>
      <c r="C63" s="9"/>
      <c r="D63" s="10"/>
      <c r="E63" s="21"/>
      <c r="F63" s="22"/>
      <c r="G63" s="6"/>
      <c r="H63" s="4"/>
      <c r="I63" s="2"/>
      <c r="J63" s="13" t="s">
        <v>107</v>
      </c>
      <c r="K63" s="8"/>
      <c r="L63" s="9"/>
      <c r="M63" s="10"/>
      <c r="N63" s="21"/>
      <c r="O63" s="22"/>
      <c r="P63" s="6"/>
      <c r="Q63" s="2"/>
    </row>
    <row r="64" spans="1:17" x14ac:dyDescent="0.35">
      <c r="A64" s="13" t="s">
        <v>108</v>
      </c>
      <c r="B64" s="8"/>
      <c r="C64" s="9"/>
      <c r="D64" s="10"/>
      <c r="E64" s="21"/>
      <c r="F64" s="22"/>
      <c r="G64" s="6"/>
      <c r="H64" s="4"/>
      <c r="I64" s="2"/>
      <c r="J64" s="13" t="s">
        <v>108</v>
      </c>
      <c r="K64" s="8"/>
      <c r="L64" s="9"/>
      <c r="M64" s="10"/>
      <c r="N64" s="21"/>
      <c r="O64" s="22"/>
      <c r="P64" s="6"/>
      <c r="Q64" s="2"/>
    </row>
    <row r="65" spans="1:17" x14ac:dyDescent="0.35">
      <c r="A65" s="13" t="s">
        <v>109</v>
      </c>
      <c r="B65" s="8"/>
      <c r="C65" s="9"/>
      <c r="D65" s="10"/>
      <c r="E65" s="21"/>
      <c r="F65" s="22"/>
      <c r="G65" s="6"/>
      <c r="H65" s="4"/>
      <c r="I65" s="2"/>
      <c r="J65" s="13" t="s">
        <v>109</v>
      </c>
      <c r="K65" s="8"/>
      <c r="L65" s="9"/>
      <c r="M65" s="10"/>
      <c r="N65" s="21"/>
      <c r="O65" s="22"/>
      <c r="P65" s="6"/>
      <c r="Q65" s="2"/>
    </row>
    <row r="66" spans="1:17" x14ac:dyDescent="0.35">
      <c r="A66" s="13" t="s">
        <v>110</v>
      </c>
      <c r="B66" s="8"/>
      <c r="C66" s="9"/>
      <c r="D66" s="10"/>
      <c r="E66" s="21"/>
      <c r="F66" s="22"/>
      <c r="G66" s="6"/>
      <c r="H66" s="4"/>
      <c r="I66" s="2"/>
      <c r="J66" s="13" t="s">
        <v>110</v>
      </c>
      <c r="K66" s="8"/>
      <c r="L66" s="9"/>
      <c r="M66" s="10"/>
      <c r="N66" s="21"/>
      <c r="O66" s="22"/>
      <c r="P66" s="6"/>
      <c r="Q66" s="2"/>
    </row>
    <row r="67" spans="1:17" x14ac:dyDescent="0.35">
      <c r="A67" s="13" t="s">
        <v>111</v>
      </c>
      <c r="B67" s="8"/>
      <c r="C67" s="9"/>
      <c r="D67" s="10"/>
      <c r="E67" s="21"/>
      <c r="F67" s="22"/>
      <c r="G67" s="6"/>
      <c r="H67" s="4"/>
      <c r="I67" s="2"/>
      <c r="J67" s="13" t="s">
        <v>111</v>
      </c>
      <c r="K67" s="8"/>
      <c r="L67" s="9"/>
      <c r="M67" s="10"/>
      <c r="N67" s="21"/>
      <c r="O67" s="22"/>
      <c r="P67" s="6"/>
      <c r="Q67" s="2"/>
    </row>
    <row r="68" spans="1:17" x14ac:dyDescent="0.35">
      <c r="A68" s="13" t="s">
        <v>112</v>
      </c>
      <c r="B68" s="8"/>
      <c r="C68" s="9"/>
      <c r="D68" s="10"/>
      <c r="E68" s="21"/>
      <c r="F68" s="22"/>
      <c r="G68" s="6"/>
      <c r="H68" s="4"/>
      <c r="I68" s="2"/>
      <c r="J68" s="13" t="s">
        <v>112</v>
      </c>
      <c r="K68" s="8"/>
      <c r="L68" s="9"/>
      <c r="M68" s="10"/>
      <c r="N68" s="21"/>
      <c r="O68" s="22"/>
      <c r="P68" s="6"/>
      <c r="Q68" s="2"/>
    </row>
    <row r="69" spans="1:17" x14ac:dyDescent="0.35">
      <c r="A69" s="13" t="s">
        <v>113</v>
      </c>
      <c r="B69" s="8"/>
      <c r="C69" s="9"/>
      <c r="D69" s="10"/>
      <c r="E69" s="21"/>
      <c r="F69" s="22"/>
      <c r="G69" s="6"/>
      <c r="H69" s="4"/>
      <c r="I69" s="2"/>
      <c r="J69" s="13" t="s">
        <v>113</v>
      </c>
      <c r="K69" s="8"/>
      <c r="L69" s="9"/>
      <c r="M69" s="10"/>
      <c r="N69" s="21"/>
      <c r="O69" s="22"/>
      <c r="P69" s="6"/>
      <c r="Q69" s="2"/>
    </row>
    <row r="70" spans="1:17" x14ac:dyDescent="0.35">
      <c r="A70" s="13" t="s">
        <v>114</v>
      </c>
      <c r="B70" s="8"/>
      <c r="C70" s="9"/>
      <c r="D70" s="10"/>
      <c r="E70" s="21"/>
      <c r="F70" s="22"/>
      <c r="G70" s="6"/>
      <c r="H70" s="4"/>
      <c r="I70" s="2"/>
      <c r="J70" s="13" t="s">
        <v>114</v>
      </c>
      <c r="K70" s="8"/>
      <c r="L70" s="9"/>
      <c r="M70" s="10"/>
      <c r="N70" s="21"/>
      <c r="O70" s="22"/>
      <c r="P70" s="6"/>
      <c r="Q70" s="2"/>
    </row>
    <row r="71" spans="1:17" x14ac:dyDescent="0.35">
      <c r="A71" s="13" t="s">
        <v>115</v>
      </c>
      <c r="B71" s="8"/>
      <c r="C71" s="9"/>
      <c r="D71" s="10"/>
      <c r="E71" s="21"/>
      <c r="F71" s="22"/>
      <c r="G71" s="6"/>
      <c r="H71" s="4"/>
      <c r="I71" s="2"/>
      <c r="J71" s="13" t="s">
        <v>115</v>
      </c>
      <c r="K71" s="8"/>
      <c r="L71" s="9"/>
      <c r="M71" s="10"/>
      <c r="N71" s="21"/>
      <c r="O71" s="22"/>
      <c r="P71" s="6"/>
      <c r="Q71" s="2"/>
    </row>
    <row r="72" spans="1:17" x14ac:dyDescent="0.35">
      <c r="A72" s="13" t="s">
        <v>116</v>
      </c>
      <c r="B72" s="8"/>
      <c r="C72" s="9"/>
      <c r="D72" s="10"/>
      <c r="E72" s="21"/>
      <c r="F72" s="22"/>
      <c r="G72" s="6"/>
      <c r="H72" s="4"/>
      <c r="I72" s="2"/>
      <c r="J72" s="13" t="s">
        <v>116</v>
      </c>
      <c r="K72" s="8"/>
      <c r="L72" s="9"/>
      <c r="M72" s="10"/>
      <c r="N72" s="21"/>
      <c r="O72" s="22"/>
      <c r="P72" s="6"/>
      <c r="Q72" s="2"/>
    </row>
    <row r="73" spans="1:17" x14ac:dyDescent="0.35">
      <c r="A73" s="13" t="s">
        <v>117</v>
      </c>
      <c r="B73" s="8"/>
      <c r="C73" s="9"/>
      <c r="D73" s="10"/>
      <c r="E73" s="21"/>
      <c r="F73" s="22"/>
      <c r="G73" s="6"/>
      <c r="H73" s="4"/>
      <c r="I73" s="2"/>
      <c r="J73" s="13" t="s">
        <v>117</v>
      </c>
      <c r="K73" s="8"/>
      <c r="L73" s="9"/>
      <c r="M73" s="10"/>
      <c r="N73" s="21"/>
      <c r="O73" s="22"/>
      <c r="P73" s="6"/>
      <c r="Q73" s="2"/>
    </row>
    <row r="74" spans="1:17" x14ac:dyDescent="0.35">
      <c r="A74" s="13" t="s">
        <v>118</v>
      </c>
      <c r="B74" s="8"/>
      <c r="C74" s="9"/>
      <c r="D74" s="10"/>
      <c r="E74" s="21"/>
      <c r="F74" s="22"/>
      <c r="G74" s="6"/>
      <c r="H74" s="4"/>
      <c r="I74" s="2"/>
      <c r="J74" s="13" t="s">
        <v>118</v>
      </c>
      <c r="K74" s="8"/>
      <c r="L74" s="9"/>
      <c r="M74" s="10"/>
      <c r="N74" s="21"/>
      <c r="O74" s="22"/>
      <c r="P74" s="6"/>
      <c r="Q74" s="2"/>
    </row>
    <row r="75" spans="1:17" x14ac:dyDescent="0.35">
      <c r="A75" s="13" t="s">
        <v>119</v>
      </c>
      <c r="B75" s="8"/>
      <c r="C75" s="9"/>
      <c r="D75" s="10"/>
      <c r="E75" s="21"/>
      <c r="F75" s="22"/>
      <c r="G75" s="6"/>
      <c r="H75" s="4"/>
      <c r="I75" s="2"/>
      <c r="J75" s="13" t="s">
        <v>119</v>
      </c>
      <c r="K75" s="8"/>
      <c r="L75" s="9"/>
      <c r="M75" s="10"/>
      <c r="N75" s="21"/>
      <c r="O75" s="22"/>
      <c r="P75" s="6"/>
      <c r="Q75" s="2"/>
    </row>
    <row r="76" spans="1:17" x14ac:dyDescent="0.35">
      <c r="A76" s="13" t="s">
        <v>120</v>
      </c>
      <c r="B76" s="8"/>
      <c r="C76" s="9"/>
      <c r="D76" s="10"/>
      <c r="E76" s="21"/>
      <c r="F76" s="22"/>
      <c r="G76" s="6"/>
      <c r="H76" s="4"/>
      <c r="I76" s="2"/>
      <c r="J76" s="13" t="s">
        <v>120</v>
      </c>
      <c r="K76" s="8"/>
      <c r="L76" s="9"/>
      <c r="M76" s="10"/>
      <c r="N76" s="21"/>
      <c r="O76" s="22"/>
      <c r="P76" s="6"/>
      <c r="Q76" s="2"/>
    </row>
    <row r="77" spans="1:17" x14ac:dyDescent="0.35">
      <c r="A77" s="13" t="s">
        <v>121</v>
      </c>
      <c r="B77" s="8"/>
      <c r="C77" s="9"/>
      <c r="D77" s="10"/>
      <c r="E77" s="21"/>
      <c r="F77" s="22"/>
      <c r="G77" s="6"/>
      <c r="H77" s="4"/>
      <c r="I77" s="2"/>
      <c r="J77" s="13" t="s">
        <v>121</v>
      </c>
      <c r="K77" s="8"/>
      <c r="L77" s="9"/>
      <c r="M77" s="10"/>
      <c r="N77" s="21"/>
      <c r="O77" s="22"/>
      <c r="P77" s="6"/>
      <c r="Q77" s="2"/>
    </row>
    <row r="78" spans="1:17" x14ac:dyDescent="0.35">
      <c r="A78" s="13" t="s">
        <v>122</v>
      </c>
      <c r="B78" s="8"/>
      <c r="C78" s="9"/>
      <c r="D78" s="10"/>
      <c r="E78" s="21"/>
      <c r="F78" s="22"/>
      <c r="G78" s="6"/>
      <c r="H78" s="4"/>
      <c r="I78" s="2"/>
      <c r="J78" s="13" t="s">
        <v>122</v>
      </c>
      <c r="K78" s="8"/>
      <c r="L78" s="9"/>
      <c r="M78" s="10"/>
      <c r="N78" s="21"/>
      <c r="O78" s="22"/>
      <c r="P78" s="6"/>
      <c r="Q78" s="2"/>
    </row>
    <row r="79" spans="1:17" x14ac:dyDescent="0.35">
      <c r="A79" s="13" t="s">
        <v>123</v>
      </c>
      <c r="B79" s="8"/>
      <c r="C79" s="9"/>
      <c r="D79" s="10"/>
      <c r="E79" s="21"/>
      <c r="F79" s="22"/>
      <c r="G79" s="6"/>
      <c r="H79" s="4"/>
      <c r="I79" s="2"/>
      <c r="J79" s="13" t="s">
        <v>123</v>
      </c>
      <c r="K79" s="8"/>
      <c r="L79" s="9"/>
      <c r="M79" s="10"/>
      <c r="N79" s="21"/>
      <c r="O79" s="22"/>
      <c r="P79" s="6"/>
      <c r="Q79" s="2"/>
    </row>
    <row r="80" spans="1:17" x14ac:dyDescent="0.35">
      <c r="A80" s="13" t="s">
        <v>124</v>
      </c>
      <c r="B80" s="8"/>
      <c r="C80" s="9"/>
      <c r="D80" s="10"/>
      <c r="E80" s="21"/>
      <c r="F80" s="22"/>
      <c r="G80" s="6"/>
      <c r="H80" s="4"/>
      <c r="I80" s="2"/>
      <c r="J80" s="13" t="s">
        <v>124</v>
      </c>
      <c r="K80" s="8"/>
      <c r="L80" s="9"/>
      <c r="M80" s="10"/>
      <c r="N80" s="21"/>
      <c r="O80" s="22"/>
      <c r="P80" s="6"/>
      <c r="Q80" s="2"/>
    </row>
    <row r="81" spans="1:17" x14ac:dyDescent="0.35">
      <c r="A81" s="13" t="s">
        <v>125</v>
      </c>
      <c r="B81" s="8"/>
      <c r="C81" s="9"/>
      <c r="D81" s="10"/>
      <c r="E81" s="21"/>
      <c r="F81" s="22"/>
      <c r="G81" s="6"/>
      <c r="H81" s="4"/>
      <c r="I81" s="2"/>
      <c r="J81" s="13" t="s">
        <v>125</v>
      </c>
      <c r="K81" s="8"/>
      <c r="L81" s="9"/>
      <c r="M81" s="10"/>
      <c r="N81" s="21"/>
      <c r="O81" s="22"/>
      <c r="P81" s="6"/>
      <c r="Q81" s="2"/>
    </row>
    <row r="82" spans="1:17" x14ac:dyDescent="0.35">
      <c r="A82" s="13" t="s">
        <v>126</v>
      </c>
      <c r="B82" s="8"/>
      <c r="C82" s="9"/>
      <c r="D82" s="10"/>
      <c r="E82" s="21"/>
      <c r="F82" s="22"/>
      <c r="G82" s="6"/>
      <c r="H82" s="4"/>
      <c r="I82" s="2"/>
      <c r="J82" s="13" t="s">
        <v>126</v>
      </c>
      <c r="K82" s="8"/>
      <c r="L82" s="9"/>
      <c r="M82" s="10"/>
      <c r="N82" s="21"/>
      <c r="O82" s="22"/>
      <c r="P82" s="6"/>
      <c r="Q82" s="2"/>
    </row>
    <row r="83" spans="1:17" x14ac:dyDescent="0.35">
      <c r="A83" s="13" t="s">
        <v>127</v>
      </c>
      <c r="B83" s="8"/>
      <c r="C83" s="9"/>
      <c r="D83" s="10"/>
      <c r="E83" s="21"/>
      <c r="F83" s="22"/>
      <c r="G83" s="6"/>
      <c r="H83" s="4"/>
      <c r="I83" s="2"/>
      <c r="J83" s="13" t="s">
        <v>127</v>
      </c>
      <c r="K83" s="8"/>
      <c r="L83" s="9"/>
      <c r="M83" s="10"/>
      <c r="N83" s="21"/>
      <c r="O83" s="22"/>
      <c r="P83" s="6"/>
      <c r="Q83" s="2"/>
    </row>
    <row r="84" spans="1:17" x14ac:dyDescent="0.35">
      <c r="A84" s="13" t="s">
        <v>128</v>
      </c>
      <c r="B84" s="8"/>
      <c r="C84" s="9"/>
      <c r="D84" s="10"/>
      <c r="E84" s="21"/>
      <c r="F84" s="22"/>
      <c r="G84" s="6"/>
      <c r="H84" s="4"/>
      <c r="I84" s="2"/>
      <c r="J84" s="13" t="s">
        <v>128</v>
      </c>
      <c r="K84" s="8"/>
      <c r="L84" s="9"/>
      <c r="M84" s="10"/>
      <c r="N84" s="21"/>
      <c r="O84" s="22"/>
      <c r="P84" s="6"/>
      <c r="Q84" s="2"/>
    </row>
    <row r="85" spans="1:17" x14ac:dyDescent="0.35">
      <c r="A85" s="13" t="s">
        <v>129</v>
      </c>
      <c r="B85" s="8"/>
      <c r="C85" s="9"/>
      <c r="D85" s="10"/>
      <c r="E85" s="21"/>
      <c r="F85" s="22"/>
      <c r="G85" s="6"/>
      <c r="H85" s="4"/>
      <c r="I85" s="2"/>
      <c r="J85" s="13" t="s">
        <v>129</v>
      </c>
      <c r="K85" s="8"/>
      <c r="L85" s="9"/>
      <c r="M85" s="10"/>
      <c r="N85" s="21"/>
      <c r="O85" s="22"/>
      <c r="P85" s="6"/>
      <c r="Q85" s="2"/>
    </row>
    <row r="86" spans="1:17" x14ac:dyDescent="0.35">
      <c r="A86" s="13" t="s">
        <v>130</v>
      </c>
      <c r="B86" s="8"/>
      <c r="C86" s="9"/>
      <c r="D86" s="10"/>
      <c r="E86" s="21"/>
      <c r="F86" s="22"/>
      <c r="G86" s="6"/>
      <c r="H86" s="4"/>
      <c r="I86" s="2"/>
      <c r="J86" s="13" t="s">
        <v>130</v>
      </c>
      <c r="K86" s="8"/>
      <c r="L86" s="9"/>
      <c r="M86" s="10"/>
      <c r="N86" s="21"/>
      <c r="O86" s="22"/>
      <c r="P86" s="6"/>
      <c r="Q86" s="2"/>
    </row>
    <row r="87" spans="1:17" x14ac:dyDescent="0.35">
      <c r="A87" s="13" t="s">
        <v>131</v>
      </c>
      <c r="B87" s="8"/>
      <c r="C87" s="9"/>
      <c r="D87" s="10"/>
      <c r="E87" s="21"/>
      <c r="F87" s="22"/>
      <c r="G87" s="6"/>
      <c r="H87" s="4"/>
      <c r="I87" s="2"/>
      <c r="J87" s="13" t="s">
        <v>131</v>
      </c>
      <c r="K87" s="8"/>
      <c r="L87" s="9"/>
      <c r="M87" s="10"/>
      <c r="N87" s="21"/>
      <c r="O87" s="22"/>
      <c r="P87" s="6"/>
      <c r="Q87" s="2"/>
    </row>
    <row r="88" spans="1:17" x14ac:dyDescent="0.35">
      <c r="A88" s="13" t="s">
        <v>132</v>
      </c>
      <c r="B88" s="8"/>
      <c r="C88" s="9"/>
      <c r="D88" s="10"/>
      <c r="E88" s="21"/>
      <c r="F88" s="22"/>
      <c r="G88" s="6"/>
      <c r="H88" s="4"/>
      <c r="I88" s="2"/>
      <c r="J88" s="13" t="s">
        <v>132</v>
      </c>
      <c r="K88" s="8"/>
      <c r="L88" s="9"/>
      <c r="M88" s="10"/>
      <c r="N88" s="21"/>
      <c r="O88" s="22"/>
      <c r="P88" s="6"/>
      <c r="Q88" s="2"/>
    </row>
    <row r="89" spans="1:17" x14ac:dyDescent="0.35">
      <c r="A89" s="13" t="s">
        <v>133</v>
      </c>
      <c r="B89" s="8"/>
      <c r="C89" s="9"/>
      <c r="D89" s="10"/>
      <c r="E89" s="21"/>
      <c r="F89" s="22"/>
      <c r="G89" s="6"/>
      <c r="H89" s="4"/>
      <c r="I89" s="2"/>
      <c r="J89" s="13" t="s">
        <v>133</v>
      </c>
      <c r="K89" s="8"/>
      <c r="L89" s="9"/>
      <c r="M89" s="10"/>
      <c r="N89" s="21"/>
      <c r="O89" s="22"/>
      <c r="P89" s="6"/>
      <c r="Q89" s="2"/>
    </row>
    <row r="90" spans="1:17" x14ac:dyDescent="0.35">
      <c r="A90" s="13" t="s">
        <v>134</v>
      </c>
      <c r="B90" s="8"/>
      <c r="C90" s="9"/>
      <c r="D90" s="10"/>
      <c r="E90" s="21"/>
      <c r="F90" s="22"/>
      <c r="G90" s="6"/>
      <c r="H90" s="4"/>
      <c r="I90" s="2"/>
      <c r="J90" s="13" t="s">
        <v>134</v>
      </c>
      <c r="K90" s="8"/>
      <c r="L90" s="9"/>
      <c r="M90" s="10"/>
      <c r="N90" s="21"/>
      <c r="O90" s="22"/>
      <c r="P90" s="6"/>
      <c r="Q90" s="2"/>
    </row>
    <row r="91" spans="1:17" x14ac:dyDescent="0.35">
      <c r="A91" s="13" t="s">
        <v>135</v>
      </c>
      <c r="B91" s="8"/>
      <c r="C91" s="9"/>
      <c r="D91" s="10"/>
      <c r="E91" s="21"/>
      <c r="F91" s="22"/>
      <c r="G91" s="6"/>
      <c r="H91" s="4"/>
      <c r="I91" s="2"/>
      <c r="J91" s="13" t="s">
        <v>135</v>
      </c>
      <c r="K91" s="8"/>
      <c r="L91" s="9"/>
      <c r="M91" s="10"/>
      <c r="N91" s="21"/>
      <c r="O91" s="22"/>
      <c r="P91" s="6"/>
      <c r="Q91" s="2"/>
    </row>
    <row r="92" spans="1:17" x14ac:dyDescent="0.35">
      <c r="A92" s="13" t="s">
        <v>136</v>
      </c>
      <c r="B92" s="8"/>
      <c r="C92" s="9"/>
      <c r="D92" s="10"/>
      <c r="E92" s="21"/>
      <c r="F92" s="22"/>
      <c r="G92" s="6"/>
      <c r="H92" s="4"/>
      <c r="I92" s="2"/>
      <c r="J92" s="13" t="s">
        <v>136</v>
      </c>
      <c r="K92" s="8"/>
      <c r="L92" s="9"/>
      <c r="M92" s="10"/>
      <c r="N92" s="21"/>
      <c r="O92" s="22"/>
      <c r="P92" s="6"/>
      <c r="Q92" s="2"/>
    </row>
    <row r="93" spans="1:17" x14ac:dyDescent="0.35">
      <c r="A93" s="13" t="s">
        <v>137</v>
      </c>
      <c r="B93" s="8"/>
      <c r="C93" s="9"/>
      <c r="D93" s="10"/>
      <c r="E93" s="21"/>
      <c r="F93" s="22"/>
      <c r="G93" s="6"/>
      <c r="H93" s="4"/>
      <c r="I93" s="2"/>
      <c r="J93" s="13" t="s">
        <v>137</v>
      </c>
      <c r="K93" s="8"/>
      <c r="L93" s="9"/>
      <c r="M93" s="10"/>
      <c r="N93" s="21"/>
      <c r="O93" s="22"/>
      <c r="P93" s="6"/>
      <c r="Q93" s="2"/>
    </row>
    <row r="94" spans="1:17" x14ac:dyDescent="0.35">
      <c r="A94" s="13" t="s">
        <v>138</v>
      </c>
      <c r="B94" s="8"/>
      <c r="C94" s="9"/>
      <c r="D94" s="10"/>
      <c r="E94" s="21"/>
      <c r="F94" s="22"/>
      <c r="G94" s="6"/>
      <c r="H94" s="4"/>
      <c r="I94" s="2"/>
      <c r="J94" s="13" t="s">
        <v>138</v>
      </c>
      <c r="K94" s="8"/>
      <c r="L94" s="9"/>
      <c r="M94" s="10"/>
      <c r="N94" s="21"/>
      <c r="O94" s="22"/>
      <c r="P94" s="6"/>
      <c r="Q94" s="2"/>
    </row>
    <row r="95" spans="1:17" x14ac:dyDescent="0.35">
      <c r="A95" s="13" t="s">
        <v>139</v>
      </c>
      <c r="B95" s="8"/>
      <c r="C95" s="9"/>
      <c r="D95" s="10"/>
      <c r="E95" s="21"/>
      <c r="F95" s="22"/>
      <c r="G95" s="6"/>
      <c r="H95" s="4"/>
      <c r="I95" s="2"/>
      <c r="J95" s="13" t="s">
        <v>139</v>
      </c>
      <c r="K95" s="8"/>
      <c r="L95" s="9"/>
      <c r="M95" s="10"/>
      <c r="N95" s="21"/>
      <c r="O95" s="22"/>
      <c r="P95" s="6"/>
      <c r="Q95" s="2"/>
    </row>
    <row r="96" spans="1:17" x14ac:dyDescent="0.35">
      <c r="A96" s="13" t="s">
        <v>141</v>
      </c>
      <c r="B96" s="8"/>
      <c r="C96" s="9"/>
      <c r="D96" s="10"/>
      <c r="E96" s="21"/>
      <c r="F96" s="22"/>
      <c r="G96" s="6"/>
      <c r="H96" s="4"/>
      <c r="I96" s="2"/>
      <c r="J96" s="13" t="s">
        <v>141</v>
      </c>
      <c r="K96" s="8"/>
      <c r="L96" s="9"/>
      <c r="M96" s="10"/>
      <c r="N96" s="21"/>
      <c r="O96" s="22"/>
      <c r="P96" s="6"/>
      <c r="Q96" s="2"/>
    </row>
    <row r="97" spans="1:17" x14ac:dyDescent="0.35">
      <c r="A97" s="13" t="s">
        <v>142</v>
      </c>
      <c r="B97" s="8"/>
      <c r="C97" s="9"/>
      <c r="D97" s="10"/>
      <c r="E97" s="21"/>
      <c r="F97" s="22"/>
      <c r="G97" s="6"/>
      <c r="H97" s="4"/>
      <c r="I97" s="2"/>
      <c r="J97" s="13" t="s">
        <v>142</v>
      </c>
      <c r="K97" s="8"/>
      <c r="L97" s="9"/>
      <c r="M97" s="10"/>
      <c r="N97" s="21"/>
      <c r="O97" s="22"/>
      <c r="P97" s="6"/>
      <c r="Q97" s="2"/>
    </row>
    <row r="98" spans="1:17" x14ac:dyDescent="0.35">
      <c r="A98" s="13" t="s">
        <v>140</v>
      </c>
      <c r="B98" s="8"/>
      <c r="C98" s="9"/>
      <c r="D98" s="10"/>
      <c r="E98" s="21"/>
      <c r="F98" s="22"/>
      <c r="G98" s="6"/>
      <c r="H98" s="4"/>
      <c r="I98" s="2"/>
      <c r="J98" s="13" t="s">
        <v>140</v>
      </c>
      <c r="K98" s="8"/>
      <c r="L98" s="9"/>
      <c r="M98" s="10"/>
      <c r="N98" s="21"/>
      <c r="O98" s="22"/>
      <c r="P98" s="6"/>
      <c r="Q98" s="2"/>
    </row>
    <row r="99" spans="1:17" x14ac:dyDescent="0.35">
      <c r="A99" s="13" t="s">
        <v>143</v>
      </c>
      <c r="B99" s="8"/>
      <c r="C99" s="9"/>
      <c r="D99" s="10"/>
      <c r="E99" s="21"/>
      <c r="F99" s="22"/>
      <c r="G99" s="6"/>
      <c r="H99" s="4"/>
      <c r="I99" s="2"/>
      <c r="J99" s="13" t="s">
        <v>143</v>
      </c>
      <c r="K99" s="8"/>
      <c r="L99" s="9"/>
      <c r="M99" s="10"/>
      <c r="N99" s="21"/>
      <c r="O99" s="22"/>
      <c r="P99" s="6"/>
      <c r="Q99" s="2"/>
    </row>
    <row r="100" spans="1:17" x14ac:dyDescent="0.35">
      <c r="A100" s="13" t="s">
        <v>144</v>
      </c>
      <c r="B100" s="8"/>
      <c r="C100" s="9"/>
      <c r="D100" s="10"/>
      <c r="E100" s="21"/>
      <c r="F100" s="22"/>
      <c r="G100" s="6"/>
      <c r="H100" s="4"/>
      <c r="I100" s="2"/>
      <c r="J100" s="13" t="s">
        <v>144</v>
      </c>
      <c r="K100" s="8"/>
      <c r="L100" s="9"/>
      <c r="M100" s="10"/>
      <c r="N100" s="21"/>
      <c r="O100" s="22"/>
      <c r="P100" s="6"/>
      <c r="Q100" s="2"/>
    </row>
    <row r="101" spans="1:17" x14ac:dyDescent="0.35">
      <c r="A101" s="13" t="s">
        <v>145</v>
      </c>
      <c r="B101" s="8"/>
      <c r="C101" s="9"/>
      <c r="D101" s="10"/>
      <c r="E101" s="21"/>
      <c r="F101" s="22"/>
      <c r="G101" s="6"/>
      <c r="H101" s="4"/>
      <c r="I101" s="2"/>
      <c r="J101" s="13" t="s">
        <v>145</v>
      </c>
      <c r="K101" s="8"/>
      <c r="L101" s="9"/>
      <c r="M101" s="10"/>
      <c r="N101" s="21"/>
      <c r="O101" s="22"/>
      <c r="P101" s="6"/>
      <c r="Q101" s="2"/>
    </row>
    <row r="102" spans="1:17" x14ac:dyDescent="0.35">
      <c r="A102" s="13" t="s">
        <v>148</v>
      </c>
      <c r="B102" s="8"/>
      <c r="C102" s="9"/>
      <c r="D102" s="10"/>
      <c r="E102" s="21"/>
      <c r="F102" s="22"/>
      <c r="G102" s="6"/>
      <c r="H102" s="4"/>
      <c r="I102" s="2"/>
      <c r="J102" s="13" t="s">
        <v>148</v>
      </c>
      <c r="K102" s="8"/>
      <c r="L102" s="9"/>
      <c r="M102" s="10"/>
      <c r="N102" s="21"/>
      <c r="O102" s="22"/>
      <c r="P102" s="6"/>
      <c r="Q102" s="2"/>
    </row>
    <row r="103" spans="1:17" x14ac:dyDescent="0.35">
      <c r="A103" s="13" t="s">
        <v>149</v>
      </c>
      <c r="B103" s="8"/>
      <c r="C103" s="9"/>
      <c r="D103" s="10"/>
      <c r="E103" s="21"/>
      <c r="F103" s="22"/>
      <c r="G103" s="6"/>
      <c r="H103" s="4"/>
      <c r="I103" s="2"/>
      <c r="J103" s="13" t="s">
        <v>149</v>
      </c>
      <c r="K103" s="8"/>
      <c r="L103" s="9"/>
      <c r="M103" s="10"/>
      <c r="N103" s="21"/>
      <c r="O103" s="22"/>
      <c r="P103" s="6"/>
      <c r="Q103" s="2"/>
    </row>
    <row r="104" spans="1:17" x14ac:dyDescent="0.35">
      <c r="A104" s="13" t="s">
        <v>146</v>
      </c>
      <c r="B104" s="8"/>
      <c r="C104" s="9"/>
      <c r="D104" s="10"/>
      <c r="E104" s="21"/>
      <c r="F104" s="22"/>
      <c r="G104" s="6"/>
      <c r="H104" s="4"/>
      <c r="I104" s="2"/>
      <c r="J104" s="13" t="s">
        <v>146</v>
      </c>
      <c r="K104" s="8"/>
      <c r="L104" s="9"/>
      <c r="M104" s="10"/>
      <c r="N104" s="21"/>
      <c r="O104" s="22"/>
      <c r="P104" s="6"/>
      <c r="Q104" s="2"/>
    </row>
    <row r="105" spans="1:17" x14ac:dyDescent="0.35">
      <c r="A105" s="13" t="s">
        <v>150</v>
      </c>
      <c r="B105" s="8"/>
      <c r="C105" s="9"/>
      <c r="D105" s="10"/>
      <c r="E105" s="21"/>
      <c r="F105" s="22"/>
      <c r="G105" s="6"/>
      <c r="H105" s="4"/>
      <c r="I105" s="2"/>
      <c r="J105" s="13" t="s">
        <v>150</v>
      </c>
      <c r="K105" s="8"/>
      <c r="L105" s="9"/>
      <c r="M105" s="10"/>
      <c r="N105" s="21"/>
      <c r="O105" s="22"/>
      <c r="P105" s="6"/>
      <c r="Q105" s="2"/>
    </row>
    <row r="106" spans="1:17" x14ac:dyDescent="0.35">
      <c r="A106" s="13" t="s">
        <v>151</v>
      </c>
      <c r="B106" s="8"/>
      <c r="C106" s="9"/>
      <c r="D106" s="10"/>
      <c r="E106" s="21"/>
      <c r="F106" s="22"/>
      <c r="G106" s="6"/>
      <c r="H106" s="4"/>
      <c r="I106" s="2"/>
      <c r="J106" s="13" t="s">
        <v>151</v>
      </c>
      <c r="K106" s="8"/>
      <c r="L106" s="9"/>
      <c r="M106" s="10"/>
      <c r="N106" s="21"/>
      <c r="O106" s="22"/>
      <c r="P106" s="6"/>
      <c r="Q106" s="2"/>
    </row>
    <row r="107" spans="1:17" x14ac:dyDescent="0.35">
      <c r="A107" s="13" t="s">
        <v>147</v>
      </c>
      <c r="B107" s="8"/>
      <c r="C107" s="9"/>
      <c r="D107" s="10"/>
      <c r="E107" s="21"/>
      <c r="F107" s="22"/>
      <c r="G107" s="6"/>
      <c r="H107" s="4"/>
      <c r="I107" s="2"/>
      <c r="J107" s="13" t="s">
        <v>147</v>
      </c>
      <c r="K107" s="8"/>
      <c r="L107" s="9"/>
      <c r="M107" s="10"/>
      <c r="N107" s="21"/>
      <c r="O107" s="22"/>
      <c r="P107" s="6"/>
      <c r="Q107" s="2"/>
    </row>
    <row r="108" spans="1:17" x14ac:dyDescent="0.35">
      <c r="A108" s="13" t="s">
        <v>152</v>
      </c>
      <c r="B108" s="8"/>
      <c r="C108" s="9"/>
      <c r="D108" s="10"/>
      <c r="E108" s="21"/>
      <c r="F108" s="22"/>
      <c r="G108" s="6"/>
      <c r="H108" s="4"/>
      <c r="I108" s="2"/>
      <c r="J108" s="13" t="s">
        <v>152</v>
      </c>
      <c r="K108" s="8"/>
      <c r="L108" s="9"/>
      <c r="M108" s="10"/>
      <c r="N108" s="21"/>
      <c r="O108" s="22"/>
      <c r="P108" s="6"/>
      <c r="Q108" s="2"/>
    </row>
    <row r="109" spans="1:17" x14ac:dyDescent="0.35">
      <c r="A109" s="13" t="s">
        <v>153</v>
      </c>
      <c r="B109" s="8"/>
      <c r="C109" s="9"/>
      <c r="D109" s="10"/>
      <c r="E109" s="21"/>
      <c r="F109" s="22"/>
      <c r="G109" s="6"/>
      <c r="H109" s="4"/>
      <c r="I109" s="2"/>
      <c r="J109" s="13" t="s">
        <v>153</v>
      </c>
      <c r="K109" s="8"/>
      <c r="L109" s="9"/>
      <c r="M109" s="10"/>
      <c r="N109" s="21"/>
      <c r="O109" s="22"/>
      <c r="P109" s="6"/>
      <c r="Q109" s="2"/>
    </row>
    <row r="110" spans="1:17" x14ac:dyDescent="0.35">
      <c r="A110" s="13" t="s">
        <v>154</v>
      </c>
      <c r="B110" s="8"/>
      <c r="C110" s="9"/>
      <c r="D110" s="10"/>
      <c r="E110" s="21"/>
      <c r="F110" s="22"/>
      <c r="G110" s="6"/>
      <c r="H110" s="4"/>
      <c r="I110" s="2"/>
      <c r="J110" s="13" t="s">
        <v>154</v>
      </c>
      <c r="K110" s="8"/>
      <c r="L110" s="9"/>
      <c r="M110" s="10"/>
      <c r="N110" s="21"/>
      <c r="O110" s="22"/>
      <c r="P110" s="6"/>
      <c r="Q110" s="2"/>
    </row>
    <row r="111" spans="1:17" x14ac:dyDescent="0.35">
      <c r="A111" s="13" t="s">
        <v>155</v>
      </c>
      <c r="B111" s="8"/>
      <c r="C111" s="9"/>
      <c r="D111" s="10"/>
      <c r="E111" s="21"/>
      <c r="F111" s="22"/>
      <c r="G111" s="6"/>
      <c r="H111" s="4"/>
      <c r="I111" s="2"/>
      <c r="J111" s="13" t="s">
        <v>155</v>
      </c>
      <c r="K111" s="8"/>
      <c r="L111" s="9"/>
      <c r="M111" s="10"/>
      <c r="N111" s="21"/>
      <c r="O111" s="22"/>
      <c r="P111" s="6"/>
      <c r="Q111" s="2"/>
    </row>
    <row r="112" spans="1:17" x14ac:dyDescent="0.35">
      <c r="A112" s="13" t="s">
        <v>156</v>
      </c>
      <c r="B112" s="8"/>
      <c r="C112" s="9"/>
      <c r="D112" s="10"/>
      <c r="E112" s="21"/>
      <c r="F112" s="22"/>
      <c r="G112" s="6"/>
      <c r="H112" s="4"/>
      <c r="I112" s="2"/>
      <c r="J112" s="13" t="s">
        <v>156</v>
      </c>
      <c r="K112" s="8"/>
      <c r="L112" s="9"/>
      <c r="M112" s="10"/>
      <c r="N112" s="21"/>
      <c r="O112" s="22"/>
      <c r="P112" s="6"/>
      <c r="Q112" s="2"/>
    </row>
    <row r="113" spans="1:17" x14ac:dyDescent="0.35">
      <c r="A113" s="2"/>
      <c r="B113" s="2"/>
      <c r="C113" s="2"/>
      <c r="D113" s="2"/>
      <c r="E113" s="2"/>
      <c r="F113" s="2"/>
      <c r="G113" s="2"/>
      <c r="H113" s="2"/>
      <c r="I113" s="2"/>
      <c r="J113" s="14"/>
      <c r="K113" s="14"/>
      <c r="L113" s="14"/>
      <c r="M113" s="14"/>
      <c r="N113" s="14"/>
      <c r="O113" s="14"/>
      <c r="P113" s="14"/>
      <c r="Q113" s="2"/>
    </row>
    <row r="114" spans="1:17" x14ac:dyDescent="0.35">
      <c r="A114" s="2"/>
      <c r="B114" s="2"/>
      <c r="C114" s="2"/>
      <c r="D114" s="2"/>
      <c r="E114" s="2"/>
      <c r="F114" s="2"/>
      <c r="G114" s="2"/>
      <c r="H114" s="2"/>
      <c r="I114" s="2"/>
      <c r="J114" s="14"/>
      <c r="K114" s="14"/>
      <c r="L114" s="14"/>
      <c r="M114" s="14"/>
      <c r="N114" s="14"/>
      <c r="O114" s="14"/>
      <c r="P114" s="14"/>
      <c r="Q114" s="2"/>
    </row>
    <row r="115" spans="1:17" x14ac:dyDescent="0.35">
      <c r="A115" s="2"/>
      <c r="B115" s="2"/>
      <c r="C115" s="2"/>
      <c r="D115" s="2"/>
      <c r="E115" s="2"/>
      <c r="F115" s="2"/>
      <c r="G115" s="2"/>
      <c r="H115" s="2"/>
      <c r="I115" s="2"/>
      <c r="J115" s="14"/>
      <c r="K115" s="14"/>
      <c r="L115" s="14"/>
      <c r="M115" s="14"/>
      <c r="N115" s="14"/>
      <c r="O115" s="14"/>
      <c r="P115" s="14"/>
      <c r="Q115" s="2"/>
    </row>
    <row r="116" spans="1:17" x14ac:dyDescent="0.35">
      <c r="A116" s="2"/>
      <c r="B116" s="2"/>
      <c r="C116" s="2"/>
      <c r="D116" s="2"/>
      <c r="E116" s="2"/>
      <c r="F116" s="2"/>
      <c r="G116" s="2"/>
      <c r="H116" s="2"/>
      <c r="I116" s="2"/>
      <c r="J116" s="14"/>
      <c r="K116" s="14"/>
      <c r="L116" s="14"/>
      <c r="M116" s="14"/>
      <c r="N116" s="14"/>
      <c r="O116" s="14"/>
      <c r="P116" s="14"/>
      <c r="Q116" s="2"/>
    </row>
  </sheetData>
  <mergeCells count="2">
    <mergeCell ref="C2:F2"/>
    <mergeCell ref="L2:O2"/>
  </mergeCells>
  <pageMargins left="0.7" right="0.7" top="0.75" bottom="0.75" header="0.3" footer="0.3"/>
  <headerFooter>
    <oddHeader>&amp;L&amp;"Aptos"&amp;12&amp;K03C03C Public&amp;1#_x000D_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36344-CDB3-465B-8B46-07732A795B2F}">
  <dimension ref="A1:G37"/>
  <sheetViews>
    <sheetView workbookViewId="0">
      <pane ySplit="1" topLeftCell="A2" activePane="bottomLeft" state="frozen"/>
      <selection pane="bottomLeft" activeCell="F4" sqref="F4"/>
    </sheetView>
  </sheetViews>
  <sheetFormatPr defaultRowHeight="14.5" x14ac:dyDescent="0.35"/>
  <cols>
    <col min="1" max="1" width="10.453125" customWidth="1"/>
    <col min="2" max="7" width="10.7265625" customWidth="1"/>
  </cols>
  <sheetData>
    <row r="1" spans="1:7" x14ac:dyDescent="0.35">
      <c r="A1" s="1"/>
      <c r="B1" s="15" t="s">
        <v>0</v>
      </c>
      <c r="C1" s="16" t="s">
        <v>1</v>
      </c>
      <c r="D1" s="17" t="s">
        <v>2</v>
      </c>
      <c r="E1" s="24" t="s">
        <v>3</v>
      </c>
      <c r="F1" s="23" t="s">
        <v>4</v>
      </c>
      <c r="G1" s="18" t="s">
        <v>5</v>
      </c>
    </row>
    <row r="2" spans="1:7" x14ac:dyDescent="0.35">
      <c r="A2" s="5" t="s">
        <v>6</v>
      </c>
      <c r="B2" s="8">
        <v>222</v>
      </c>
      <c r="C2" s="9">
        <v>190</v>
      </c>
      <c r="D2" s="10">
        <v>202</v>
      </c>
      <c r="E2" s="21">
        <v>196</v>
      </c>
      <c r="F2" s="22">
        <v>197</v>
      </c>
      <c r="G2" s="177"/>
    </row>
    <row r="3" spans="1:7" x14ac:dyDescent="0.35">
      <c r="A3" s="5" t="s">
        <v>7</v>
      </c>
      <c r="B3" s="8">
        <v>217</v>
      </c>
      <c r="C3" s="9">
        <v>185</v>
      </c>
      <c r="D3" s="10">
        <v>202</v>
      </c>
      <c r="E3" s="21">
        <v>207</v>
      </c>
      <c r="F3" s="22">
        <v>193</v>
      </c>
      <c r="G3" s="177"/>
    </row>
    <row r="4" spans="1:7" x14ac:dyDescent="0.35">
      <c r="A4" s="5" t="s">
        <v>8</v>
      </c>
      <c r="B4" s="177"/>
      <c r="C4" s="9">
        <v>218</v>
      </c>
      <c r="D4" s="10">
        <v>200</v>
      </c>
      <c r="E4" s="21">
        <v>200</v>
      </c>
      <c r="F4" s="177"/>
      <c r="G4" s="6">
        <v>164</v>
      </c>
    </row>
    <row r="5" spans="1:7" x14ac:dyDescent="0.35">
      <c r="A5" s="5" t="s">
        <v>9</v>
      </c>
      <c r="B5" s="8"/>
      <c r="C5" s="9"/>
      <c r="D5" s="10"/>
      <c r="E5" s="21"/>
      <c r="F5" s="22"/>
      <c r="G5" s="6"/>
    </row>
    <row r="6" spans="1:7" x14ac:dyDescent="0.35">
      <c r="A6" s="5" t="s">
        <v>10</v>
      </c>
      <c r="B6" s="8"/>
      <c r="C6" s="9"/>
      <c r="D6" s="10"/>
      <c r="E6" s="21"/>
      <c r="F6" s="22"/>
      <c r="G6" s="6"/>
    </row>
    <row r="7" spans="1:7" x14ac:dyDescent="0.35">
      <c r="A7" s="5" t="s">
        <v>11</v>
      </c>
      <c r="B7" s="8"/>
      <c r="C7" s="9"/>
      <c r="D7" s="10"/>
      <c r="E7" s="21"/>
      <c r="F7" s="22"/>
      <c r="G7" s="6"/>
    </row>
    <row r="8" spans="1:7" x14ac:dyDescent="0.35">
      <c r="A8" s="5" t="s">
        <v>12</v>
      </c>
      <c r="B8" s="8"/>
      <c r="C8" s="9"/>
      <c r="D8" s="10"/>
      <c r="E8" s="21"/>
      <c r="F8" s="22"/>
      <c r="G8" s="6"/>
    </row>
    <row r="9" spans="1:7" x14ac:dyDescent="0.35">
      <c r="A9" s="5" t="s">
        <v>13</v>
      </c>
      <c r="B9" s="8"/>
      <c r="C9" s="9"/>
      <c r="D9" s="10"/>
      <c r="E9" s="21"/>
      <c r="F9" s="22"/>
      <c r="G9" s="6"/>
    </row>
    <row r="10" spans="1:7" x14ac:dyDescent="0.35">
      <c r="A10" s="5" t="s">
        <v>14</v>
      </c>
      <c r="B10" s="8"/>
      <c r="C10" s="9"/>
      <c r="D10" s="10"/>
      <c r="E10" s="21"/>
      <c r="F10" s="22"/>
      <c r="G10" s="6"/>
    </row>
    <row r="11" spans="1:7" x14ac:dyDescent="0.35">
      <c r="A11" s="5" t="s">
        <v>15</v>
      </c>
      <c r="B11" s="8"/>
      <c r="C11" s="9"/>
      <c r="D11" s="10"/>
      <c r="E11" s="21"/>
      <c r="F11" s="22"/>
      <c r="G11" s="6"/>
    </row>
    <row r="12" spans="1:7" x14ac:dyDescent="0.35">
      <c r="A12" s="5" t="s">
        <v>16</v>
      </c>
      <c r="B12" s="8"/>
      <c r="C12" s="9"/>
      <c r="D12" s="10"/>
      <c r="E12" s="21"/>
      <c r="F12" s="22"/>
      <c r="G12" s="6"/>
    </row>
    <row r="13" spans="1:7" x14ac:dyDescent="0.35">
      <c r="A13" s="5" t="s">
        <v>17</v>
      </c>
      <c r="B13" s="8"/>
      <c r="C13" s="9"/>
      <c r="D13" s="10"/>
      <c r="E13" s="21"/>
      <c r="F13" s="22"/>
      <c r="G13" s="6"/>
    </row>
    <row r="14" spans="1:7" x14ac:dyDescent="0.35">
      <c r="A14" s="5" t="s">
        <v>18</v>
      </c>
      <c r="B14" s="8"/>
      <c r="C14" s="9"/>
      <c r="D14" s="10"/>
      <c r="E14" s="21"/>
      <c r="F14" s="22"/>
      <c r="G14" s="6"/>
    </row>
    <row r="15" spans="1:7" x14ac:dyDescent="0.35">
      <c r="A15" s="5" t="s">
        <v>19</v>
      </c>
      <c r="B15" s="8"/>
      <c r="C15" s="9"/>
      <c r="D15" s="10"/>
      <c r="E15" s="21"/>
      <c r="F15" s="22"/>
      <c r="G15" s="6"/>
    </row>
    <row r="16" spans="1:7" x14ac:dyDescent="0.35">
      <c r="A16" s="5" t="s">
        <v>20</v>
      </c>
      <c r="B16" s="8"/>
      <c r="C16" s="9"/>
      <c r="D16" s="10"/>
      <c r="E16" s="21"/>
      <c r="F16" s="22"/>
      <c r="G16" s="6"/>
    </row>
    <row r="17" spans="1:7" x14ac:dyDescent="0.35">
      <c r="A17" s="5" t="s">
        <v>21</v>
      </c>
      <c r="B17" s="8"/>
      <c r="C17" s="9"/>
      <c r="D17" s="10"/>
      <c r="E17" s="21"/>
      <c r="F17" s="22"/>
      <c r="G17" s="6"/>
    </row>
    <row r="18" spans="1:7" x14ac:dyDescent="0.35">
      <c r="A18" s="5" t="s">
        <v>22</v>
      </c>
      <c r="B18" s="8"/>
      <c r="C18" s="9"/>
      <c r="D18" s="10"/>
      <c r="E18" s="21"/>
      <c r="F18" s="22"/>
      <c r="G18" s="6"/>
    </row>
    <row r="19" spans="1:7" x14ac:dyDescent="0.35">
      <c r="A19" s="5" t="s">
        <v>23</v>
      </c>
      <c r="B19" s="8"/>
      <c r="C19" s="9"/>
      <c r="D19" s="10"/>
      <c r="E19" s="21"/>
      <c r="F19" s="22"/>
      <c r="G19" s="6"/>
    </row>
    <row r="20" spans="1:7" x14ac:dyDescent="0.35">
      <c r="A20" s="5" t="s">
        <v>24</v>
      </c>
      <c r="B20" s="8"/>
      <c r="C20" s="9"/>
      <c r="D20" s="10"/>
      <c r="E20" s="21"/>
      <c r="F20" s="22"/>
      <c r="G20" s="6"/>
    </row>
    <row r="21" spans="1:7" x14ac:dyDescent="0.35">
      <c r="A21" s="5" t="s">
        <v>25</v>
      </c>
      <c r="B21" s="8"/>
      <c r="C21" s="9"/>
      <c r="D21" s="10"/>
      <c r="E21" s="21"/>
      <c r="F21" s="22"/>
      <c r="G21" s="6"/>
    </row>
    <row r="22" spans="1:7" x14ac:dyDescent="0.35">
      <c r="A22" s="5" t="s">
        <v>26</v>
      </c>
      <c r="B22" s="8"/>
      <c r="C22" s="9"/>
      <c r="D22" s="10"/>
      <c r="E22" s="21"/>
      <c r="F22" s="22"/>
      <c r="G22" s="6"/>
    </row>
    <row r="23" spans="1:7" x14ac:dyDescent="0.35">
      <c r="A23" s="5" t="s">
        <v>27</v>
      </c>
      <c r="B23" s="8"/>
      <c r="C23" s="9"/>
      <c r="D23" s="10"/>
      <c r="E23" s="21"/>
      <c r="F23" s="22"/>
      <c r="G23" s="6"/>
    </row>
    <row r="24" spans="1:7" x14ac:dyDescent="0.35">
      <c r="A24" s="5" t="s">
        <v>28</v>
      </c>
      <c r="B24" s="8"/>
      <c r="C24" s="9"/>
      <c r="D24" s="10"/>
      <c r="E24" s="21"/>
      <c r="F24" s="22"/>
      <c r="G24" s="6"/>
    </row>
    <row r="25" spans="1:7" x14ac:dyDescent="0.35">
      <c r="A25" s="5" t="s">
        <v>29</v>
      </c>
      <c r="B25" s="8"/>
      <c r="C25" s="9"/>
      <c r="D25" s="10"/>
      <c r="E25" s="21"/>
      <c r="F25" s="22"/>
      <c r="G25" s="6"/>
    </row>
    <row r="26" spans="1:7" x14ac:dyDescent="0.35">
      <c r="A26" s="5" t="s">
        <v>30</v>
      </c>
      <c r="B26" s="8"/>
      <c r="C26" s="9"/>
      <c r="D26" s="10"/>
      <c r="E26" s="21"/>
      <c r="F26" s="22"/>
      <c r="G26" s="6"/>
    </row>
    <row r="27" spans="1:7" x14ac:dyDescent="0.35">
      <c r="A27" s="5" t="s">
        <v>31</v>
      </c>
      <c r="B27" s="8"/>
      <c r="C27" s="9"/>
      <c r="D27" s="10"/>
      <c r="E27" s="21"/>
      <c r="F27" s="22"/>
      <c r="G27" s="6"/>
    </row>
    <row r="28" spans="1:7" x14ac:dyDescent="0.35">
      <c r="A28" s="5" t="s">
        <v>32</v>
      </c>
      <c r="B28" s="8"/>
      <c r="C28" s="9"/>
      <c r="D28" s="10"/>
      <c r="E28" s="21"/>
      <c r="F28" s="22"/>
      <c r="G28" s="6"/>
    </row>
    <row r="29" spans="1:7" x14ac:dyDescent="0.35">
      <c r="A29" s="5" t="s">
        <v>33</v>
      </c>
      <c r="B29" s="8"/>
      <c r="C29" s="9"/>
      <c r="D29" s="10"/>
      <c r="E29" s="21"/>
      <c r="F29" s="22"/>
      <c r="G29" s="6"/>
    </row>
    <row r="30" spans="1:7" x14ac:dyDescent="0.35">
      <c r="A30" s="5" t="s">
        <v>34</v>
      </c>
      <c r="B30" s="8"/>
      <c r="C30" s="9"/>
      <c r="D30" s="10"/>
      <c r="E30" s="21"/>
      <c r="F30" s="22"/>
      <c r="G30" s="6"/>
    </row>
    <row r="31" spans="1:7" x14ac:dyDescent="0.35">
      <c r="A31" s="5" t="s">
        <v>35</v>
      </c>
      <c r="B31" s="8"/>
      <c r="C31" s="9"/>
      <c r="D31" s="10"/>
      <c r="E31" s="21"/>
      <c r="F31" s="22"/>
      <c r="G31" s="6"/>
    </row>
    <row r="32" spans="1:7" x14ac:dyDescent="0.35">
      <c r="A32" s="5" t="s">
        <v>36</v>
      </c>
      <c r="B32" s="8"/>
      <c r="C32" s="9"/>
      <c r="D32" s="10"/>
      <c r="E32" s="21"/>
      <c r="F32" s="22"/>
      <c r="G32" s="6"/>
    </row>
    <row r="33" spans="1:7" x14ac:dyDescent="0.35">
      <c r="A33" s="5" t="s">
        <v>37</v>
      </c>
      <c r="B33" s="8"/>
      <c r="C33" s="9"/>
      <c r="D33" s="10"/>
      <c r="E33" s="21"/>
      <c r="F33" s="22"/>
      <c r="G33" s="6"/>
    </row>
    <row r="34" spans="1:7" x14ac:dyDescent="0.35">
      <c r="A34" s="5" t="s">
        <v>38</v>
      </c>
      <c r="B34" s="8"/>
      <c r="C34" s="9"/>
      <c r="D34" s="10"/>
      <c r="E34" s="21"/>
      <c r="F34" s="22"/>
      <c r="G34" s="6"/>
    </row>
    <row r="35" spans="1:7" x14ac:dyDescent="0.35">
      <c r="A35" s="5" t="s">
        <v>39</v>
      </c>
      <c r="B35" s="8"/>
      <c r="C35" s="9"/>
      <c r="D35" s="10"/>
      <c r="E35" s="21"/>
      <c r="F35" s="22"/>
      <c r="G35" s="6"/>
    </row>
    <row r="36" spans="1:7" x14ac:dyDescent="0.35">
      <c r="A36" s="5" t="s">
        <v>40</v>
      </c>
      <c r="B36" s="8"/>
      <c r="C36" s="9"/>
      <c r="D36" s="10"/>
      <c r="E36" s="21"/>
      <c r="F36" s="22"/>
      <c r="G36" s="6"/>
    </row>
    <row r="37" spans="1:7" x14ac:dyDescent="0.35">
      <c r="A37" s="5" t="s">
        <v>41</v>
      </c>
      <c r="B37" s="8"/>
      <c r="C37" s="9"/>
      <c r="D37" s="10"/>
      <c r="E37" s="21"/>
      <c r="F37" s="22"/>
      <c r="G37" s="6"/>
    </row>
  </sheetData>
  <pageMargins left="0.7" right="0.7" top="0.75" bottom="0.75" header="0.3" footer="0.3"/>
  <headerFooter>
    <oddHeader>&amp;L&amp;"Aptos"&amp;12&amp;K03C03C Public&amp;1#_x000D_</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A958E-7BF8-49D7-9F24-D2D2DA203492}">
  <dimension ref="A1:H15"/>
  <sheetViews>
    <sheetView workbookViewId="0">
      <pane ySplit="4" topLeftCell="A5" activePane="bottomLeft" state="frozen"/>
      <selection pane="bottomLeft" activeCell="J6" sqref="J6"/>
    </sheetView>
  </sheetViews>
  <sheetFormatPr defaultRowHeight="14.5" x14ac:dyDescent="0.35"/>
  <cols>
    <col min="1" max="1" width="19.26953125" customWidth="1"/>
    <col min="2" max="6" width="10.7265625" customWidth="1"/>
  </cols>
  <sheetData>
    <row r="1" spans="1:8" x14ac:dyDescent="0.35">
      <c r="A1" s="3"/>
      <c r="B1" s="3"/>
      <c r="C1" s="4"/>
      <c r="D1" s="4"/>
      <c r="E1" s="4"/>
      <c r="F1" s="4"/>
      <c r="G1" s="4"/>
      <c r="H1" s="2"/>
    </row>
    <row r="2" spans="1:8" x14ac:dyDescent="0.35">
      <c r="A2" s="3"/>
      <c r="B2" s="245" t="s">
        <v>336</v>
      </c>
      <c r="C2" s="245"/>
      <c r="D2" s="245"/>
      <c r="E2" s="245"/>
      <c r="F2" s="245"/>
      <c r="G2" s="2"/>
      <c r="H2" s="2"/>
    </row>
    <row r="3" spans="1:8" x14ac:dyDescent="0.35">
      <c r="A3" s="3"/>
      <c r="B3" s="2"/>
      <c r="C3" s="2"/>
      <c r="D3" s="2"/>
      <c r="E3" s="2"/>
      <c r="F3" s="2"/>
      <c r="G3" s="2"/>
      <c r="H3" s="2"/>
    </row>
    <row r="4" spans="1:8" x14ac:dyDescent="0.35">
      <c r="A4" s="12"/>
      <c r="B4" s="191" t="s">
        <v>0</v>
      </c>
      <c r="C4" s="192" t="s">
        <v>1</v>
      </c>
      <c r="D4" s="193" t="s">
        <v>2</v>
      </c>
      <c r="E4" s="195" t="s">
        <v>4</v>
      </c>
      <c r="F4" s="196" t="s">
        <v>5</v>
      </c>
      <c r="G4" s="4"/>
      <c r="H4" s="2"/>
    </row>
    <row r="5" spans="1:8" x14ac:dyDescent="0.35">
      <c r="A5" s="2"/>
      <c r="B5" s="231">
        <f>AVERAGEIFS('Game by Game Scores'!B5:B111,'Game by Game Scores'!$E$5:$E$111,"&gt;=200")</f>
        <v>208.33333333333334</v>
      </c>
      <c r="C5" s="231">
        <f>AVERAGEIFS('Game by Game Scores'!C5:C111,'Game by Game Scores'!$E$5:$E$111,"&gt;=200")</f>
        <v>203.25</v>
      </c>
      <c r="D5" s="231">
        <f>AVERAGEIFS('Game by Game Scores'!D5:D111,'Game by Game Scores'!$E$5:$E$111,"&gt;=200")</f>
        <v>188.5</v>
      </c>
      <c r="E5" s="231">
        <f>AVERAGEIFS('Game by Game Scores'!F5:F111,'Game by Game Scores'!$E$5:$E$111,"&gt;=200")</f>
        <v>167.66666666666666</v>
      </c>
      <c r="F5" s="231">
        <f>AVERAGEIFS('Game by Game Scores'!G5:G111,'Game by Game Scores'!$E$5:$E$111,"&gt;=200")</f>
        <v>184</v>
      </c>
      <c r="G5" s="2"/>
      <c r="H5" s="2"/>
    </row>
    <row r="6" spans="1:8" x14ac:dyDescent="0.35">
      <c r="A6" s="2"/>
      <c r="B6" s="2"/>
      <c r="C6" s="2"/>
      <c r="D6" s="2"/>
      <c r="E6" s="2"/>
      <c r="F6" s="2"/>
      <c r="G6" s="2"/>
      <c r="H6" s="2"/>
    </row>
    <row r="7" spans="1:8" x14ac:dyDescent="0.35">
      <c r="A7" s="2"/>
      <c r="B7" s="2"/>
      <c r="C7" s="2"/>
      <c r="D7" s="2"/>
      <c r="E7" s="2"/>
      <c r="F7" s="2"/>
      <c r="G7" s="2"/>
      <c r="H7" s="2"/>
    </row>
    <row r="8" spans="1:8" x14ac:dyDescent="0.35">
      <c r="A8" s="2"/>
      <c r="B8" s="245" t="s">
        <v>337</v>
      </c>
      <c r="C8" s="245"/>
      <c r="D8" s="245"/>
      <c r="E8" s="245"/>
      <c r="F8" s="245"/>
      <c r="G8" s="2"/>
      <c r="H8" s="2"/>
    </row>
    <row r="9" spans="1:8" x14ac:dyDescent="0.35">
      <c r="A9" s="2"/>
      <c r="B9" s="2"/>
      <c r="C9" s="2"/>
      <c r="D9" s="2"/>
      <c r="E9" s="2"/>
      <c r="F9" s="2"/>
      <c r="G9" s="2"/>
      <c r="H9" s="2"/>
    </row>
    <row r="10" spans="1:8" x14ac:dyDescent="0.35">
      <c r="A10" s="2"/>
      <c r="B10" s="191" t="s">
        <v>0</v>
      </c>
      <c r="C10" s="192" t="s">
        <v>1</v>
      </c>
      <c r="D10" s="193" t="s">
        <v>2</v>
      </c>
      <c r="E10" s="195" t="s">
        <v>4</v>
      </c>
      <c r="F10" s="196" t="s">
        <v>5</v>
      </c>
      <c r="G10" s="2"/>
      <c r="H10" s="2"/>
    </row>
    <row r="11" spans="1:8" x14ac:dyDescent="0.35">
      <c r="A11" s="2"/>
      <c r="B11" s="231">
        <f>AVERAGEIFS('Game by Game Scores'!B5:B111,'Game by Game Scores'!$E$5:$E$111,"&lt;200")</f>
        <v>210.66666666666666</v>
      </c>
      <c r="C11" s="231">
        <f>AVERAGEIFS('Game by Game Scores'!C5:C111,'Game by Game Scores'!$E$5:$E$111,"&lt;200")</f>
        <v>201.4</v>
      </c>
      <c r="D11" s="231">
        <f>AVERAGEIFS('Game by Game Scores'!D5:D111,'Game by Game Scores'!$E$5:$E$111,"&lt;200")</f>
        <v>225.2</v>
      </c>
      <c r="E11" s="231">
        <f>AVERAGEIFS('Game by Game Scores'!E5:E111,'Game by Game Scores'!$E$5:$E$111,"&lt;200")</f>
        <v>173.6</v>
      </c>
      <c r="F11" s="231">
        <f>AVERAGEIFS('Game by Game Scores'!F5:F111,'Game by Game Scores'!$E$5:$E$111,"&lt;200")</f>
        <v>191.66666666666666</v>
      </c>
      <c r="G11" s="2"/>
      <c r="H11" s="2"/>
    </row>
    <row r="12" spans="1:8" x14ac:dyDescent="0.35">
      <c r="A12" s="2"/>
      <c r="B12" s="2"/>
      <c r="C12" s="2"/>
      <c r="D12" s="2"/>
      <c r="E12" s="2"/>
      <c r="F12" s="2"/>
      <c r="G12" s="2"/>
      <c r="H12" s="2"/>
    </row>
    <row r="13" spans="1:8" x14ac:dyDescent="0.35">
      <c r="A13" s="2"/>
      <c r="B13" s="2"/>
      <c r="C13" s="2"/>
      <c r="D13" s="2"/>
      <c r="E13" s="2"/>
      <c r="F13" s="2"/>
      <c r="G13" s="2"/>
      <c r="H13" s="2"/>
    </row>
    <row r="14" spans="1:8" x14ac:dyDescent="0.35">
      <c r="A14" s="2"/>
      <c r="B14" s="2"/>
      <c r="C14" s="2"/>
      <c r="D14" s="2"/>
      <c r="E14" s="2"/>
      <c r="F14" s="2"/>
      <c r="G14" s="2"/>
      <c r="H14" s="2"/>
    </row>
    <row r="15" spans="1:8" x14ac:dyDescent="0.35">
      <c r="A15" s="2"/>
      <c r="B15" s="2"/>
      <c r="C15" s="2"/>
      <c r="D15" s="2"/>
      <c r="E15" s="2"/>
      <c r="F15" s="2"/>
      <c r="G15" s="2"/>
      <c r="H15" s="2"/>
    </row>
  </sheetData>
  <mergeCells count="2">
    <mergeCell ref="B2:F2"/>
    <mergeCell ref="B8:F8"/>
  </mergeCells>
  <pageMargins left="0.7" right="0.7" top="0.75" bottom="0.75" header="0.3" footer="0.3"/>
  <pageSetup orientation="portrait" r:id="rId1"/>
  <headerFooter>
    <oddHeader>&amp;L&amp;"Aptos"&amp;12&amp;K03C03C Public&amp;1#_x000D_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038BF-8CAA-4334-A666-5D6757CC6071}">
  <dimension ref="A1:K53"/>
  <sheetViews>
    <sheetView workbookViewId="0">
      <selection activeCell="G20" sqref="G20"/>
    </sheetView>
  </sheetViews>
  <sheetFormatPr defaultRowHeight="14.5" x14ac:dyDescent="0.35"/>
  <cols>
    <col min="1" max="1" width="12.54296875" customWidth="1"/>
    <col min="2" max="11" width="22.7265625" customWidth="1"/>
  </cols>
  <sheetData>
    <row r="1" spans="1:11" ht="18" customHeight="1" x14ac:dyDescent="0.35">
      <c r="A1" s="11" t="s">
        <v>157</v>
      </c>
      <c r="B1" s="34" t="s">
        <v>158</v>
      </c>
      <c r="C1" s="34" t="s">
        <v>159</v>
      </c>
      <c r="D1" s="34" t="s">
        <v>160</v>
      </c>
      <c r="E1" s="34" t="s">
        <v>161</v>
      </c>
      <c r="F1" s="34" t="s">
        <v>162</v>
      </c>
      <c r="G1" s="34" t="s">
        <v>163</v>
      </c>
      <c r="H1" s="34" t="s">
        <v>164</v>
      </c>
      <c r="I1" s="34" t="s">
        <v>167</v>
      </c>
      <c r="J1" s="34" t="s">
        <v>168</v>
      </c>
      <c r="K1" s="34" t="s">
        <v>169</v>
      </c>
    </row>
    <row r="2" spans="1:11" ht="26.15" customHeight="1" x14ac:dyDescent="0.35">
      <c r="A2" s="7" t="s">
        <v>0</v>
      </c>
      <c r="B2" s="8">
        <f>SUM('Week by Week Scores'!B5:B40)</f>
        <v>1257</v>
      </c>
      <c r="C2" s="8">
        <f>SUM('Opponent Week by Week Scores'!B5:B40)</f>
        <v>1306</v>
      </c>
      <c r="D2" s="8">
        <f>SUM('Week by Week Scores'!K5:K40)</f>
        <v>1365</v>
      </c>
      <c r="E2" s="8">
        <f>SUM('Opponent Week by Week Scores'!K5:K40)</f>
        <v>1306</v>
      </c>
      <c r="F2" s="136">
        <f>AVERAGE('Game by Game Scores'!B5,'Game by Game Scores'!B8,'Game by Game Scores'!B11,'Game by Game Scores'!B14,'Game by Game Scores'!B17,'Game by Game Scores'!B20,'Game by Game Scores'!B23,'Game by Game Scores'!B26,'Game by Game Scores'!B29,'Game by Game Scores'!B32,'Game by Game Scores'!B35,'Game by Game Scores'!B38,'Game by Game Scores'!B41,'Game by Game Scores'!B44,'Game by Game Scores'!B47,'Game by Game Scores'!B50,'Game by Game Scores'!B53,'Game by Game Scores'!B56,'Game by Game Scores'!B59,'Game by Game Scores'!B62,'Game by Game Scores'!B65,'Game by Game Scores'!B68,'Game by Game Scores'!B71,'Game by Game Scores'!B74,'Game by Game Scores'!B77,'Game by Game Scores'!B80,'Game by Game Scores'!B83,'Game by Game Scores'!B86,'Game by Game Scores'!B89,'Game by Game Scores'!B92,'Game by Game Scores'!B95,'Game by Game Scores'!B98,'Game by Game Scores'!B101,'Game by Game Scores'!B104,'Game by Game Scores'!B107,'Game by Game Scores'!B110)</f>
        <v>236</v>
      </c>
      <c r="G2" s="136">
        <f>AVERAGE('Game by Game Scores'!B6,'Game by Game Scores'!B9,'Game by Game Scores'!B12,'Game by Game Scores'!B15,'Game by Game Scores'!B18,'Game by Game Scores'!B21,'Game by Game Scores'!B24,'Game by Game Scores'!B27,'Game by Game Scores'!B30,'Game by Game Scores'!B33,'Game by Game Scores'!B36,'Game by Game Scores'!B39,'Game by Game Scores'!B42,'Game by Game Scores'!B45,'Game by Game Scores'!B48,'Game by Game Scores'!B51,'Game by Game Scores'!B54,'Game by Game Scores'!B57,'Game by Game Scores'!B60,'Game by Game Scores'!B63,'Game by Game Scores'!B66,'Game by Game Scores'!B69,'Game by Game Scores'!B72,'Game by Game Scores'!B75,'Game by Game Scores'!B78,'Game by Game Scores'!B81,'Game by Game Scores'!B84,'Game by Game Scores'!B87,'Game by Game Scores'!B90,'Game by Game Scores'!B93,'Game by Game Scores'!B96,'Game by Game Scores'!B99,'Game by Game Scores'!B102,'Game by Game Scores'!B105,'Game by Game Scores'!B108,'Game by Game Scores'!B111)</f>
        <v>192</v>
      </c>
      <c r="H2" s="136">
        <f>AVERAGE('Game by Game Scores'!B7,'Game by Game Scores'!B10,'Game by Game Scores'!B13,'Game by Game Scores'!B16,'Game by Game Scores'!B19,'Game by Game Scores'!B22,'Game by Game Scores'!B25,'Game by Game Scores'!B28,'Game by Game Scores'!B31,'Game by Game Scores'!B34,'Game by Game Scores'!B37,'Game by Game Scores'!B40,'Game by Game Scores'!B43,'Game by Game Scores'!B46,'Game by Game Scores'!B49,'Game by Game Scores'!B52,'Game by Game Scores'!B55,'Game by Game Scores'!B58,'Game by Game Scores'!B61,'Game by Game Scores'!B64,'Game by Game Scores'!B67,'Game by Game Scores'!B70,'Game by Game Scores'!B73,'Game by Game Scores'!B76,'Game by Game Scores'!B79,'Game by Game Scores'!B82,'Game by Game Scores'!B85,'Game by Game Scores'!B88,'Game by Game Scores'!B91,'Game by Game Scores'!B94,'Game by Game Scores'!B97,'Game by Game Scores'!B100,'Game by Game Scores'!B103,'Game by Game Scores'!B106,'Game by Game Scores'!B109,'Game by Game Scores'!B112)</f>
        <v>200.5</v>
      </c>
      <c r="I2" s="8">
        <v>2</v>
      </c>
      <c r="J2" s="8">
        <f>SUM(Points!B2:B37)</f>
        <v>5</v>
      </c>
      <c r="K2" s="8">
        <f>I2*3-J2</f>
        <v>1</v>
      </c>
    </row>
    <row r="3" spans="1:11" ht="26.25" customHeight="1" x14ac:dyDescent="0.35">
      <c r="A3" s="9" t="s">
        <v>1</v>
      </c>
      <c r="B3" s="9">
        <f>SUM('Week by Week Scores'!C5:C40)</f>
        <v>1820</v>
      </c>
      <c r="C3" s="9">
        <f>SUM('Opponent Week by Week Scores'!C5:C40)</f>
        <v>1909</v>
      </c>
      <c r="D3" s="31">
        <f>SUM('Week by Week Scores'!L5:L40)</f>
        <v>1880</v>
      </c>
      <c r="E3" s="31">
        <f>SUM('Opponent Week by Week Scores'!L5:L40)</f>
        <v>1927</v>
      </c>
      <c r="F3" s="137">
        <f>AVERAGE('Game by Game Scores'!C5,'Game by Game Scores'!C8,'Game by Game Scores'!C11,'Game by Game Scores'!C14,'Game by Game Scores'!C17,'Game by Game Scores'!C20,'Game by Game Scores'!C23,'Game by Game Scores'!C26,'Game by Game Scores'!C29,'Game by Game Scores'!C32,'Game by Game Scores'!C35,'Game by Game Scores'!C38,'Game by Game Scores'!C41,'Game by Game Scores'!C44,'Game by Game Scores'!C47,'Game by Game Scores'!C50,'Game by Game Scores'!C53,'Game by Game Scores'!C56,'Game by Game Scores'!C59,'Game by Game Scores'!C62,'Game by Game Scores'!C65,'Game by Game Scores'!C68,'Game by Game Scores'!C71,'Game by Game Scores'!C74,'Game by Game Scores'!C77,'Game by Game Scores'!C80,'Game by Game Scores'!C83,'Game by Game Scores'!C86,'Game by Game Scores'!C89,'Game by Game Scores'!C92,'Game by Game Scores'!C95,'Game by Game Scores'!C98,'Game by Game Scores'!C101,'Game by Game Scores'!C104,'Game by Game Scores'!C107,'Game by Game Scores'!C110)</f>
        <v>193</v>
      </c>
      <c r="G3" s="137">
        <f>AVERAGE('Game by Game Scores'!C6,'Game by Game Scores'!C9,'Game by Game Scores'!C12,'Game by Game Scores'!C15,'Game by Game Scores'!C18,'Game by Game Scores'!C21,'Game by Game Scores'!C24,'Game by Game Scores'!C27,'Game by Game Scores'!C30,'Game by Game Scores'!C33,'Game by Game Scores'!C36,'Game by Game Scores'!C39,'Game by Game Scores'!C42,'Game by Game Scores'!C45,'Game by Game Scores'!C48,'Game by Game Scores'!C51,'Game by Game Scores'!C54,'Game by Game Scores'!C57,'Game by Game Scores'!C60,'Game by Game Scores'!C63,'Game by Game Scores'!C66,'Game by Game Scores'!C69,'Game by Game Scores'!C72,'Game by Game Scores'!C75,'Game by Game Scores'!C78,'Game by Game Scores'!C81,'Game by Game Scores'!C84,'Game by Game Scores'!C87,'Game by Game Scores'!C90,'Game by Game Scores'!C93,'Game by Game Scores'!C96,'Game by Game Scores'!C99,'Game by Game Scores'!C102,'Game by Game Scores'!C105,'Game by Game Scores'!C108,'Game by Game Scores'!C111)</f>
        <v>208.66666666666666</v>
      </c>
      <c r="H3" s="137">
        <f>AVERAGE('Game by Game Scores'!C7,'Game by Game Scores'!C10,'Game by Game Scores'!C13,'Game by Game Scores'!C16,'Game by Game Scores'!C19,'Game by Game Scores'!C22,'Game by Game Scores'!C25,'Game by Game Scores'!C28,'Game by Game Scores'!C31,'Game by Game Scores'!C34,'Game by Game Scores'!C37,'Game by Game Scores'!C40,'Game by Game Scores'!C43,'Game by Game Scores'!C46,'Game by Game Scores'!C49,'Game by Game Scores'!C52,'Game by Game Scores'!C55,'Game by Game Scores'!C58,'Game by Game Scores'!C61,'Game by Game Scores'!C64,'Game by Game Scores'!C67,'Game by Game Scores'!C70,'Game by Game Scores'!C73,'Game by Game Scores'!C76,'Game by Game Scores'!C79,'Game by Game Scores'!C82,'Game by Game Scores'!C85,'Game by Game Scores'!C88,'Game by Game Scores'!C91,'Game by Game Scores'!C94,'Game by Game Scores'!C97,'Game by Game Scores'!C100,'Game by Game Scores'!C103,'Game by Game Scores'!C106,'Game by Game Scores'!C109,'Game by Game Scores'!C112)</f>
        <v>205</v>
      </c>
      <c r="I3" s="31">
        <v>3</v>
      </c>
      <c r="J3" s="31">
        <f>SUM(Points!C2:C37)</f>
        <v>3</v>
      </c>
      <c r="K3" s="31">
        <f>I3*3-J3</f>
        <v>6</v>
      </c>
    </row>
    <row r="4" spans="1:11" ht="26.25" customHeight="1" x14ac:dyDescent="0.35">
      <c r="A4" s="10" t="s">
        <v>2</v>
      </c>
      <c r="B4" s="10">
        <f>SUM('Week by Week Scores'!D5:D40)</f>
        <v>1880</v>
      </c>
      <c r="C4" s="10">
        <f>SUM('Opponent Week by Week Scores'!D5:D40)</f>
        <v>1777</v>
      </c>
      <c r="D4" s="10">
        <f>SUM('Week by Week Scores'!M5:M40)</f>
        <v>1880</v>
      </c>
      <c r="E4" s="10">
        <f>SUM('Opponent Week by Week Scores'!M5:M40)</f>
        <v>1783</v>
      </c>
      <c r="F4" s="111">
        <f>AVERAGE('Game by Game Scores'!D5,'Game by Game Scores'!D8,'Game by Game Scores'!D11,'Game by Game Scores'!D14,'Game by Game Scores'!D17,'Game by Game Scores'!D20,'Game by Game Scores'!D23,'Game by Game Scores'!D26,'Game by Game Scores'!D29,'Game by Game Scores'!D32,'Game by Game Scores'!D35,'Game by Game Scores'!D38,'Game by Game Scores'!D41,'Game by Game Scores'!D44,'Game by Game Scores'!D47,'Game by Game Scores'!D50,'Game by Game Scores'!D53,'Game by Game Scores'!D56,'Game by Game Scores'!D59,'Game by Game Scores'!D62,'Game by Game Scores'!D65,'Game by Game Scores'!D68,'Game by Game Scores'!D71,'Game by Game Scores'!D74,'Game by Game Scores'!D77,'Game by Game Scores'!D80,'Game by Game Scores'!D83,'Game by Game Scores'!D86,'Game by Game Scores'!D89,'Game by Game Scores'!D92,'Game by Game Scores'!D95,'Game by Game Scores'!D98,'Game by Game Scores'!D101,'Game by Game Scores'!D104,'Game by Game Scores'!D107,'Game by Game Scores'!D110)</f>
        <v>211.66666666666666</v>
      </c>
      <c r="G4" s="111">
        <f>AVERAGE('Game by Game Scores'!D6,'Game by Game Scores'!D9,'Game by Game Scores'!D12,'Game by Game Scores'!D15,'Game by Game Scores'!D18,'Game by Game Scores'!D21,'Game by Game Scores'!D24,'Game by Game Scores'!D27,'Game by Game Scores'!D30,'Game by Game Scores'!D33,'Game by Game Scores'!D36,'Game by Game Scores'!D39,'Game by Game Scores'!D42,'Game by Game Scores'!D45,'Game by Game Scores'!D48,'Game by Game Scores'!D51,'Game by Game Scores'!D54,'Game by Game Scores'!D57,'Game by Game Scores'!D60,'Game by Game Scores'!D63,'Game by Game Scores'!D66,'Game by Game Scores'!D69,'Game by Game Scores'!D72,'Game by Game Scores'!D75,'Game by Game Scores'!D78,'Game by Game Scores'!D81,'Game by Game Scores'!D84,'Game by Game Scores'!D87,'Game by Game Scores'!D90,'Game by Game Scores'!D93,'Game by Game Scores'!D96,'Game by Game Scores'!D99,'Game by Game Scores'!D102,'Game by Game Scores'!D105,'Game by Game Scores'!D108,'Game by Game Scores'!D111)</f>
        <v>202.66666666666666</v>
      </c>
      <c r="H4" s="111">
        <f>AVERAGE('Game by Game Scores'!D7,'Game by Game Scores'!D10,'Game by Game Scores'!D13,'Game by Game Scores'!D16,'Game by Game Scores'!D19,'Game by Game Scores'!D22,'Game by Game Scores'!D25,'Game by Game Scores'!D28,'Game by Game Scores'!D31,'Game by Game Scores'!D34,'Game by Game Scores'!D37,'Game by Game Scores'!D40,'Game by Game Scores'!D43,'Game by Game Scores'!D46,'Game by Game Scores'!D49,'Game by Game Scores'!D52,'Game by Game Scores'!D55,'Game by Game Scores'!D58,'Game by Game Scores'!D61,'Game by Game Scores'!D64,'Game by Game Scores'!D67,'Game by Game Scores'!D70,'Game by Game Scores'!D73,'Game by Game Scores'!D76,'Game by Game Scores'!D79,'Game by Game Scores'!D82,'Game by Game Scores'!D85,'Game by Game Scores'!D88,'Game by Game Scores'!D91,'Game by Game Scores'!D94,'Game by Game Scores'!D97,'Game by Game Scores'!D100,'Game by Game Scores'!D103,'Game by Game Scores'!D106,'Game by Game Scores'!D109,'Game by Game Scores'!D112)</f>
        <v>212.33333333333334</v>
      </c>
      <c r="I4" s="10">
        <v>3</v>
      </c>
      <c r="J4" s="10">
        <f>SUM(Points!D2:D37)</f>
        <v>6</v>
      </c>
      <c r="K4" s="10">
        <f>I4*3-J4</f>
        <v>3</v>
      </c>
    </row>
    <row r="5" spans="1:11" ht="26.25" customHeight="1" x14ac:dyDescent="0.35">
      <c r="A5" s="21" t="s">
        <v>3</v>
      </c>
      <c r="B5" s="21">
        <f>SUM('Week by Week Scores'!E5:E40)</f>
        <v>1777</v>
      </c>
      <c r="C5" s="21">
        <f>SUM('Opponent Week by Week Scores'!E5:E40)</f>
        <v>1841</v>
      </c>
      <c r="D5" s="21">
        <f>SUM('Week by Week Scores'!N5:N40)</f>
        <v>1789</v>
      </c>
      <c r="E5" s="21">
        <f>SUM('Opponent Week by Week Scores'!N5:N40)</f>
        <v>1856</v>
      </c>
      <c r="F5" s="112">
        <f>AVERAGE('Game by Game Scores'!E5,'Game by Game Scores'!E8,'Game by Game Scores'!E11,'Game by Game Scores'!E14,'Game by Game Scores'!E17,'Game by Game Scores'!E20,'Game by Game Scores'!E23,'Game by Game Scores'!E26,'Game by Game Scores'!E29,'Game by Game Scores'!E32,'Game by Game Scores'!E35,'Game by Game Scores'!E38,'Game by Game Scores'!E41,'Game by Game Scores'!E44,'Game by Game Scores'!E47,'Game by Game Scores'!E50,'Game by Game Scores'!E53,'Game by Game Scores'!E56,'Game by Game Scores'!E59,'Game by Game Scores'!E62,'Game by Game Scores'!E65,'Game by Game Scores'!E68,'Game by Game Scores'!E71,'Game by Game Scores'!E74,'Game by Game Scores'!E77,'Game by Game Scores'!E80,'Game by Game Scores'!E83,'Game by Game Scores'!E86,'Game by Game Scores'!E89,'Game by Game Scores'!E92,'Game by Game Scores'!E95,'Game by Game Scores'!E98,'Game by Game Scores'!E101,'Game by Game Scores'!E104,'Game by Game Scores'!E107,'Game by Game Scores'!E110)</f>
        <v>202.66666666666666</v>
      </c>
      <c r="G5" s="112">
        <f>AVERAGE('Game by Game Scores'!E6,'Game by Game Scores'!E9,'Game by Game Scores'!E12,'Game by Game Scores'!E15,'Game by Game Scores'!E18,'Game by Game Scores'!E21,'Game by Game Scores'!E24,'Game by Game Scores'!E27,'Game by Game Scores'!E30,'Game by Game Scores'!E33,'Game by Game Scores'!E36,'Game by Game Scores'!E39,'Game by Game Scores'!E42,'Game by Game Scores'!E45,'Game by Game Scores'!E48,'Game by Game Scores'!E51,'Game by Game Scores'!E54,'Game by Game Scores'!E57,'Game by Game Scores'!E60,'Game by Game Scores'!E63,'Game by Game Scores'!E66,'Game by Game Scores'!E69,'Game by Game Scores'!E72,'Game by Game Scores'!E75,'Game by Game Scores'!E78,'Game by Game Scores'!E81,'Game by Game Scores'!E84,'Game by Game Scores'!E87,'Game by Game Scores'!E90,'Game by Game Scores'!E93,'Game by Game Scores'!E96,'Game by Game Scores'!E99,'Game by Game Scores'!E102,'Game by Game Scores'!E105,'Game by Game Scores'!E108,'Game by Game Scores'!E111)</f>
        <v>193</v>
      </c>
      <c r="H5" s="112">
        <f>AVERAGE('Game by Game Scores'!E7,'Game by Game Scores'!E10,'Game by Game Scores'!E13,'Game by Game Scores'!E16,'Game by Game Scores'!E19,'Game by Game Scores'!E22,'Game by Game Scores'!E25,'Game by Game Scores'!E28,'Game by Game Scores'!E31,'Game by Game Scores'!E34,'Game by Game Scores'!E37,'Game by Game Scores'!E40,'Game by Game Scores'!E43,'Game by Game Scores'!E46,'Game by Game Scores'!E49,'Game by Game Scores'!E52,'Game by Game Scores'!E55,'Game by Game Scores'!E58,'Game by Game Scores'!E61,'Game by Game Scores'!E64,'Game by Game Scores'!E67,'Game by Game Scores'!E70,'Game by Game Scores'!E73,'Game by Game Scores'!E76,'Game by Game Scores'!E79,'Game by Game Scores'!E82,'Game by Game Scores'!E85,'Game by Game Scores'!E88,'Game by Game Scores'!E91,'Game by Game Scores'!E94,'Game by Game Scores'!E97,'Game by Game Scores'!E100,'Game by Game Scores'!E103,'Game by Game Scores'!E106,'Game by Game Scores'!E109,'Game by Game Scores'!E112)</f>
        <v>196.66666666666666</v>
      </c>
      <c r="I5" s="21">
        <v>3</v>
      </c>
      <c r="J5" s="21">
        <f>SUM(Points!E2:E37)</f>
        <v>4</v>
      </c>
      <c r="K5" s="21">
        <f t="shared" ref="K5:K7" si="0">I5*3-J5</f>
        <v>5</v>
      </c>
    </row>
    <row r="6" spans="1:11" ht="26.25" customHeight="1" x14ac:dyDescent="0.35">
      <c r="A6" s="22" t="s">
        <v>4</v>
      </c>
      <c r="B6" s="22">
        <f>SUM('Week by Week Scores'!F5:F40)</f>
        <v>1078</v>
      </c>
      <c r="C6" s="22">
        <f>SUM('Opponent Week by Week Scores'!F5:F40)</f>
        <v>1114</v>
      </c>
      <c r="D6" s="22">
        <f>SUM('Week by Week Scores'!O5:O40)</f>
        <v>1090</v>
      </c>
      <c r="E6" s="22">
        <f>SUM('Opponent Week by Week Scores'!O5:O40)</f>
        <v>1114</v>
      </c>
      <c r="F6" s="113">
        <f>AVERAGE('Game by Game Scores'!F5,'Game by Game Scores'!F8,'Game by Game Scores'!F11,'Game by Game Scores'!F14,'Game by Game Scores'!F17,'Game by Game Scores'!F20,'Game by Game Scores'!F23,'Game by Game Scores'!F26,'Game by Game Scores'!F29,'Game by Game Scores'!F32,'Game by Game Scores'!F35,'Game by Game Scores'!F38,'Game by Game Scores'!F41,'Game by Game Scores'!F44,'Game by Game Scores'!F47,'Game by Game Scores'!F50,'Game by Game Scores'!F53,'Game by Game Scores'!F56,'Game by Game Scores'!F59,'Game by Game Scores'!F62,'Game by Game Scores'!F65,'Game by Game Scores'!F68,'Game by Game Scores'!F71,'Game by Game Scores'!F74,'Game by Game Scores'!F77,'Game by Game Scores'!F80,'Game by Game Scores'!F83,'Game by Game Scores'!F86,'Game by Game Scores'!F89,'Game by Game Scores'!F92,'Game by Game Scores'!F95,'Game by Game Scores'!F98,'Game by Game Scores'!F101,'Game by Game Scores'!F104,'Game by Game Scores'!F107,'Game by Game Scores'!F110)</f>
        <v>181.5</v>
      </c>
      <c r="G6" s="113">
        <f>AVERAGE('Game by Game Scores'!F6,'Game by Game Scores'!F9,'Game by Game Scores'!F12,'Game by Game Scores'!F15,'Game by Game Scores'!F18,'Game by Game Scores'!F21,'Game by Game Scores'!F24,'Game by Game Scores'!F27,'Game by Game Scores'!F30,'Game by Game Scores'!F33,'Game by Game Scores'!F36,'Game by Game Scores'!F39,'Game by Game Scores'!F42,'Game by Game Scores'!F45,'Game by Game Scores'!F48,'Game by Game Scores'!F51,'Game by Game Scores'!F54,'Game by Game Scores'!F57,'Game by Game Scores'!F60,'Game by Game Scores'!F63,'Game by Game Scores'!F66,'Game by Game Scores'!F69,'Game by Game Scores'!F72,'Game by Game Scores'!F75,'Game by Game Scores'!F78,'Game by Game Scores'!F81,'Game by Game Scores'!F84,'Game by Game Scores'!F87,'Game by Game Scores'!F90,'Game by Game Scores'!F93,'Game by Game Scores'!F96,'Game by Game Scores'!F99,'Game by Game Scores'!F102,'Game by Game Scores'!F105,'Game by Game Scores'!F108,'Game by Game Scores'!F111)</f>
        <v>168.5</v>
      </c>
      <c r="H6" s="113">
        <f>AVERAGE('Game by Game Scores'!F7,'Game by Game Scores'!F10,'Game by Game Scores'!F13,'Game by Game Scores'!F16,'Game by Game Scores'!F19,'Game by Game Scores'!F22,'Game by Game Scores'!F25,'Game by Game Scores'!F28,'Game by Game Scores'!F31,'Game by Game Scores'!F34,'Game by Game Scores'!F37,'Game by Game Scores'!F40,'Game by Game Scores'!F43,'Game by Game Scores'!F46,'Game by Game Scores'!F49,'Game by Game Scores'!F52,'Game by Game Scores'!F55,'Game by Game Scores'!F58,'Game by Game Scores'!F61,'Game by Game Scores'!F64,'Game by Game Scores'!F67,'Game by Game Scores'!F70,'Game by Game Scores'!F73,'Game by Game Scores'!F76,'Game by Game Scores'!F79,'Game by Game Scores'!F82,'Game by Game Scores'!F85,'Game by Game Scores'!F88,'Game by Game Scores'!F91,'Game by Game Scores'!F94,'Game by Game Scores'!F97,'Game by Game Scores'!F100,'Game by Game Scores'!F103,'Game by Game Scores'!F106,'Game by Game Scores'!F109,'Game by Game Scores'!F112)</f>
        <v>189</v>
      </c>
      <c r="I6" s="22">
        <v>2</v>
      </c>
      <c r="J6" s="54">
        <f>SUM(Points!F2:F37)</f>
        <v>4</v>
      </c>
      <c r="K6" s="22">
        <f t="shared" si="0"/>
        <v>2</v>
      </c>
    </row>
    <row r="7" spans="1:11" ht="26.25" customHeight="1" x14ac:dyDescent="0.35">
      <c r="A7" s="6" t="s">
        <v>5</v>
      </c>
      <c r="B7" s="6">
        <f>SUM('Week by Week Scores'!G5:G40)</f>
        <v>577</v>
      </c>
      <c r="C7" s="6">
        <f>SUM('Opponent Week by Week Scores'!G5:G40)</f>
        <v>514</v>
      </c>
      <c r="D7" s="6">
        <f>SUM('Week by Week Scores'!P5:P40)</f>
        <v>577</v>
      </c>
      <c r="E7" s="6">
        <f>SUM('Opponent Week by Week Scores'!P5:P40)</f>
        <v>586</v>
      </c>
      <c r="F7" s="138">
        <f>AVERAGE('Game by Game Scores'!G5,'Game by Game Scores'!G8,'Game by Game Scores'!G11,'Game by Game Scores'!G14,'Game by Game Scores'!G17,'Game by Game Scores'!G20,'Game by Game Scores'!G23,'Game by Game Scores'!G26,'Game by Game Scores'!G29,'Game by Game Scores'!G32,'Game by Game Scores'!G35,'Game by Game Scores'!G38,'Game by Game Scores'!G41,'Game by Game Scores'!G44,'Game by Game Scores'!G47,'Game by Game Scores'!G50,'Game by Game Scores'!G53,'Game by Game Scores'!G56,'Game by Game Scores'!G59,'Game by Game Scores'!G62,'Game by Game Scores'!G65,'Game by Game Scores'!G68,'Game by Game Scores'!G71,'Game by Game Scores'!G74,'Game by Game Scores'!G77,'Game by Game Scores'!G80,'Game by Game Scores'!G83,'Game by Game Scores'!G86,'Game by Game Scores'!G89,'Game by Game Scores'!G92,'Game by Game Scores'!G95,'Game by Game Scores'!G98,'Game by Game Scores'!G101,'Game by Game Scores'!G104,'Game by Game Scores'!G107,'Game by Game Scores'!G110)</f>
        <v>184</v>
      </c>
      <c r="G7" s="138">
        <f>AVERAGE('Game by Game Scores'!G6,'Game by Game Scores'!G9,'Game by Game Scores'!G12,'Game by Game Scores'!G15,'Game by Game Scores'!G18,'Game by Game Scores'!G21,'Game by Game Scores'!G24,'Game by Game Scores'!G27,'Game by Game Scores'!G30,'Game by Game Scores'!G33,'Game by Game Scores'!G36,'Game by Game Scores'!G39,'Game by Game Scores'!G42,'Game by Game Scores'!G45,'Game by Game Scores'!G48,'Game by Game Scores'!G51,'Game by Game Scores'!G54,'Game by Game Scores'!G57,'Game by Game Scores'!G60,'Game by Game Scores'!G63,'Game by Game Scores'!G66,'Game by Game Scores'!G69,'Game by Game Scores'!G72,'Game by Game Scores'!G75,'Game by Game Scores'!G78,'Game by Game Scores'!G81,'Game by Game Scores'!G84,'Game by Game Scores'!G87,'Game by Game Scores'!G90,'Game by Game Scores'!G93,'Game by Game Scores'!G96,'Game by Game Scores'!G99,'Game by Game Scores'!G102,'Game by Game Scores'!G105,'Game by Game Scores'!G108,'Game by Game Scores'!G111)</f>
        <v>209</v>
      </c>
      <c r="H7" s="138">
        <f>AVERAGE('Game by Game Scores'!G7,'Game by Game Scores'!G10,'Game by Game Scores'!G13,'Game by Game Scores'!G16,'Game by Game Scores'!G19,'Game by Game Scores'!G22,'Game by Game Scores'!G25,'Game by Game Scores'!G28,'Game by Game Scores'!G31,'Game by Game Scores'!G34,'Game by Game Scores'!G37,'Game by Game Scores'!G40,'Game by Game Scores'!G43,'Game by Game Scores'!G46,'Game by Game Scores'!G49,'Game by Game Scores'!G52,'Game by Game Scores'!G55,'Game by Game Scores'!G58,'Game by Game Scores'!G61,'Game by Game Scores'!G64,'Game by Game Scores'!G67,'Game by Game Scores'!G70,'Game by Game Scores'!G73,'Game by Game Scores'!G76,'Game by Game Scores'!G79,'Game by Game Scores'!G82,'Game by Game Scores'!G85,'Game by Game Scores'!G88,'Game by Game Scores'!G91,'Game by Game Scores'!G94,'Game by Game Scores'!G97,'Game by Game Scores'!G100,'Game by Game Scores'!G103,'Game by Game Scores'!G106,'Game by Game Scores'!G109,'Game by Game Scores'!G112)</f>
        <v>184</v>
      </c>
      <c r="I7" s="6">
        <v>1</v>
      </c>
      <c r="J7" s="6">
        <f>SUM(Points!G2:G37)</f>
        <v>1</v>
      </c>
      <c r="K7" s="6">
        <f t="shared" si="0"/>
        <v>2</v>
      </c>
    </row>
    <row r="12" spans="1:11" x14ac:dyDescent="0.35">
      <c r="C12" s="246" t="s">
        <v>184</v>
      </c>
      <c r="D12" s="246"/>
    </row>
    <row r="13" spans="1:11" x14ac:dyDescent="0.35">
      <c r="C13" s="246"/>
      <c r="D13" s="246"/>
    </row>
    <row r="15" spans="1:11" ht="18" customHeight="1" x14ac:dyDescent="0.35">
      <c r="A15" s="11" t="s">
        <v>157</v>
      </c>
      <c r="B15" s="11" t="s">
        <v>185</v>
      </c>
      <c r="C15" s="11" t="s">
        <v>186</v>
      </c>
      <c r="D15" s="11" t="s">
        <v>187</v>
      </c>
      <c r="E15" s="11" t="s">
        <v>188</v>
      </c>
      <c r="F15" s="11" t="s">
        <v>191</v>
      </c>
      <c r="G15" s="11" t="s">
        <v>189</v>
      </c>
    </row>
    <row r="16" spans="1:11" ht="26.5" customHeight="1" x14ac:dyDescent="0.35">
      <c r="A16" s="7" t="s">
        <v>0</v>
      </c>
      <c r="B16" s="109">
        <f>AVERAGE('Game by Game Scores'!$B$5:$B$31)</f>
        <v>209.5</v>
      </c>
      <c r="C16" s="7">
        <f>MAX('Game by Game Scores'!$B$5:$B$31)</f>
        <v>247</v>
      </c>
      <c r="D16" s="7">
        <f>MIN('Game by Game Scores'!$B$5:$B$31)</f>
        <v>182</v>
      </c>
      <c r="E16" s="7">
        <f>MAX('Week by Week Scores'!$B$5:$B$13)</f>
        <v>647</v>
      </c>
      <c r="F16" s="7">
        <f>MIN('Week by Week Scores'!$B$5:$B$6)</f>
        <v>610</v>
      </c>
      <c r="G16" s="7" t="s">
        <v>330</v>
      </c>
    </row>
    <row r="17" spans="1:7" ht="26.5" customHeight="1" x14ac:dyDescent="0.35">
      <c r="A17" s="9" t="s">
        <v>1</v>
      </c>
      <c r="B17" s="110">
        <f>AVERAGE('Game by Game Scores'!$C$5:$C$31)</f>
        <v>202.22222222222223</v>
      </c>
      <c r="C17" s="9">
        <f>MAX('Game by Game Scores'!$C$5:$C$31)</f>
        <v>237</v>
      </c>
      <c r="D17" s="9">
        <f>MIN('Game by Game Scores'!$C$5:$C$31)</f>
        <v>183</v>
      </c>
      <c r="E17" s="9">
        <f>MAX('Week by Week Scores'!$C$5:$C$13)</f>
        <v>658</v>
      </c>
      <c r="F17" s="9">
        <f>MIN('Week by Week Scores'!$C$5:$C$6)</f>
        <v>594</v>
      </c>
      <c r="G17" s="9" t="s">
        <v>346</v>
      </c>
    </row>
    <row r="18" spans="1:7" ht="26.5" customHeight="1" x14ac:dyDescent="0.35">
      <c r="A18" s="10" t="s">
        <v>2</v>
      </c>
      <c r="B18" s="111">
        <f>AVERAGE('Game by Game Scores'!$D$5:$D$31)</f>
        <v>208.88888888888889</v>
      </c>
      <c r="C18" s="10">
        <f>MAX('Game by Game Scores'!$D$5:$D$31)</f>
        <v>237</v>
      </c>
      <c r="D18" s="10">
        <f>MIN('Game by Game Scores'!$D$5:$D$31)</f>
        <v>169</v>
      </c>
      <c r="E18" s="10">
        <f>MAX('Week by Week Scores'!$D$5:$D$13)</f>
        <v>683</v>
      </c>
      <c r="F18" s="10">
        <f>MIN('Week by Week Scores'!$D$5:$D$6)</f>
        <v>559</v>
      </c>
      <c r="G18" s="10" t="s">
        <v>347</v>
      </c>
    </row>
    <row r="19" spans="1:7" ht="26.5" customHeight="1" x14ac:dyDescent="0.35">
      <c r="A19" s="21" t="s">
        <v>3</v>
      </c>
      <c r="B19" s="112">
        <f>AVERAGE('Game by Game Scores'!$E$5:$E$31)</f>
        <v>197.44444444444446</v>
      </c>
      <c r="C19" s="21">
        <f>MAX('Game by Game Scores'!$E$5:$E$31)</f>
        <v>268</v>
      </c>
      <c r="D19" s="21">
        <f>MIN('Game by Game Scores'!$E$5:$E$31)</f>
        <v>147</v>
      </c>
      <c r="E19" s="21">
        <f>MAX('Week by Week Scores'!$E$5:$E$13)</f>
        <v>639</v>
      </c>
      <c r="F19" s="21">
        <f>MIN('Week by Week Scores'!$E$5:$E$6)</f>
        <v>580</v>
      </c>
      <c r="G19" s="21" t="s">
        <v>348</v>
      </c>
    </row>
    <row r="20" spans="1:7" ht="26.5" customHeight="1" x14ac:dyDescent="0.35">
      <c r="A20" s="22" t="s">
        <v>4</v>
      </c>
      <c r="B20" s="113">
        <f>AVERAGE('Game by Game Scores'!$F$5:$F$31)</f>
        <v>179.66666666666666</v>
      </c>
      <c r="C20" s="22">
        <f>MAX('Game by Game Scores'!$F$5:$F$31)</f>
        <v>220</v>
      </c>
      <c r="D20" s="22">
        <f>MIN('Game by Game Scores'!$F$5:$F$31)</f>
        <v>143</v>
      </c>
      <c r="E20" s="22">
        <f>MAX('Week by Week Scores'!$F$5:$F$13)</f>
        <v>580</v>
      </c>
      <c r="F20" s="22">
        <f>MIN('Week by Week Scores'!$F$5:$F$6)</f>
        <v>498</v>
      </c>
      <c r="G20" s="22" t="s">
        <v>331</v>
      </c>
    </row>
    <row r="23" spans="1:7" x14ac:dyDescent="0.35">
      <c r="C23" s="246" t="s">
        <v>190</v>
      </c>
      <c r="D23" s="246"/>
    </row>
    <row r="24" spans="1:7" x14ac:dyDescent="0.35">
      <c r="C24" s="246"/>
      <c r="D24" s="246"/>
    </row>
    <row r="26" spans="1:7" ht="18" customHeight="1" x14ac:dyDescent="0.35">
      <c r="A26" s="11" t="s">
        <v>157</v>
      </c>
      <c r="B26" s="11" t="s">
        <v>185</v>
      </c>
      <c r="C26" s="11" t="s">
        <v>186</v>
      </c>
      <c r="D26" s="11" t="s">
        <v>187</v>
      </c>
      <c r="E26" s="11" t="s">
        <v>188</v>
      </c>
      <c r="F26" s="11" t="s">
        <v>191</v>
      </c>
      <c r="G26" s="11" t="s">
        <v>189</v>
      </c>
    </row>
    <row r="27" spans="1:7" ht="26.5" customHeight="1" x14ac:dyDescent="0.35">
      <c r="A27" s="7" t="s">
        <v>0</v>
      </c>
      <c r="B27" s="109" t="e">
        <f>AVERAGE('Game by Game Scores'!$B32:$B$58)</f>
        <v>#DIV/0!</v>
      </c>
      <c r="C27" s="7">
        <f>MAX('Game by Game Scores'!$B$32:$B$58)</f>
        <v>0</v>
      </c>
      <c r="D27" s="7">
        <f>MIN('Game by Game Scores'!$B$32:$B$58)</f>
        <v>0</v>
      </c>
      <c r="E27" s="7">
        <f>MAX('Week by Week Scores'!$B$14:$B$22)</f>
        <v>0</v>
      </c>
      <c r="F27" s="7">
        <f>MIN('Week by Week Scores'!$B$14:$B$22)</f>
        <v>0</v>
      </c>
      <c r="G27" s="7"/>
    </row>
    <row r="28" spans="1:7" ht="26.5" customHeight="1" x14ac:dyDescent="0.35">
      <c r="A28" s="9" t="s">
        <v>1</v>
      </c>
      <c r="B28" s="110" t="e">
        <f>AVERAGE('Game by Game Scores'!$C32:$C$58)</f>
        <v>#DIV/0!</v>
      </c>
      <c r="C28" s="9">
        <f>MAX('Game by Game Scores'!$C$32:$C$58)</f>
        <v>0</v>
      </c>
      <c r="D28" s="9">
        <f>MIN('Game by Game Scores'!$C$32:$C$58)</f>
        <v>0</v>
      </c>
      <c r="E28" s="9">
        <f>MAX('Week by Week Scores'!$C$14:$C$22)</f>
        <v>0</v>
      </c>
      <c r="F28" s="9">
        <f>MIN('Week by Week Scores'!$C$14:$C$22)</f>
        <v>0</v>
      </c>
      <c r="G28" s="9"/>
    </row>
    <row r="29" spans="1:7" ht="26.5" customHeight="1" x14ac:dyDescent="0.35">
      <c r="A29" s="10" t="s">
        <v>2</v>
      </c>
      <c r="B29" s="111" t="e">
        <f>AVERAGE('Game by Game Scores'!$D32:$D$58)</f>
        <v>#DIV/0!</v>
      </c>
      <c r="C29" s="10">
        <f>MAX('Game by Game Scores'!$D$32:$D$58)</f>
        <v>0</v>
      </c>
      <c r="D29" s="10">
        <f>MIN('Game by Game Scores'!$D$32:$D$58)</f>
        <v>0</v>
      </c>
      <c r="E29" s="10">
        <f>MAX('Week by Week Scores'!$D$14:$D$22)</f>
        <v>0</v>
      </c>
      <c r="F29" s="10">
        <f>MIN('Week by Week Scores'!$D$14:$D$22)</f>
        <v>0</v>
      </c>
      <c r="G29" s="10"/>
    </row>
    <row r="30" spans="1:7" ht="26.5" customHeight="1" x14ac:dyDescent="0.35">
      <c r="A30" s="21" t="s">
        <v>3</v>
      </c>
      <c r="B30" s="112" t="e">
        <f>AVERAGE('Game by Game Scores'!$E32:$E$58)</f>
        <v>#DIV/0!</v>
      </c>
      <c r="C30" s="21">
        <f>MAX('Game by Game Scores'!$E$32:$E$58)</f>
        <v>0</v>
      </c>
      <c r="D30" s="21">
        <f>MIN('Game by Game Scores'!$E$32:$E$58)</f>
        <v>0</v>
      </c>
      <c r="E30" s="21">
        <f>MAX('Week by Week Scores'!$E$14:$E$22)</f>
        <v>0</v>
      </c>
      <c r="F30" s="21">
        <f>MIN('Week by Week Scores'!$E$14:$E$22)</f>
        <v>0</v>
      </c>
      <c r="G30" s="21"/>
    </row>
    <row r="31" spans="1:7" ht="26.5" customHeight="1" x14ac:dyDescent="0.35">
      <c r="A31" s="22" t="s">
        <v>4</v>
      </c>
      <c r="B31" s="113" t="e">
        <f>AVERAGE('Game by Game Scores'!$F32:$F$58)</f>
        <v>#DIV/0!</v>
      </c>
      <c r="C31" s="22">
        <f>MAX('Game by Game Scores'!$F$32:$F$58)</f>
        <v>0</v>
      </c>
      <c r="D31" s="22">
        <f>MIN('Game by Game Scores'!$F$32:$F$58)</f>
        <v>0</v>
      </c>
      <c r="E31" s="22">
        <f>MAX('Week by Week Scores'!$F$14:$F$22)</f>
        <v>0</v>
      </c>
      <c r="F31" s="22">
        <f>MIN('Week by Week Scores'!$F$14:$F$22)</f>
        <v>0</v>
      </c>
      <c r="G31" s="22"/>
    </row>
    <row r="34" spans="1:7" x14ac:dyDescent="0.35">
      <c r="C34" s="246" t="s">
        <v>209</v>
      </c>
      <c r="D34" s="246"/>
    </row>
    <row r="35" spans="1:7" x14ac:dyDescent="0.35">
      <c r="C35" s="246"/>
      <c r="D35" s="246"/>
    </row>
    <row r="37" spans="1:7" ht="18" customHeight="1" x14ac:dyDescent="0.35">
      <c r="A37" s="11" t="s">
        <v>157</v>
      </c>
      <c r="B37" s="11" t="s">
        <v>185</v>
      </c>
      <c r="C37" s="11" t="s">
        <v>186</v>
      </c>
      <c r="D37" s="11" t="s">
        <v>187</v>
      </c>
      <c r="E37" s="11" t="s">
        <v>188</v>
      </c>
      <c r="F37" s="11" t="s">
        <v>191</v>
      </c>
      <c r="G37" s="11" t="s">
        <v>189</v>
      </c>
    </row>
    <row r="38" spans="1:7" ht="26.5" customHeight="1" x14ac:dyDescent="0.35">
      <c r="A38" s="7" t="s">
        <v>0</v>
      </c>
      <c r="B38" s="109" t="e">
        <f>AVERAGE('Game by Game Scores'!$B59:$B$85)</f>
        <v>#DIV/0!</v>
      </c>
      <c r="C38" s="7">
        <f>MAX('Game by Game Scores'!$B$59:$B$85)</f>
        <v>0</v>
      </c>
      <c r="D38" s="7">
        <f>MIN('Game by Game Scores'!$B$59:$B$85)</f>
        <v>0</v>
      </c>
      <c r="E38" s="7">
        <f>MAX('Week by Week Scores'!$B$23:$B$31)</f>
        <v>0</v>
      </c>
      <c r="F38" s="7">
        <f>MIN('Week by Week Scores'!$B$23:$B$31)</f>
        <v>0</v>
      </c>
      <c r="G38" s="7"/>
    </row>
    <row r="39" spans="1:7" ht="26.5" customHeight="1" x14ac:dyDescent="0.35">
      <c r="A39" s="9" t="s">
        <v>1</v>
      </c>
      <c r="B39" s="110" t="e">
        <f>AVERAGE('Game by Game Scores'!$C59:$C$85)</f>
        <v>#DIV/0!</v>
      </c>
      <c r="C39" s="9">
        <f>MAX('Game by Game Scores'!$C$59:$C$85)</f>
        <v>0</v>
      </c>
      <c r="D39" s="9">
        <f>MIN('Game by Game Scores'!$C$59:$C$85)</f>
        <v>0</v>
      </c>
      <c r="E39" s="9">
        <f>MAX('Week by Week Scores'!$C$23:$C$31)</f>
        <v>0</v>
      </c>
      <c r="F39" s="9">
        <f>MIN('Week by Week Scores'!$C$23:$C$31)</f>
        <v>0</v>
      </c>
      <c r="G39" s="9"/>
    </row>
    <row r="40" spans="1:7" ht="26.5" customHeight="1" x14ac:dyDescent="0.35">
      <c r="A40" s="10" t="s">
        <v>2</v>
      </c>
      <c r="B40" s="111" t="e">
        <f>AVERAGE('Game by Game Scores'!$D59:$D$85)</f>
        <v>#DIV/0!</v>
      </c>
      <c r="C40" s="10">
        <f>MAX('Game by Game Scores'!$D$59:$D$85)</f>
        <v>0</v>
      </c>
      <c r="D40" s="10">
        <f>MIN('Game by Game Scores'!$D$59:$D$85)</f>
        <v>0</v>
      </c>
      <c r="E40" s="10">
        <f>MAX('Week by Week Scores'!$D$23:$D$31)</f>
        <v>0</v>
      </c>
      <c r="F40" s="10">
        <f>MIN('Week by Week Scores'!$D$23:$D$31)</f>
        <v>0</v>
      </c>
      <c r="G40" s="10"/>
    </row>
    <row r="41" spans="1:7" ht="26.5" customHeight="1" x14ac:dyDescent="0.35">
      <c r="A41" s="21" t="s">
        <v>3</v>
      </c>
      <c r="B41" s="112" t="e">
        <f>AVERAGE('Game by Game Scores'!$E59:$E$85)</f>
        <v>#DIV/0!</v>
      </c>
      <c r="C41" s="21">
        <f>MAX('Game by Game Scores'!$E$59:$E$85)</f>
        <v>0</v>
      </c>
      <c r="D41" s="21">
        <f>MIN('Game by Game Scores'!$E$59:$E$85)</f>
        <v>0</v>
      </c>
      <c r="E41" s="21">
        <f>MAX('Week by Week Scores'!$E$23:$E$31)</f>
        <v>0</v>
      </c>
      <c r="F41" s="21">
        <f>MIN('Week by Week Scores'!$E$23:$E$31)</f>
        <v>0</v>
      </c>
      <c r="G41" s="21"/>
    </row>
    <row r="42" spans="1:7" ht="26.5" customHeight="1" x14ac:dyDescent="0.35">
      <c r="A42" s="22" t="s">
        <v>4</v>
      </c>
      <c r="B42" s="113" t="e">
        <f>AVERAGE('Game by Game Scores'!$F59:$F$85)</f>
        <v>#DIV/0!</v>
      </c>
      <c r="C42" s="22">
        <f>MAX('Game by Game Scores'!$F$59:$F$85)</f>
        <v>0</v>
      </c>
      <c r="D42" s="22">
        <f>MIN('Game by Game Scores'!$F$59:$F$85)</f>
        <v>0</v>
      </c>
      <c r="E42" s="22">
        <f>MAX('Week by Week Scores'!$F$23:$F$31)</f>
        <v>0</v>
      </c>
      <c r="F42" s="22">
        <f>MIN('Week by Week Scores'!$F$23:$F$31)</f>
        <v>0</v>
      </c>
      <c r="G42" s="22"/>
    </row>
    <row r="45" spans="1:7" x14ac:dyDescent="0.35">
      <c r="C45" s="246" t="s">
        <v>215</v>
      </c>
      <c r="D45" s="246"/>
    </row>
    <row r="46" spans="1:7" x14ac:dyDescent="0.35">
      <c r="C46" s="246"/>
      <c r="D46" s="246"/>
    </row>
    <row r="48" spans="1:7" ht="18" customHeight="1" x14ac:dyDescent="0.35">
      <c r="A48" s="11" t="s">
        <v>157</v>
      </c>
      <c r="B48" s="11" t="s">
        <v>185</v>
      </c>
      <c r="C48" s="11" t="s">
        <v>186</v>
      </c>
      <c r="D48" s="11" t="s">
        <v>187</v>
      </c>
      <c r="E48" s="11" t="s">
        <v>188</v>
      </c>
      <c r="F48" s="11" t="s">
        <v>191</v>
      </c>
      <c r="G48" s="11" t="s">
        <v>189</v>
      </c>
    </row>
    <row r="49" spans="1:7" ht="26.5" customHeight="1" x14ac:dyDescent="0.35">
      <c r="A49" s="7" t="s">
        <v>0</v>
      </c>
      <c r="B49" s="109" t="e">
        <f>AVERAGE('Game by Game Scores'!$B86:$B$112)</f>
        <v>#DIV/0!</v>
      </c>
      <c r="C49" s="7">
        <f>MAX('Game by Game Scores'!$B86:$B$112)</f>
        <v>0</v>
      </c>
      <c r="D49" s="7">
        <f>MIN('Game by Game Scores'!$B86:$B$112)</f>
        <v>0</v>
      </c>
      <c r="E49" s="7">
        <f>MAX('Week by Week Scores'!$B$32:$B$40)</f>
        <v>0</v>
      </c>
      <c r="F49" s="7">
        <f>MIN('Week by Week Scores'!$B$32:$B$39)</f>
        <v>0</v>
      </c>
      <c r="G49" s="7"/>
    </row>
    <row r="50" spans="1:7" ht="26.5" customHeight="1" x14ac:dyDescent="0.35">
      <c r="A50" s="9" t="s">
        <v>1</v>
      </c>
      <c r="B50" s="110" t="e">
        <f>AVERAGE('Game by Game Scores'!$C86:$C$112)</f>
        <v>#DIV/0!</v>
      </c>
      <c r="C50" s="9">
        <f>MAX('Game by Game Scores'!$C86:$C$112)</f>
        <v>0</v>
      </c>
      <c r="D50" s="9">
        <f>MIN('Game by Game Scores'!$C86:$C$112)</f>
        <v>0</v>
      </c>
      <c r="E50" s="9">
        <f>MAX('Week by Week Scores'!$C$32:$C$40)</f>
        <v>0</v>
      </c>
      <c r="F50" s="9">
        <f>MIN('Week by Week Scores'!$C$32:$C$39)</f>
        <v>0</v>
      </c>
      <c r="G50" s="9"/>
    </row>
    <row r="51" spans="1:7" ht="26.5" customHeight="1" x14ac:dyDescent="0.35">
      <c r="A51" s="10" t="s">
        <v>2</v>
      </c>
      <c r="B51" s="111" t="e">
        <f>AVERAGE('Game by Game Scores'!$D86:$D$112)</f>
        <v>#DIV/0!</v>
      </c>
      <c r="C51" s="10">
        <f>MAX('Game by Game Scores'!$D86:$D$112)</f>
        <v>0</v>
      </c>
      <c r="D51" s="10">
        <f>MIN('Game by Game Scores'!$D86:$D$112)</f>
        <v>0</v>
      </c>
      <c r="E51" s="10">
        <f>MAX('Week by Week Scores'!$D$32:$D$40)</f>
        <v>0</v>
      </c>
      <c r="F51" s="10">
        <f>MIN('Week by Week Scores'!$D$32:$D$39)</f>
        <v>0</v>
      </c>
      <c r="G51" s="10"/>
    </row>
    <row r="52" spans="1:7" ht="26.5" customHeight="1" x14ac:dyDescent="0.35">
      <c r="A52" s="21" t="s">
        <v>3</v>
      </c>
      <c r="B52" s="112" t="e">
        <f>AVERAGE('Game by Game Scores'!$E86:$E$112)</f>
        <v>#DIV/0!</v>
      </c>
      <c r="C52" s="21">
        <f>MAX('Game by Game Scores'!$E86:$E$112)</f>
        <v>0</v>
      </c>
      <c r="D52" s="21">
        <f>MIN('Game by Game Scores'!$E86:$E$112)</f>
        <v>0</v>
      </c>
      <c r="E52" s="21">
        <f>MAX('Week by Week Scores'!$E$32:$E$40)</f>
        <v>0</v>
      </c>
      <c r="F52" s="21">
        <f>MIN('Week by Week Scores'!$E$32:$E$39)</f>
        <v>0</v>
      </c>
      <c r="G52" s="21"/>
    </row>
    <row r="53" spans="1:7" ht="26.5" customHeight="1" x14ac:dyDescent="0.35">
      <c r="A53" s="22" t="s">
        <v>4</v>
      </c>
      <c r="B53" s="113" t="e">
        <f>AVERAGE('Game by Game Scores'!$F86:$F$112)</f>
        <v>#DIV/0!</v>
      </c>
      <c r="C53" s="22">
        <f>MAX('Game by Game Scores'!$F86:$F$112)</f>
        <v>0</v>
      </c>
      <c r="D53" s="22">
        <f>MIN('Game by Game Scores'!$F86:$F$112)</f>
        <v>0</v>
      </c>
      <c r="E53" s="22">
        <f>MAX('Week by Week Scores'!$F$32:$F$40)</f>
        <v>0</v>
      </c>
      <c r="F53" s="22">
        <f>MIN('Week by Week Scores'!$F$32:$F$39)</f>
        <v>0</v>
      </c>
      <c r="G53" s="22"/>
    </row>
  </sheetData>
  <mergeCells count="4">
    <mergeCell ref="C12:D13"/>
    <mergeCell ref="C23:D24"/>
    <mergeCell ref="C34:D35"/>
    <mergeCell ref="C45:D46"/>
  </mergeCells>
  <pageMargins left="0.7" right="0.7" top="0.75" bottom="0.75" header="0.3" footer="0.3"/>
  <headerFooter>
    <oddHeader>&amp;L&amp;"Aptos"&amp;12&amp;K03C03C Public&amp;1#_x000D_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3AFD9-D5F1-4FA1-B7A3-79E1A857598F}">
  <dimension ref="A1:H2"/>
  <sheetViews>
    <sheetView workbookViewId="0">
      <selection activeCell="G2" sqref="G2"/>
    </sheetView>
  </sheetViews>
  <sheetFormatPr defaultRowHeight="14.5" x14ac:dyDescent="0.35"/>
  <cols>
    <col min="1" max="7" width="10.7265625" customWidth="1"/>
    <col min="8" max="8" width="9.1796875" style="2"/>
  </cols>
  <sheetData>
    <row r="1" spans="1:7" x14ac:dyDescent="0.35">
      <c r="A1" s="1"/>
      <c r="B1" s="15" t="s">
        <v>0</v>
      </c>
      <c r="C1" s="16" t="s">
        <v>1</v>
      </c>
      <c r="D1" s="17" t="s">
        <v>2</v>
      </c>
      <c r="E1" s="24" t="s">
        <v>3</v>
      </c>
      <c r="F1" s="23" t="s">
        <v>4</v>
      </c>
      <c r="G1" s="18" t="s">
        <v>5</v>
      </c>
    </row>
    <row r="2" spans="1:7" x14ac:dyDescent="0.35">
      <c r="A2" s="5" t="s">
        <v>6</v>
      </c>
      <c r="B2" s="8" cm="1">
        <f t="array" ref="B2">SUMPRODUCT(LEN(FramebyFrame!B2:B1151)-LEN(SUBSTITUTE(LOWER(FramebyFrame!B2:B1151),"strike","")))/6</f>
        <v>34</v>
      </c>
      <c r="C2" s="9" cm="1">
        <f t="array" ref="C2">SUMPRODUCT(LEN(FramebyFrame!C2:C1151)-LEN(SUBSTITUTE(LOWER(FramebyFrame!C2:C1151),"strike","")))/6</f>
        <v>49</v>
      </c>
      <c r="D2" s="10" cm="1">
        <f t="array" ref="D2">SUMPRODUCT(LEN(FramebyFrame!D2:D1151)-LEN(SUBSTITUTE(LOWER(FramebyFrame!D2:D1151),"strike","")))/6</f>
        <v>56</v>
      </c>
      <c r="E2" s="21" cm="1">
        <f t="array" ref="E2">SUMPRODUCT(LEN(FramebyFrame!E2:E1151)-LEN(SUBSTITUTE(LOWER(FramebyFrame!E2:E1151),"strike","")))/6</f>
        <v>53</v>
      </c>
      <c r="F2" s="22" cm="1">
        <f t="array" ref="F2">SUMPRODUCT(LEN(FramebyFrame!F2:F1151)-LEN(SUBSTITUTE(LOWER(FramebyFrame!F2:F1151),"strike","")))/6</f>
        <v>32</v>
      </c>
      <c r="G2" s="6" cm="1">
        <f t="array" ref="G2">SUMPRODUCT(LEN(FramebyFrame!G2:G1151)-LEN(SUBSTITUTE(LOWER(FramebyFrame!G2:G1151),"strike","")))/6</f>
        <v>15</v>
      </c>
    </row>
  </sheetData>
  <pageMargins left="0.7" right="0.7" top="0.75" bottom="0.75" header="0.3" footer="0.3"/>
  <headerFooter>
    <oddHeader>&amp;L&amp;"Aptos"&amp;12&amp;K03C03C Public&amp;1#_x000D_</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688B4-3594-4A19-94A3-7C6CF18C3A0D}">
  <dimension ref="A1:P6"/>
  <sheetViews>
    <sheetView workbookViewId="0">
      <selection activeCell="O6" sqref="O6"/>
    </sheetView>
  </sheetViews>
  <sheetFormatPr defaultRowHeight="14.5" x14ac:dyDescent="0.35"/>
  <cols>
    <col min="1" max="7" width="10.7265625" customWidth="1"/>
    <col min="8" max="8" width="9.1796875" style="2"/>
    <col min="9" max="16" width="10.7265625" customWidth="1"/>
  </cols>
  <sheetData>
    <row r="1" spans="1:16" x14ac:dyDescent="0.35">
      <c r="A1" s="2"/>
      <c r="B1" s="2"/>
      <c r="C1" s="2"/>
      <c r="D1" s="2"/>
      <c r="E1" s="2"/>
      <c r="F1" s="2"/>
      <c r="G1" s="2"/>
      <c r="I1" s="2"/>
      <c r="J1" s="2"/>
      <c r="K1" s="2"/>
      <c r="L1" s="2"/>
      <c r="M1" s="2"/>
      <c r="N1" s="2"/>
      <c r="O1" s="2"/>
      <c r="P1" s="2"/>
    </row>
    <row r="2" spans="1:16" ht="15" customHeight="1" x14ac:dyDescent="0.35">
      <c r="A2" s="2"/>
      <c r="B2" s="247" t="s">
        <v>238</v>
      </c>
      <c r="C2" s="247"/>
      <c r="D2" s="247"/>
      <c r="E2" s="247"/>
      <c r="F2" s="247"/>
      <c r="G2" s="247"/>
      <c r="I2" s="2"/>
      <c r="J2" s="247" t="s">
        <v>239</v>
      </c>
      <c r="K2" s="247"/>
      <c r="L2" s="247"/>
      <c r="M2" s="247"/>
      <c r="N2" s="247"/>
      <c r="O2" s="247"/>
      <c r="P2" s="2"/>
    </row>
    <row r="3" spans="1:16" ht="15" customHeight="1" x14ac:dyDescent="0.35">
      <c r="A3" s="2"/>
      <c r="B3" s="247"/>
      <c r="C3" s="247"/>
      <c r="D3" s="247"/>
      <c r="E3" s="247"/>
      <c r="F3" s="247"/>
      <c r="G3" s="247"/>
      <c r="I3" s="2"/>
      <c r="J3" s="247"/>
      <c r="K3" s="247"/>
      <c r="L3" s="247"/>
      <c r="M3" s="247"/>
      <c r="N3" s="247"/>
      <c r="O3" s="247"/>
      <c r="P3" s="2"/>
    </row>
    <row r="4" spans="1:16" x14ac:dyDescent="0.35">
      <c r="A4" s="2"/>
      <c r="B4" s="2"/>
      <c r="C4" s="2"/>
      <c r="D4" s="2"/>
      <c r="E4" s="2"/>
      <c r="F4" s="2"/>
      <c r="G4" s="2"/>
      <c r="I4" s="2"/>
      <c r="J4" s="2"/>
      <c r="K4" s="2"/>
      <c r="L4" s="2"/>
      <c r="M4" s="2"/>
      <c r="N4" s="2"/>
      <c r="O4" s="2"/>
      <c r="P4" s="2"/>
    </row>
    <row r="5" spans="1:16" x14ac:dyDescent="0.35">
      <c r="A5" s="1"/>
      <c r="B5" s="15" t="s">
        <v>0</v>
      </c>
      <c r="C5" s="16" t="s">
        <v>1</v>
      </c>
      <c r="D5" s="17" t="s">
        <v>2</v>
      </c>
      <c r="E5" s="24" t="s">
        <v>3</v>
      </c>
      <c r="F5" s="23" t="s">
        <v>4</v>
      </c>
      <c r="G5" s="18" t="s">
        <v>5</v>
      </c>
      <c r="I5" s="1"/>
      <c r="J5" s="15" t="s">
        <v>0</v>
      </c>
      <c r="K5" s="16" t="s">
        <v>1</v>
      </c>
      <c r="L5" s="17" t="s">
        <v>2</v>
      </c>
      <c r="M5" s="24" t="s">
        <v>3</v>
      </c>
      <c r="N5" s="23" t="s">
        <v>4</v>
      </c>
      <c r="O5" s="18" t="s">
        <v>5</v>
      </c>
      <c r="P5" s="2"/>
    </row>
    <row r="6" spans="1:16" x14ac:dyDescent="0.35">
      <c r="A6" s="5" t="s">
        <v>6</v>
      </c>
      <c r="B6" s="8">
        <f>COUNTIFS(FramebyFrame!B2:B1151,"*Spare*")</f>
        <v>23</v>
      </c>
      <c r="C6" s="9">
        <f>COUNTIFS(FramebyFrame!C2:C1151,"*Spare*")</f>
        <v>40</v>
      </c>
      <c r="D6" s="10">
        <f>COUNTIFS(FramebyFrame!D2:D1151,"*Spare*")</f>
        <v>30</v>
      </c>
      <c r="E6" s="21">
        <f>COUNTIFS(FramebyFrame!E2:E1151,"*Spare*")</f>
        <v>23</v>
      </c>
      <c r="F6" s="22">
        <f>COUNTIFS(FramebyFrame!F2:F1151,"*Spare*")</f>
        <v>18</v>
      </c>
      <c r="G6" s="6">
        <f>COUNTIFS(FramebyFrame!G2:G1151,"*Spare*")</f>
        <v>10</v>
      </c>
      <c r="I6" s="5" t="s">
        <v>6</v>
      </c>
      <c r="J6" s="8">
        <f>COUNTIFS(FramebyFrame!B2:B1151,"*/*")</f>
        <v>8</v>
      </c>
      <c r="K6" s="9">
        <f>COUNTIFS(FramebyFrame!C2:C1151,"*/*")</f>
        <v>9</v>
      </c>
      <c r="L6" s="10">
        <f>COUNTIFS(FramebyFrame!D2:D1151,"*/*")</f>
        <v>14</v>
      </c>
      <c r="M6" s="21">
        <f>COUNTIFS(FramebyFrame!E2:E1151,"*/*")</f>
        <v>22</v>
      </c>
      <c r="N6" s="22">
        <f>COUNTIFS(FramebyFrame!F2:F1151,"*/*")</f>
        <v>17</v>
      </c>
      <c r="O6" s="6">
        <f>COUNTIFS(FramebyFrame!G2:G1151,"*/*")</f>
        <v>6</v>
      </c>
      <c r="P6" s="2"/>
    </row>
  </sheetData>
  <mergeCells count="2">
    <mergeCell ref="B2:G3"/>
    <mergeCell ref="J2:O3"/>
  </mergeCells>
  <pageMargins left="0.7" right="0.7" top="0.75" bottom="0.75" header="0.3" footer="0.3"/>
  <headerFooter>
    <oddHeader>&amp;L&amp;"Aptos"&amp;12&amp;K03C03C Public&amp;1#_x000D_</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829E-D7FC-4ECC-982E-D4F5E3B4BEC8}">
  <dimension ref="A1:H2"/>
  <sheetViews>
    <sheetView workbookViewId="0">
      <selection activeCell="I21" sqref="I21"/>
    </sheetView>
  </sheetViews>
  <sheetFormatPr defaultRowHeight="14.5" x14ac:dyDescent="0.35"/>
  <cols>
    <col min="1" max="7" width="10.7265625" customWidth="1"/>
    <col min="8" max="8" width="9.1796875" style="2"/>
  </cols>
  <sheetData>
    <row r="1" spans="1:7" x14ac:dyDescent="0.35">
      <c r="A1" s="1"/>
      <c r="B1" s="15" t="s">
        <v>0</v>
      </c>
      <c r="C1" s="16" t="s">
        <v>1</v>
      </c>
      <c r="D1" s="17" t="s">
        <v>2</v>
      </c>
      <c r="E1" s="24" t="s">
        <v>3</v>
      </c>
      <c r="F1" s="23" t="s">
        <v>4</v>
      </c>
      <c r="G1" s="18" t="s">
        <v>5</v>
      </c>
    </row>
    <row r="2" spans="1:7" x14ac:dyDescent="0.35">
      <c r="A2" s="5" t="s">
        <v>6</v>
      </c>
      <c r="B2" s="8">
        <f>COUNTIFS(FramebyFrame!B2:B1151,"*Split*")</f>
        <v>5</v>
      </c>
      <c r="C2" s="9">
        <f>COUNTIFS(FramebyFrame!C2:C1151,"*Split*")</f>
        <v>6</v>
      </c>
      <c r="D2" s="10">
        <f>COUNTIFS(FramebyFrame!D2:D1151,"*Split*")</f>
        <v>9</v>
      </c>
      <c r="E2" s="21">
        <f>COUNTIFS(FramebyFrame!E2:E1151,"*Split*")</f>
        <v>15</v>
      </c>
      <c r="F2" s="22">
        <f>COUNTIFS(FramebyFrame!F2:F1151,"*Split*")</f>
        <v>6</v>
      </c>
      <c r="G2" s="6">
        <f>COUNTIFS(FramebyFrame!G2:G1151,"*Split*")</f>
        <v>2</v>
      </c>
    </row>
  </sheetData>
  <pageMargins left="0.7" right="0.7" top="0.75" bottom="0.75" header="0.3" footer="0.3"/>
  <headerFooter>
    <oddHeader>&amp;L&amp;"Aptos"&amp;12&amp;K03C03C Public&amp;1#_x000D_</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E7377-89B7-4B77-A686-0FC62A01FC22}">
  <dimension ref="A1:H2"/>
  <sheetViews>
    <sheetView workbookViewId="0">
      <selection activeCell="G2" sqref="G2"/>
    </sheetView>
  </sheetViews>
  <sheetFormatPr defaultRowHeight="14.5" x14ac:dyDescent="0.35"/>
  <cols>
    <col min="1" max="7" width="10.7265625" customWidth="1"/>
    <col min="8" max="8" width="9.1796875" style="2"/>
  </cols>
  <sheetData>
    <row r="1" spans="1:7" x14ac:dyDescent="0.35">
      <c r="A1" s="1"/>
      <c r="B1" s="15" t="s">
        <v>0</v>
      </c>
      <c r="C1" s="16" t="s">
        <v>1</v>
      </c>
      <c r="D1" s="17" t="s">
        <v>2</v>
      </c>
      <c r="E1" s="24" t="s">
        <v>3</v>
      </c>
      <c r="F1" s="23" t="s">
        <v>4</v>
      </c>
      <c r="G1" s="18" t="s">
        <v>5</v>
      </c>
    </row>
    <row r="2" spans="1:7" x14ac:dyDescent="0.35">
      <c r="A2" s="5" t="s">
        <v>237</v>
      </c>
      <c r="B2" s="185">
        <f>COUNTIFS(FramebyFrame!B2:B1151,"*Spare (10 Pin)*")/COUNTIFS(FramebyFrame!B2:B1151,"*10 Pin*")</f>
        <v>0.75</v>
      </c>
      <c r="C2" s="186">
        <f>COUNTIFS(FramebyFrame!C2:C1151,"*Spare (10 Pin)*")/COUNTIFS(FramebyFrame!C2:C1151,"*10 Pin*")</f>
        <v>0.8</v>
      </c>
      <c r="D2" s="187">
        <f>COUNTIFS(FramebyFrame!D2:D1151,"*Spare (10 Pin)*")/COUNTIFS(FramebyFrame!D2:D1151,"*10 Pin*")</f>
        <v>0.55555555555555558</v>
      </c>
      <c r="E2" s="188">
        <f>COUNTIFS(FramebyFrame!E2:E1151,"*Spare (10 Pin)*")/COUNTIFS(FramebyFrame!E2:E1151,"*10 Pin*")</f>
        <v>0.7</v>
      </c>
      <c r="F2" s="189">
        <f>COUNTIFS(FramebyFrame!F2:F1151,"*Spare (7 Pin)*")/COUNTIFS(FramebyFrame!F2:F1151,"*7 Pin*")</f>
        <v>0.33333333333333331</v>
      </c>
      <c r="G2" s="232">
        <f>COUNTIFS(FramebyFrame!G2:G1151,"*Spare (10 Pin)*")/COUNTIFS(FramebyFrame!G2:G1151,"*10 Pin*")</f>
        <v>0.5</v>
      </c>
    </row>
  </sheetData>
  <pageMargins left="0.7" right="0.7" top="0.75" bottom="0.75" header="0.3" footer="0.3"/>
  <headerFooter>
    <oddHeader>&amp;L&amp;"Aptos"&amp;12&amp;K03C03C Public&amp;1#_x000D_</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86345-4D02-42D0-BA09-3E6A776DBE5B}">
  <dimension ref="A1:J109"/>
  <sheetViews>
    <sheetView workbookViewId="0">
      <selection activeCell="B11" sqref="B11"/>
    </sheetView>
  </sheetViews>
  <sheetFormatPr defaultRowHeight="14.5" x14ac:dyDescent="0.35"/>
  <cols>
    <col min="1" max="1" width="18.26953125" customWidth="1"/>
    <col min="2" max="4" width="20.7265625" style="37" customWidth="1"/>
  </cols>
  <sheetData>
    <row r="1" spans="1:10" x14ac:dyDescent="0.35">
      <c r="A1" s="38"/>
      <c r="B1" s="11" t="s">
        <v>172</v>
      </c>
      <c r="C1" s="11" t="s">
        <v>173</v>
      </c>
      <c r="D1" s="11" t="s">
        <v>174</v>
      </c>
    </row>
    <row r="2" spans="1:10" x14ac:dyDescent="0.35">
      <c r="A2" s="33" t="s">
        <v>49</v>
      </c>
      <c r="B2" s="35">
        <f>SUM('Game by Game Scores'!B5:G5)</f>
        <v>1068</v>
      </c>
      <c r="C2" s="35">
        <v>16</v>
      </c>
      <c r="D2" s="35">
        <f>B2+C2</f>
        <v>1084</v>
      </c>
      <c r="G2" s="2"/>
      <c r="H2" s="2"/>
      <c r="I2" s="2"/>
      <c r="J2" s="2"/>
    </row>
    <row r="3" spans="1:10" x14ac:dyDescent="0.35">
      <c r="A3" s="33" t="s">
        <v>50</v>
      </c>
      <c r="B3" s="35">
        <f>SUM('Game by Game Scores'!B6:G6)</f>
        <v>1032</v>
      </c>
      <c r="C3" s="35">
        <v>16</v>
      </c>
      <c r="D3" s="35">
        <f t="shared" ref="D3:D66" si="0">B3+C3</f>
        <v>1048</v>
      </c>
      <c r="G3" s="2"/>
      <c r="H3" s="248" t="s">
        <v>175</v>
      </c>
      <c r="I3" s="248"/>
      <c r="J3" s="2"/>
    </row>
    <row r="4" spans="1:10" x14ac:dyDescent="0.35">
      <c r="A4" s="33" t="s">
        <v>51</v>
      </c>
      <c r="B4" s="35">
        <f>SUM('Game by Game Scores'!B7:G7)</f>
        <v>983</v>
      </c>
      <c r="C4" s="35">
        <v>16</v>
      </c>
      <c r="D4" s="35">
        <f t="shared" si="0"/>
        <v>999</v>
      </c>
      <c r="G4" s="2"/>
      <c r="H4" s="249">
        <v>3</v>
      </c>
      <c r="I4" s="249"/>
      <c r="J4" s="2"/>
    </row>
    <row r="5" spans="1:10" x14ac:dyDescent="0.35">
      <c r="A5" s="33" t="s">
        <v>52</v>
      </c>
      <c r="B5" s="35">
        <f>SUM('Game by Game Scores'!B8:G8)</f>
        <v>991</v>
      </c>
      <c r="C5" s="35">
        <v>14</v>
      </c>
      <c r="D5" s="35">
        <f t="shared" si="0"/>
        <v>1005</v>
      </c>
      <c r="G5" s="2"/>
      <c r="H5" s="2"/>
      <c r="I5" s="2"/>
      <c r="J5" s="2"/>
    </row>
    <row r="6" spans="1:10" x14ac:dyDescent="0.35">
      <c r="A6" s="33" t="s">
        <v>53</v>
      </c>
      <c r="B6" s="35">
        <f>SUM('Game by Game Scores'!B9:G9)</f>
        <v>967</v>
      </c>
      <c r="C6" s="35">
        <v>14</v>
      </c>
      <c r="D6" s="35">
        <f t="shared" si="0"/>
        <v>981</v>
      </c>
      <c r="G6" s="2"/>
      <c r="H6" s="2"/>
      <c r="I6" s="2"/>
      <c r="J6" s="2"/>
    </row>
    <row r="7" spans="1:10" x14ac:dyDescent="0.35">
      <c r="A7" s="33" t="s">
        <v>54</v>
      </c>
      <c r="B7" s="35">
        <f>SUM('Game by Game Scores'!B10:G10)</f>
        <v>1007</v>
      </c>
      <c r="C7" s="35">
        <v>14</v>
      </c>
      <c r="D7" s="35">
        <f t="shared" si="0"/>
        <v>1021</v>
      </c>
    </row>
    <row r="8" spans="1:10" x14ac:dyDescent="0.35">
      <c r="A8" s="33" t="s">
        <v>55</v>
      </c>
      <c r="B8" s="35">
        <v>1039</v>
      </c>
      <c r="C8" s="35">
        <v>0</v>
      </c>
      <c r="D8" s="35">
        <f t="shared" si="0"/>
        <v>1039</v>
      </c>
    </row>
    <row r="9" spans="1:10" x14ac:dyDescent="0.35">
      <c r="A9" s="33" t="s">
        <v>56</v>
      </c>
      <c r="B9" s="35">
        <v>961</v>
      </c>
      <c r="C9" s="35">
        <v>0</v>
      </c>
      <c r="D9" s="35">
        <f t="shared" si="0"/>
        <v>961</v>
      </c>
    </row>
    <row r="10" spans="1:10" x14ac:dyDescent="0.35">
      <c r="A10" s="33" t="s">
        <v>57</v>
      </c>
      <c r="B10" s="35">
        <v>1035</v>
      </c>
      <c r="C10" s="35">
        <v>0</v>
      </c>
      <c r="D10" s="35">
        <f t="shared" si="0"/>
        <v>1035</v>
      </c>
    </row>
    <row r="11" spans="1:10" x14ac:dyDescent="0.35">
      <c r="A11" s="33" t="s">
        <v>58</v>
      </c>
      <c r="B11" s="35">
        <f>SUM('Game by Game Scores'!B14:G14)</f>
        <v>0</v>
      </c>
      <c r="C11" s="35"/>
      <c r="D11" s="35">
        <f t="shared" si="0"/>
        <v>0</v>
      </c>
    </row>
    <row r="12" spans="1:10" x14ac:dyDescent="0.35">
      <c r="A12" s="33" t="s">
        <v>59</v>
      </c>
      <c r="B12" s="35">
        <f>SUM('Game by Game Scores'!B15:G15)</f>
        <v>0</v>
      </c>
      <c r="C12" s="35"/>
      <c r="D12" s="35">
        <f t="shared" si="0"/>
        <v>0</v>
      </c>
    </row>
    <row r="13" spans="1:10" x14ac:dyDescent="0.35">
      <c r="A13" s="33" t="s">
        <v>60</v>
      </c>
      <c r="B13" s="35">
        <f>SUM('Game by Game Scores'!B16:G16)</f>
        <v>0</v>
      </c>
      <c r="C13" s="35"/>
      <c r="D13" s="35">
        <f t="shared" si="0"/>
        <v>0</v>
      </c>
    </row>
    <row r="14" spans="1:10" x14ac:dyDescent="0.35">
      <c r="A14" s="33" t="s">
        <v>61</v>
      </c>
      <c r="B14" s="35">
        <f>SUM('Game by Game Scores'!B17:G17)</f>
        <v>0</v>
      </c>
      <c r="C14" s="35"/>
      <c r="D14" s="35">
        <f t="shared" si="0"/>
        <v>0</v>
      </c>
    </row>
    <row r="15" spans="1:10" x14ac:dyDescent="0.35">
      <c r="A15" s="33" t="s">
        <v>62</v>
      </c>
      <c r="B15" s="35">
        <f>SUM('Game by Game Scores'!B18:G18)</f>
        <v>0</v>
      </c>
      <c r="C15" s="35"/>
      <c r="D15" s="35">
        <f t="shared" si="0"/>
        <v>0</v>
      </c>
    </row>
    <row r="16" spans="1:10" x14ac:dyDescent="0.35">
      <c r="A16" s="33" t="s">
        <v>63</v>
      </c>
      <c r="B16" s="35">
        <f>SUM('Game by Game Scores'!B19:G19)</f>
        <v>0</v>
      </c>
      <c r="C16" s="35"/>
      <c r="D16" s="35">
        <f t="shared" si="0"/>
        <v>0</v>
      </c>
    </row>
    <row r="17" spans="1:4" x14ac:dyDescent="0.35">
      <c r="A17" s="33" t="s">
        <v>64</v>
      </c>
      <c r="B17" s="35">
        <f>SUM('Game by Game Scores'!B20:G20)</f>
        <v>0</v>
      </c>
      <c r="C17" s="35"/>
      <c r="D17" s="35">
        <f t="shared" si="0"/>
        <v>0</v>
      </c>
    </row>
    <row r="18" spans="1:4" x14ac:dyDescent="0.35">
      <c r="A18" s="33" t="s">
        <v>67</v>
      </c>
      <c r="B18" s="35">
        <f>SUM('Game by Game Scores'!B21:G21)</f>
        <v>0</v>
      </c>
      <c r="C18" s="35"/>
      <c r="D18" s="35">
        <f t="shared" si="0"/>
        <v>0</v>
      </c>
    </row>
    <row r="19" spans="1:4" x14ac:dyDescent="0.35">
      <c r="A19" s="33" t="s">
        <v>66</v>
      </c>
      <c r="B19" s="35">
        <f>SUM('Game by Game Scores'!B22:G22)</f>
        <v>0</v>
      </c>
      <c r="C19" s="35"/>
      <c r="D19" s="35">
        <f t="shared" si="0"/>
        <v>0</v>
      </c>
    </row>
    <row r="20" spans="1:4" x14ac:dyDescent="0.35">
      <c r="A20" s="33" t="s">
        <v>68</v>
      </c>
      <c r="B20" s="35">
        <f>SUM('Game by Game Scores'!B23:G23)</f>
        <v>0</v>
      </c>
      <c r="C20" s="35"/>
      <c r="D20" s="35">
        <f t="shared" si="0"/>
        <v>0</v>
      </c>
    </row>
    <row r="21" spans="1:4" x14ac:dyDescent="0.35">
      <c r="A21" s="33" t="s">
        <v>65</v>
      </c>
      <c r="B21" s="35">
        <f>SUM('Game by Game Scores'!B24:G24)</f>
        <v>0</v>
      </c>
      <c r="C21" s="35"/>
      <c r="D21" s="35">
        <f t="shared" si="0"/>
        <v>0</v>
      </c>
    </row>
    <row r="22" spans="1:4" x14ac:dyDescent="0.35">
      <c r="A22" s="33" t="s">
        <v>69</v>
      </c>
      <c r="B22" s="35">
        <f>SUM('Game by Game Scores'!B25:G25)</f>
        <v>0</v>
      </c>
      <c r="C22" s="35"/>
      <c r="D22" s="35">
        <f t="shared" si="0"/>
        <v>0</v>
      </c>
    </row>
    <row r="23" spans="1:4" x14ac:dyDescent="0.35">
      <c r="A23" s="33" t="s">
        <v>70</v>
      </c>
      <c r="B23" s="35">
        <f>SUM('Game by Game Scores'!B26:G26)</f>
        <v>0</v>
      </c>
      <c r="C23" s="35"/>
      <c r="D23" s="35">
        <f t="shared" si="0"/>
        <v>0</v>
      </c>
    </row>
    <row r="24" spans="1:4" x14ac:dyDescent="0.35">
      <c r="A24" s="33" t="s">
        <v>71</v>
      </c>
      <c r="B24" s="35">
        <f>SUM('Game by Game Scores'!B27:G27)</f>
        <v>0</v>
      </c>
      <c r="C24" s="35"/>
      <c r="D24" s="35">
        <f t="shared" si="0"/>
        <v>0</v>
      </c>
    </row>
    <row r="25" spans="1:4" x14ac:dyDescent="0.35">
      <c r="A25" s="33" t="s">
        <v>72</v>
      </c>
      <c r="B25" s="35">
        <f>SUM('Game by Game Scores'!B28:G28)</f>
        <v>0</v>
      </c>
      <c r="C25" s="35"/>
      <c r="D25" s="35">
        <f t="shared" si="0"/>
        <v>0</v>
      </c>
    </row>
    <row r="26" spans="1:4" x14ac:dyDescent="0.35">
      <c r="A26" s="33" t="s">
        <v>73</v>
      </c>
      <c r="B26" s="35">
        <f>SUM('Game by Game Scores'!B29:G29)</f>
        <v>0</v>
      </c>
      <c r="C26" s="35"/>
      <c r="D26" s="35">
        <f t="shared" si="0"/>
        <v>0</v>
      </c>
    </row>
    <row r="27" spans="1:4" x14ac:dyDescent="0.35">
      <c r="A27" s="33" t="s">
        <v>74</v>
      </c>
      <c r="B27" s="35">
        <f>SUM('Game by Game Scores'!B30:G30)</f>
        <v>0</v>
      </c>
      <c r="C27" s="35"/>
      <c r="D27" s="35">
        <f t="shared" si="0"/>
        <v>0</v>
      </c>
    </row>
    <row r="28" spans="1:4" x14ac:dyDescent="0.35">
      <c r="A28" s="33" t="s">
        <v>75</v>
      </c>
      <c r="B28" s="35">
        <f>SUM('Game by Game Scores'!B31:G31)</f>
        <v>0</v>
      </c>
      <c r="C28" s="35"/>
      <c r="D28" s="35">
        <f t="shared" si="0"/>
        <v>0</v>
      </c>
    </row>
    <row r="29" spans="1:4" x14ac:dyDescent="0.35">
      <c r="A29" s="33" t="s">
        <v>76</v>
      </c>
      <c r="B29" s="35">
        <f>SUM('Game by Game Scores'!B32:G32)</f>
        <v>0</v>
      </c>
      <c r="C29" s="35"/>
      <c r="D29" s="35">
        <f t="shared" si="0"/>
        <v>0</v>
      </c>
    </row>
    <row r="30" spans="1:4" x14ac:dyDescent="0.35">
      <c r="A30" s="33" t="s">
        <v>77</v>
      </c>
      <c r="B30" s="35">
        <f>SUM('Game by Game Scores'!B33:G33)</f>
        <v>0</v>
      </c>
      <c r="C30" s="35"/>
      <c r="D30" s="35">
        <f t="shared" si="0"/>
        <v>0</v>
      </c>
    </row>
    <row r="31" spans="1:4" x14ac:dyDescent="0.35">
      <c r="A31" s="33" t="s">
        <v>78</v>
      </c>
      <c r="B31" s="35">
        <f>SUM('Game by Game Scores'!B34:G34)</f>
        <v>0</v>
      </c>
      <c r="C31" s="35"/>
      <c r="D31" s="35">
        <f t="shared" si="0"/>
        <v>0</v>
      </c>
    </row>
    <row r="32" spans="1:4" x14ac:dyDescent="0.35">
      <c r="A32" s="33" t="s">
        <v>79</v>
      </c>
      <c r="B32" s="35">
        <f>SUM('Game by Game Scores'!B35:G35)</f>
        <v>0</v>
      </c>
      <c r="C32" s="35"/>
      <c r="D32" s="35">
        <f t="shared" si="0"/>
        <v>0</v>
      </c>
    </row>
    <row r="33" spans="1:4" x14ac:dyDescent="0.35">
      <c r="A33" s="33" t="s">
        <v>80</v>
      </c>
      <c r="B33" s="35">
        <f>SUM('Game by Game Scores'!B36:G36)</f>
        <v>0</v>
      </c>
      <c r="C33" s="35"/>
      <c r="D33" s="35">
        <f t="shared" si="0"/>
        <v>0</v>
      </c>
    </row>
    <row r="34" spans="1:4" x14ac:dyDescent="0.35">
      <c r="A34" s="33" t="s">
        <v>81</v>
      </c>
      <c r="B34" s="35">
        <f>SUM('Game by Game Scores'!B37:G37)</f>
        <v>0</v>
      </c>
      <c r="C34" s="35"/>
      <c r="D34" s="35">
        <f t="shared" si="0"/>
        <v>0</v>
      </c>
    </row>
    <row r="35" spans="1:4" x14ac:dyDescent="0.35">
      <c r="A35" s="33" t="s">
        <v>82</v>
      </c>
      <c r="B35" s="35">
        <f>SUM('Game by Game Scores'!B38:G38)</f>
        <v>0</v>
      </c>
      <c r="C35" s="35"/>
      <c r="D35" s="35">
        <f t="shared" si="0"/>
        <v>0</v>
      </c>
    </row>
    <row r="36" spans="1:4" x14ac:dyDescent="0.35">
      <c r="A36" s="33" t="s">
        <v>83</v>
      </c>
      <c r="B36" s="35">
        <f>SUM('Game by Game Scores'!B39:G39)</f>
        <v>0</v>
      </c>
      <c r="C36" s="35"/>
      <c r="D36" s="35">
        <f t="shared" si="0"/>
        <v>0</v>
      </c>
    </row>
    <row r="37" spans="1:4" x14ac:dyDescent="0.35">
      <c r="A37" s="33" t="s">
        <v>84</v>
      </c>
      <c r="B37" s="35">
        <f>SUM('Game by Game Scores'!B40:G40)</f>
        <v>0</v>
      </c>
      <c r="C37" s="35"/>
      <c r="D37" s="35">
        <f t="shared" si="0"/>
        <v>0</v>
      </c>
    </row>
    <row r="38" spans="1:4" x14ac:dyDescent="0.35">
      <c r="A38" s="33" t="s">
        <v>85</v>
      </c>
      <c r="B38" s="35">
        <f>SUM('Game by Game Scores'!B41:G41)</f>
        <v>0</v>
      </c>
      <c r="C38" s="35"/>
      <c r="D38" s="35">
        <f t="shared" si="0"/>
        <v>0</v>
      </c>
    </row>
    <row r="39" spans="1:4" x14ac:dyDescent="0.35">
      <c r="A39" s="33" t="s">
        <v>86</v>
      </c>
      <c r="B39" s="35">
        <f>SUM('Game by Game Scores'!B42:G42)</f>
        <v>0</v>
      </c>
      <c r="C39" s="35"/>
      <c r="D39" s="35">
        <f t="shared" si="0"/>
        <v>0</v>
      </c>
    </row>
    <row r="40" spans="1:4" x14ac:dyDescent="0.35">
      <c r="A40" s="33" t="s">
        <v>87</v>
      </c>
      <c r="B40" s="35">
        <f>SUM('Game by Game Scores'!B43:G43)</f>
        <v>0</v>
      </c>
      <c r="C40" s="35"/>
      <c r="D40" s="35">
        <f t="shared" si="0"/>
        <v>0</v>
      </c>
    </row>
    <row r="41" spans="1:4" x14ac:dyDescent="0.35">
      <c r="A41" s="33" t="s">
        <v>88</v>
      </c>
      <c r="B41" s="35">
        <f>SUM('Game by Game Scores'!B44:G44)</f>
        <v>0</v>
      </c>
      <c r="C41" s="35"/>
      <c r="D41" s="35">
        <f t="shared" si="0"/>
        <v>0</v>
      </c>
    </row>
    <row r="42" spans="1:4" x14ac:dyDescent="0.35">
      <c r="A42" s="33" t="s">
        <v>89</v>
      </c>
      <c r="B42" s="35">
        <f>SUM('Game by Game Scores'!B45:G45)</f>
        <v>0</v>
      </c>
      <c r="C42" s="35"/>
      <c r="D42" s="35">
        <f t="shared" si="0"/>
        <v>0</v>
      </c>
    </row>
    <row r="43" spans="1:4" x14ac:dyDescent="0.35">
      <c r="A43" s="33" t="s">
        <v>90</v>
      </c>
      <c r="B43" s="35">
        <f>SUM('Game by Game Scores'!B46:G46)</f>
        <v>0</v>
      </c>
      <c r="C43" s="35"/>
      <c r="D43" s="35">
        <f t="shared" si="0"/>
        <v>0</v>
      </c>
    </row>
    <row r="44" spans="1:4" x14ac:dyDescent="0.35">
      <c r="A44" s="33" t="s">
        <v>91</v>
      </c>
      <c r="B44" s="35">
        <f>SUM('Game by Game Scores'!B47:G47)</f>
        <v>0</v>
      </c>
      <c r="C44" s="35"/>
      <c r="D44" s="35">
        <f t="shared" si="0"/>
        <v>0</v>
      </c>
    </row>
    <row r="45" spans="1:4" x14ac:dyDescent="0.35">
      <c r="A45" s="33" t="s">
        <v>92</v>
      </c>
      <c r="B45" s="35">
        <f>SUM('Game by Game Scores'!B48:G48)</f>
        <v>0</v>
      </c>
      <c r="C45" s="35"/>
      <c r="D45" s="35">
        <f t="shared" si="0"/>
        <v>0</v>
      </c>
    </row>
    <row r="46" spans="1:4" x14ac:dyDescent="0.35">
      <c r="A46" s="33" t="s">
        <v>93</v>
      </c>
      <c r="B46" s="35">
        <f>SUM('Game by Game Scores'!B49:G49)</f>
        <v>0</v>
      </c>
      <c r="C46" s="35"/>
      <c r="D46" s="35">
        <f t="shared" si="0"/>
        <v>0</v>
      </c>
    </row>
    <row r="47" spans="1:4" x14ac:dyDescent="0.35">
      <c r="A47" s="33" t="s">
        <v>94</v>
      </c>
      <c r="B47" s="35">
        <f>SUM('Game by Game Scores'!B50:G50)</f>
        <v>0</v>
      </c>
      <c r="C47" s="35"/>
      <c r="D47" s="35">
        <f t="shared" si="0"/>
        <v>0</v>
      </c>
    </row>
    <row r="48" spans="1:4" x14ac:dyDescent="0.35">
      <c r="A48" s="33" t="s">
        <v>95</v>
      </c>
      <c r="B48" s="35">
        <f>SUM('Game by Game Scores'!B51:G51)</f>
        <v>0</v>
      </c>
      <c r="C48" s="35"/>
      <c r="D48" s="35">
        <f t="shared" si="0"/>
        <v>0</v>
      </c>
    </row>
    <row r="49" spans="1:4" x14ac:dyDescent="0.35">
      <c r="A49" s="33" t="s">
        <v>96</v>
      </c>
      <c r="B49" s="35">
        <f>SUM('Game by Game Scores'!B52:G52)</f>
        <v>0</v>
      </c>
      <c r="C49" s="35"/>
      <c r="D49" s="35">
        <f t="shared" si="0"/>
        <v>0</v>
      </c>
    </row>
    <row r="50" spans="1:4" x14ac:dyDescent="0.35">
      <c r="A50" s="33" t="s">
        <v>97</v>
      </c>
      <c r="B50" s="35">
        <f>SUM('Game by Game Scores'!B53:G53)</f>
        <v>0</v>
      </c>
      <c r="C50" s="35"/>
      <c r="D50" s="35">
        <f t="shared" si="0"/>
        <v>0</v>
      </c>
    </row>
    <row r="51" spans="1:4" x14ac:dyDescent="0.35">
      <c r="A51" s="33" t="s">
        <v>98</v>
      </c>
      <c r="B51" s="35">
        <f>SUM('Game by Game Scores'!B54:G54)</f>
        <v>0</v>
      </c>
      <c r="C51" s="35"/>
      <c r="D51" s="35">
        <f t="shared" si="0"/>
        <v>0</v>
      </c>
    </row>
    <row r="52" spans="1:4" x14ac:dyDescent="0.35">
      <c r="A52" s="33" t="s">
        <v>99</v>
      </c>
      <c r="B52" s="35">
        <f>SUM('Game by Game Scores'!B55:G55)</f>
        <v>0</v>
      </c>
      <c r="C52" s="35"/>
      <c r="D52" s="35">
        <f t="shared" si="0"/>
        <v>0</v>
      </c>
    </row>
    <row r="53" spans="1:4" x14ac:dyDescent="0.35">
      <c r="A53" s="33" t="s">
        <v>100</v>
      </c>
      <c r="B53" s="35">
        <f>SUM('Game by Game Scores'!B56:G56)</f>
        <v>0</v>
      </c>
      <c r="C53" s="35"/>
      <c r="D53" s="35">
        <f t="shared" si="0"/>
        <v>0</v>
      </c>
    </row>
    <row r="54" spans="1:4" x14ac:dyDescent="0.35">
      <c r="A54" s="33" t="s">
        <v>101</v>
      </c>
      <c r="B54" s="35">
        <f>SUM('Game by Game Scores'!B57:G57)</f>
        <v>0</v>
      </c>
      <c r="C54" s="35"/>
      <c r="D54" s="35">
        <f t="shared" si="0"/>
        <v>0</v>
      </c>
    </row>
    <row r="55" spans="1:4" x14ac:dyDescent="0.35">
      <c r="A55" s="33" t="s">
        <v>102</v>
      </c>
      <c r="B55" s="35">
        <f>SUM('Game by Game Scores'!B58:G58)</f>
        <v>0</v>
      </c>
      <c r="C55" s="35"/>
      <c r="D55" s="35">
        <f t="shared" si="0"/>
        <v>0</v>
      </c>
    </row>
    <row r="56" spans="1:4" x14ac:dyDescent="0.35">
      <c r="A56" s="33" t="s">
        <v>103</v>
      </c>
      <c r="B56" s="35">
        <f>SUM('Game by Game Scores'!B59:G59)</f>
        <v>0</v>
      </c>
      <c r="C56" s="35"/>
      <c r="D56" s="35">
        <f t="shared" si="0"/>
        <v>0</v>
      </c>
    </row>
    <row r="57" spans="1:4" x14ac:dyDescent="0.35">
      <c r="A57" s="33" t="s">
        <v>104</v>
      </c>
      <c r="B57" s="35">
        <f>SUM('Game by Game Scores'!B60:G60)</f>
        <v>0</v>
      </c>
      <c r="C57" s="35"/>
      <c r="D57" s="35">
        <f t="shared" si="0"/>
        <v>0</v>
      </c>
    </row>
    <row r="58" spans="1:4" x14ac:dyDescent="0.35">
      <c r="A58" s="33" t="s">
        <v>105</v>
      </c>
      <c r="B58" s="35">
        <f>SUM('Game by Game Scores'!B61:G61)</f>
        <v>0</v>
      </c>
      <c r="C58" s="35"/>
      <c r="D58" s="35">
        <f t="shared" si="0"/>
        <v>0</v>
      </c>
    </row>
    <row r="59" spans="1:4" x14ac:dyDescent="0.35">
      <c r="A59" s="33" t="s">
        <v>106</v>
      </c>
      <c r="B59" s="35">
        <f>SUM('Game by Game Scores'!B62:G62)</f>
        <v>0</v>
      </c>
      <c r="C59" s="35"/>
      <c r="D59" s="35">
        <f t="shared" si="0"/>
        <v>0</v>
      </c>
    </row>
    <row r="60" spans="1:4" x14ac:dyDescent="0.35">
      <c r="A60" s="33" t="s">
        <v>107</v>
      </c>
      <c r="B60" s="35">
        <f>SUM('Game by Game Scores'!B63:G63)</f>
        <v>0</v>
      </c>
      <c r="C60" s="35"/>
      <c r="D60" s="35">
        <f t="shared" si="0"/>
        <v>0</v>
      </c>
    </row>
    <row r="61" spans="1:4" x14ac:dyDescent="0.35">
      <c r="A61" s="33" t="s">
        <v>108</v>
      </c>
      <c r="B61" s="35">
        <f>SUM('Game by Game Scores'!B64:G64)</f>
        <v>0</v>
      </c>
      <c r="C61" s="35"/>
      <c r="D61" s="35">
        <f t="shared" si="0"/>
        <v>0</v>
      </c>
    </row>
    <row r="62" spans="1:4" x14ac:dyDescent="0.35">
      <c r="A62" s="33" t="s">
        <v>109</v>
      </c>
      <c r="B62" s="35">
        <f>SUM('Game by Game Scores'!B65:G65)</f>
        <v>0</v>
      </c>
      <c r="C62" s="35"/>
      <c r="D62" s="35">
        <f t="shared" si="0"/>
        <v>0</v>
      </c>
    </row>
    <row r="63" spans="1:4" x14ac:dyDescent="0.35">
      <c r="A63" s="33" t="s">
        <v>110</v>
      </c>
      <c r="B63" s="35">
        <f>SUM('Game by Game Scores'!B66:G66)</f>
        <v>0</v>
      </c>
      <c r="C63" s="35"/>
      <c r="D63" s="35">
        <f t="shared" si="0"/>
        <v>0</v>
      </c>
    </row>
    <row r="64" spans="1:4" x14ac:dyDescent="0.35">
      <c r="A64" s="33" t="s">
        <v>111</v>
      </c>
      <c r="B64" s="35">
        <f>SUM('Game by Game Scores'!B67:G67)</f>
        <v>0</v>
      </c>
      <c r="C64" s="35"/>
      <c r="D64" s="35">
        <f t="shared" si="0"/>
        <v>0</v>
      </c>
    </row>
    <row r="65" spans="1:4" x14ac:dyDescent="0.35">
      <c r="A65" s="33" t="s">
        <v>112</v>
      </c>
      <c r="B65" s="35">
        <f>SUM('Game by Game Scores'!B68:G68)</f>
        <v>0</v>
      </c>
      <c r="C65" s="35"/>
      <c r="D65" s="35">
        <f t="shared" si="0"/>
        <v>0</v>
      </c>
    </row>
    <row r="66" spans="1:4" x14ac:dyDescent="0.35">
      <c r="A66" s="33" t="s">
        <v>113</v>
      </c>
      <c r="B66" s="35">
        <f>SUM('Game by Game Scores'!B69:G69)</f>
        <v>0</v>
      </c>
      <c r="C66" s="35"/>
      <c r="D66" s="35">
        <f t="shared" si="0"/>
        <v>0</v>
      </c>
    </row>
    <row r="67" spans="1:4" x14ac:dyDescent="0.35">
      <c r="A67" s="33" t="s">
        <v>114</v>
      </c>
      <c r="B67" s="35">
        <f>SUM('Game by Game Scores'!B70:G70)</f>
        <v>0</v>
      </c>
      <c r="C67" s="35"/>
      <c r="D67" s="35">
        <f t="shared" ref="D67:D109" si="1">B67+C67</f>
        <v>0</v>
      </c>
    </row>
    <row r="68" spans="1:4" x14ac:dyDescent="0.35">
      <c r="A68" s="33" t="s">
        <v>115</v>
      </c>
      <c r="B68" s="35">
        <f>SUM('Game by Game Scores'!B71:G71)</f>
        <v>0</v>
      </c>
      <c r="C68" s="35"/>
      <c r="D68" s="35">
        <f t="shared" si="1"/>
        <v>0</v>
      </c>
    </row>
    <row r="69" spans="1:4" x14ac:dyDescent="0.35">
      <c r="A69" s="33" t="s">
        <v>116</v>
      </c>
      <c r="B69" s="35">
        <f>SUM('Game by Game Scores'!B72:G72)</f>
        <v>0</v>
      </c>
      <c r="C69" s="35"/>
      <c r="D69" s="35">
        <f t="shared" si="1"/>
        <v>0</v>
      </c>
    </row>
    <row r="70" spans="1:4" x14ac:dyDescent="0.35">
      <c r="A70" s="33" t="s">
        <v>117</v>
      </c>
      <c r="B70" s="35">
        <f>SUM('Game by Game Scores'!B73:G73)</f>
        <v>0</v>
      </c>
      <c r="C70" s="35"/>
      <c r="D70" s="35">
        <f t="shared" si="1"/>
        <v>0</v>
      </c>
    </row>
    <row r="71" spans="1:4" x14ac:dyDescent="0.35">
      <c r="A71" s="33" t="s">
        <v>118</v>
      </c>
      <c r="B71" s="35">
        <f>SUM('Game by Game Scores'!B74:G74)</f>
        <v>0</v>
      </c>
      <c r="C71" s="35"/>
      <c r="D71" s="35">
        <f t="shared" si="1"/>
        <v>0</v>
      </c>
    </row>
    <row r="72" spans="1:4" x14ac:dyDescent="0.35">
      <c r="A72" s="33" t="s">
        <v>119</v>
      </c>
      <c r="B72" s="35">
        <f>SUM('Game by Game Scores'!B75:G75)</f>
        <v>0</v>
      </c>
      <c r="C72" s="35"/>
      <c r="D72" s="35">
        <f t="shared" si="1"/>
        <v>0</v>
      </c>
    </row>
    <row r="73" spans="1:4" x14ac:dyDescent="0.35">
      <c r="A73" s="33" t="s">
        <v>120</v>
      </c>
      <c r="B73" s="35">
        <f>SUM('Game by Game Scores'!B76:G76)</f>
        <v>0</v>
      </c>
      <c r="C73" s="35"/>
      <c r="D73" s="35">
        <f t="shared" si="1"/>
        <v>0</v>
      </c>
    </row>
    <row r="74" spans="1:4" x14ac:dyDescent="0.35">
      <c r="A74" s="33" t="s">
        <v>121</v>
      </c>
      <c r="B74" s="35">
        <f>SUM('Game by Game Scores'!B77:G77)</f>
        <v>0</v>
      </c>
      <c r="C74" s="35"/>
      <c r="D74" s="35">
        <f t="shared" si="1"/>
        <v>0</v>
      </c>
    </row>
    <row r="75" spans="1:4" x14ac:dyDescent="0.35">
      <c r="A75" s="33" t="s">
        <v>122</v>
      </c>
      <c r="B75" s="35">
        <f>SUM('Game by Game Scores'!B78:G78)</f>
        <v>0</v>
      </c>
      <c r="C75" s="35"/>
      <c r="D75" s="35">
        <f t="shared" si="1"/>
        <v>0</v>
      </c>
    </row>
    <row r="76" spans="1:4" x14ac:dyDescent="0.35">
      <c r="A76" s="33" t="s">
        <v>123</v>
      </c>
      <c r="B76" s="35">
        <f>SUM('Game by Game Scores'!B79:G79)</f>
        <v>0</v>
      </c>
      <c r="C76" s="35"/>
      <c r="D76" s="35">
        <f t="shared" si="1"/>
        <v>0</v>
      </c>
    </row>
    <row r="77" spans="1:4" x14ac:dyDescent="0.35">
      <c r="A77" s="33" t="s">
        <v>124</v>
      </c>
      <c r="B77" s="35">
        <f>SUM('Game by Game Scores'!B80:G80)</f>
        <v>0</v>
      </c>
      <c r="C77" s="35"/>
      <c r="D77" s="35">
        <f t="shared" si="1"/>
        <v>0</v>
      </c>
    </row>
    <row r="78" spans="1:4" x14ac:dyDescent="0.35">
      <c r="A78" s="33" t="s">
        <v>125</v>
      </c>
      <c r="B78" s="35">
        <f>SUM('Game by Game Scores'!B81:G81)</f>
        <v>0</v>
      </c>
      <c r="C78" s="35"/>
      <c r="D78" s="35">
        <f t="shared" si="1"/>
        <v>0</v>
      </c>
    </row>
    <row r="79" spans="1:4" x14ac:dyDescent="0.35">
      <c r="A79" s="33" t="s">
        <v>126</v>
      </c>
      <c r="B79" s="35">
        <f>SUM('Game by Game Scores'!B82:G82)</f>
        <v>0</v>
      </c>
      <c r="C79" s="35"/>
      <c r="D79" s="35">
        <f t="shared" si="1"/>
        <v>0</v>
      </c>
    </row>
    <row r="80" spans="1:4" x14ac:dyDescent="0.35">
      <c r="A80" s="33" t="s">
        <v>127</v>
      </c>
      <c r="B80" s="35">
        <f>SUM('Game by Game Scores'!B83:G83)</f>
        <v>0</v>
      </c>
      <c r="C80" s="35"/>
      <c r="D80" s="35">
        <f t="shared" si="1"/>
        <v>0</v>
      </c>
    </row>
    <row r="81" spans="1:4" x14ac:dyDescent="0.35">
      <c r="A81" s="33" t="s">
        <v>128</v>
      </c>
      <c r="B81" s="35">
        <f>SUM('Game by Game Scores'!B84:G84)</f>
        <v>0</v>
      </c>
      <c r="C81" s="35"/>
      <c r="D81" s="35">
        <f t="shared" si="1"/>
        <v>0</v>
      </c>
    </row>
    <row r="82" spans="1:4" x14ac:dyDescent="0.35">
      <c r="A82" s="33" t="s">
        <v>129</v>
      </c>
      <c r="B82" s="35">
        <f>SUM('Game by Game Scores'!B85:G85)</f>
        <v>0</v>
      </c>
      <c r="C82" s="35"/>
      <c r="D82" s="35">
        <f t="shared" si="1"/>
        <v>0</v>
      </c>
    </row>
    <row r="83" spans="1:4" x14ac:dyDescent="0.35">
      <c r="A83" s="33" t="s">
        <v>130</v>
      </c>
      <c r="B83" s="35">
        <f>SUM('Game by Game Scores'!B86:G86)</f>
        <v>0</v>
      </c>
      <c r="C83" s="35"/>
      <c r="D83" s="35">
        <f t="shared" si="1"/>
        <v>0</v>
      </c>
    </row>
    <row r="84" spans="1:4" x14ac:dyDescent="0.35">
      <c r="A84" s="33" t="s">
        <v>131</v>
      </c>
      <c r="B84" s="35">
        <f>SUM('Game by Game Scores'!B87:G87)</f>
        <v>0</v>
      </c>
      <c r="C84" s="35"/>
      <c r="D84" s="35">
        <f t="shared" si="1"/>
        <v>0</v>
      </c>
    </row>
    <row r="85" spans="1:4" x14ac:dyDescent="0.35">
      <c r="A85" s="33" t="s">
        <v>132</v>
      </c>
      <c r="B85" s="35">
        <f>SUM('Game by Game Scores'!B88:G88)</f>
        <v>0</v>
      </c>
      <c r="C85" s="35"/>
      <c r="D85" s="35">
        <f t="shared" si="1"/>
        <v>0</v>
      </c>
    </row>
    <row r="86" spans="1:4" x14ac:dyDescent="0.35">
      <c r="A86" s="33" t="s">
        <v>133</v>
      </c>
      <c r="B86" s="35">
        <f>SUM('Game by Game Scores'!B89:G89)</f>
        <v>0</v>
      </c>
      <c r="C86" s="35"/>
      <c r="D86" s="35">
        <f t="shared" si="1"/>
        <v>0</v>
      </c>
    </row>
    <row r="87" spans="1:4" x14ac:dyDescent="0.35">
      <c r="A87" s="33" t="s">
        <v>134</v>
      </c>
      <c r="B87" s="35">
        <f>SUM('Game by Game Scores'!B90:G90)</f>
        <v>0</v>
      </c>
      <c r="C87" s="35"/>
      <c r="D87" s="35">
        <f t="shared" si="1"/>
        <v>0</v>
      </c>
    </row>
    <row r="88" spans="1:4" x14ac:dyDescent="0.35">
      <c r="A88" s="33" t="s">
        <v>135</v>
      </c>
      <c r="B88" s="35">
        <f>SUM('Game by Game Scores'!B91:G91)</f>
        <v>0</v>
      </c>
      <c r="C88" s="35"/>
      <c r="D88" s="35">
        <f t="shared" si="1"/>
        <v>0</v>
      </c>
    </row>
    <row r="89" spans="1:4" x14ac:dyDescent="0.35">
      <c r="A89" s="33" t="s">
        <v>136</v>
      </c>
      <c r="B89" s="35">
        <f>SUM('Game by Game Scores'!B92:G92)</f>
        <v>0</v>
      </c>
      <c r="C89" s="35"/>
      <c r="D89" s="35">
        <f t="shared" si="1"/>
        <v>0</v>
      </c>
    </row>
    <row r="90" spans="1:4" x14ac:dyDescent="0.35">
      <c r="A90" s="33" t="s">
        <v>137</v>
      </c>
      <c r="B90" s="35">
        <f>SUM('Game by Game Scores'!B93:G93)</f>
        <v>0</v>
      </c>
      <c r="C90" s="35"/>
      <c r="D90" s="35">
        <f t="shared" si="1"/>
        <v>0</v>
      </c>
    </row>
    <row r="91" spans="1:4" x14ac:dyDescent="0.35">
      <c r="A91" s="33" t="s">
        <v>138</v>
      </c>
      <c r="B91" s="35">
        <f>SUM('Game by Game Scores'!B94:G94)</f>
        <v>0</v>
      </c>
      <c r="C91" s="35"/>
      <c r="D91" s="35">
        <f t="shared" si="1"/>
        <v>0</v>
      </c>
    </row>
    <row r="92" spans="1:4" x14ac:dyDescent="0.35">
      <c r="A92" s="33" t="s">
        <v>139</v>
      </c>
      <c r="B92" s="35">
        <f>SUM('Game by Game Scores'!B95:G95)</f>
        <v>0</v>
      </c>
      <c r="C92" s="35"/>
      <c r="D92" s="35">
        <f t="shared" si="1"/>
        <v>0</v>
      </c>
    </row>
    <row r="93" spans="1:4" x14ac:dyDescent="0.35">
      <c r="A93" s="33" t="s">
        <v>141</v>
      </c>
      <c r="B93" s="35">
        <f>SUM('Game by Game Scores'!B96:G96)</f>
        <v>0</v>
      </c>
      <c r="C93" s="35"/>
      <c r="D93" s="35">
        <f t="shared" si="1"/>
        <v>0</v>
      </c>
    </row>
    <row r="94" spans="1:4" x14ac:dyDescent="0.35">
      <c r="A94" s="33" t="s">
        <v>142</v>
      </c>
      <c r="B94" s="35">
        <f>SUM('Game by Game Scores'!B97:G97)</f>
        <v>0</v>
      </c>
      <c r="C94" s="35"/>
      <c r="D94" s="35">
        <f t="shared" si="1"/>
        <v>0</v>
      </c>
    </row>
    <row r="95" spans="1:4" x14ac:dyDescent="0.35">
      <c r="A95" s="33" t="s">
        <v>140</v>
      </c>
      <c r="B95" s="35">
        <f>SUM('Game by Game Scores'!B98:G98)</f>
        <v>0</v>
      </c>
      <c r="C95" s="35"/>
      <c r="D95" s="35">
        <f t="shared" si="1"/>
        <v>0</v>
      </c>
    </row>
    <row r="96" spans="1:4" x14ac:dyDescent="0.35">
      <c r="A96" s="33" t="s">
        <v>143</v>
      </c>
      <c r="B96" s="35">
        <f>SUM('Game by Game Scores'!B99:G99)</f>
        <v>0</v>
      </c>
      <c r="C96" s="35"/>
      <c r="D96" s="35">
        <f t="shared" si="1"/>
        <v>0</v>
      </c>
    </row>
    <row r="97" spans="1:4" x14ac:dyDescent="0.35">
      <c r="A97" s="33" t="s">
        <v>144</v>
      </c>
      <c r="B97" s="35">
        <f>SUM('Game by Game Scores'!B100:G100)</f>
        <v>0</v>
      </c>
      <c r="C97" s="35"/>
      <c r="D97" s="35">
        <f t="shared" si="1"/>
        <v>0</v>
      </c>
    </row>
    <row r="98" spans="1:4" x14ac:dyDescent="0.35">
      <c r="A98" s="33" t="s">
        <v>145</v>
      </c>
      <c r="B98" s="35">
        <f>SUM('Game by Game Scores'!B101:G101)</f>
        <v>0</v>
      </c>
      <c r="C98" s="35"/>
      <c r="D98" s="35">
        <f t="shared" si="1"/>
        <v>0</v>
      </c>
    </row>
    <row r="99" spans="1:4" x14ac:dyDescent="0.35">
      <c r="A99" s="33" t="s">
        <v>148</v>
      </c>
      <c r="B99" s="35">
        <f>SUM('Game by Game Scores'!B102:G102)</f>
        <v>0</v>
      </c>
      <c r="C99" s="35"/>
      <c r="D99" s="35">
        <f t="shared" si="1"/>
        <v>0</v>
      </c>
    </row>
    <row r="100" spans="1:4" x14ac:dyDescent="0.35">
      <c r="A100" s="33" t="s">
        <v>149</v>
      </c>
      <c r="B100" s="35">
        <f>SUM('Game by Game Scores'!B103:G103)</f>
        <v>0</v>
      </c>
      <c r="C100" s="35"/>
      <c r="D100" s="35">
        <f t="shared" si="1"/>
        <v>0</v>
      </c>
    </row>
    <row r="101" spans="1:4" x14ac:dyDescent="0.35">
      <c r="A101" s="33" t="s">
        <v>146</v>
      </c>
      <c r="B101" s="35">
        <f>SUM('Game by Game Scores'!B104:G104)</f>
        <v>0</v>
      </c>
      <c r="C101" s="35"/>
      <c r="D101" s="35">
        <f t="shared" si="1"/>
        <v>0</v>
      </c>
    </row>
    <row r="102" spans="1:4" x14ac:dyDescent="0.35">
      <c r="A102" s="33" t="s">
        <v>150</v>
      </c>
      <c r="B102" s="35">
        <f>SUM('Game by Game Scores'!B105:G105)</f>
        <v>0</v>
      </c>
      <c r="C102" s="35"/>
      <c r="D102" s="35">
        <f t="shared" si="1"/>
        <v>0</v>
      </c>
    </row>
    <row r="103" spans="1:4" x14ac:dyDescent="0.35">
      <c r="A103" s="33" t="s">
        <v>151</v>
      </c>
      <c r="B103" s="35">
        <f>SUM('Game by Game Scores'!B106:G106)</f>
        <v>0</v>
      </c>
      <c r="C103" s="35"/>
      <c r="D103" s="35">
        <f t="shared" si="1"/>
        <v>0</v>
      </c>
    </row>
    <row r="104" spans="1:4" x14ac:dyDescent="0.35">
      <c r="A104" s="33" t="s">
        <v>147</v>
      </c>
      <c r="B104" s="35">
        <f>SUM('Game by Game Scores'!B107:G107)</f>
        <v>0</v>
      </c>
      <c r="C104" s="35"/>
      <c r="D104" s="35">
        <f t="shared" si="1"/>
        <v>0</v>
      </c>
    </row>
    <row r="105" spans="1:4" x14ac:dyDescent="0.35">
      <c r="A105" s="33" t="s">
        <v>152</v>
      </c>
      <c r="B105" s="35">
        <f>SUM('Game by Game Scores'!B108:G108)</f>
        <v>0</v>
      </c>
      <c r="C105" s="35"/>
      <c r="D105" s="35">
        <f t="shared" si="1"/>
        <v>0</v>
      </c>
    </row>
    <row r="106" spans="1:4" x14ac:dyDescent="0.35">
      <c r="A106" s="33" t="s">
        <v>153</v>
      </c>
      <c r="B106" s="35">
        <f>SUM('Game by Game Scores'!B109:G109)</f>
        <v>0</v>
      </c>
      <c r="C106" s="35"/>
      <c r="D106" s="35">
        <f t="shared" si="1"/>
        <v>0</v>
      </c>
    </row>
    <row r="107" spans="1:4" x14ac:dyDescent="0.35">
      <c r="A107" s="33" t="s">
        <v>154</v>
      </c>
      <c r="B107" s="35">
        <f>SUM('Game by Game Scores'!B110:G110)</f>
        <v>0</v>
      </c>
      <c r="C107" s="35"/>
      <c r="D107" s="35">
        <f t="shared" si="1"/>
        <v>0</v>
      </c>
    </row>
    <row r="108" spans="1:4" x14ac:dyDescent="0.35">
      <c r="A108" s="33" t="s">
        <v>155</v>
      </c>
      <c r="B108" s="35">
        <f>SUM('Game by Game Scores'!B111:G111)</f>
        <v>0</v>
      </c>
      <c r="C108" s="35"/>
      <c r="D108" s="35">
        <f t="shared" si="1"/>
        <v>0</v>
      </c>
    </row>
    <row r="109" spans="1:4" x14ac:dyDescent="0.35">
      <c r="A109" s="33" t="s">
        <v>156</v>
      </c>
      <c r="B109" s="35">
        <f>SUM('Game by Game Scores'!B112:G112)</f>
        <v>0</v>
      </c>
      <c r="C109" s="35"/>
      <c r="D109" s="35">
        <f t="shared" si="1"/>
        <v>0</v>
      </c>
    </row>
  </sheetData>
  <mergeCells count="2">
    <mergeCell ref="H3:I3"/>
    <mergeCell ref="H4:I4"/>
  </mergeCells>
  <pageMargins left="0.7" right="0.7" top="0.75" bottom="0.75" header="0.3" footer="0.3"/>
  <headerFooter>
    <oddHeader>&amp;L&amp;"Aptos"&amp;12&amp;K03C03C Public&amp;1#_x000D_</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47CE3-925B-42F1-8318-52BF48F821BC}">
  <dimension ref="A1:G37"/>
  <sheetViews>
    <sheetView workbookViewId="0">
      <pane ySplit="1" topLeftCell="A2" activePane="bottomLeft" state="frozen"/>
      <selection pane="bottomLeft" activeCell="F4" sqref="F4"/>
    </sheetView>
  </sheetViews>
  <sheetFormatPr defaultRowHeight="14.5" x14ac:dyDescent="0.35"/>
  <cols>
    <col min="1" max="1" width="10.453125" customWidth="1"/>
    <col min="2" max="7" width="10.7265625" customWidth="1"/>
  </cols>
  <sheetData>
    <row r="1" spans="1:7" x14ac:dyDescent="0.35">
      <c r="A1" s="1"/>
      <c r="B1" s="15" t="s">
        <v>0</v>
      </c>
      <c r="C1" s="16" t="s">
        <v>1</v>
      </c>
      <c r="D1" s="17" t="s">
        <v>2</v>
      </c>
      <c r="E1" s="24" t="s">
        <v>3</v>
      </c>
      <c r="F1" s="23" t="s">
        <v>4</v>
      </c>
      <c r="G1" s="18" t="s">
        <v>5</v>
      </c>
    </row>
    <row r="2" spans="1:7" x14ac:dyDescent="0.35">
      <c r="A2" s="5" t="s">
        <v>6</v>
      </c>
      <c r="B2" s="8">
        <v>3</v>
      </c>
      <c r="C2" s="9">
        <v>3</v>
      </c>
      <c r="D2" s="10">
        <v>1</v>
      </c>
      <c r="E2" s="21">
        <v>1</v>
      </c>
      <c r="F2" s="22">
        <v>2</v>
      </c>
      <c r="G2" s="177"/>
    </row>
    <row r="3" spans="1:7" x14ac:dyDescent="0.35">
      <c r="A3" s="5" t="s">
        <v>7</v>
      </c>
      <c r="B3" s="8">
        <v>2</v>
      </c>
      <c r="C3" s="9">
        <v>0</v>
      </c>
      <c r="D3" s="10">
        <v>2</v>
      </c>
      <c r="E3" s="21">
        <v>1</v>
      </c>
      <c r="F3" s="22">
        <v>2</v>
      </c>
      <c r="G3" s="177"/>
    </row>
    <row r="4" spans="1:7" x14ac:dyDescent="0.35">
      <c r="A4" s="5" t="s">
        <v>8</v>
      </c>
      <c r="B4" s="177"/>
      <c r="C4" s="9">
        <v>0</v>
      </c>
      <c r="D4" s="10">
        <v>3</v>
      </c>
      <c r="E4" s="21">
        <v>2</v>
      </c>
      <c r="F4" s="177"/>
      <c r="G4" s="6">
        <v>1</v>
      </c>
    </row>
    <row r="5" spans="1:7" x14ac:dyDescent="0.35">
      <c r="A5" s="5" t="s">
        <v>9</v>
      </c>
      <c r="B5" s="8"/>
      <c r="C5" s="9"/>
      <c r="D5" s="10"/>
      <c r="E5" s="21"/>
      <c r="F5" s="22"/>
      <c r="G5" s="6"/>
    </row>
    <row r="6" spans="1:7" x14ac:dyDescent="0.35">
      <c r="A6" s="5" t="s">
        <v>10</v>
      </c>
      <c r="B6" s="8"/>
      <c r="C6" s="9"/>
      <c r="D6" s="10"/>
      <c r="E6" s="21"/>
      <c r="F6" s="22"/>
      <c r="G6" s="6"/>
    </row>
    <row r="7" spans="1:7" x14ac:dyDescent="0.35">
      <c r="A7" s="5" t="s">
        <v>11</v>
      </c>
      <c r="B7" s="8"/>
      <c r="C7" s="9"/>
      <c r="D7" s="10"/>
      <c r="E7" s="21"/>
      <c r="F7" s="22"/>
      <c r="G7" s="6"/>
    </row>
    <row r="8" spans="1:7" x14ac:dyDescent="0.35">
      <c r="A8" s="5" t="s">
        <v>12</v>
      </c>
      <c r="B8" s="8"/>
      <c r="C8" s="9"/>
      <c r="D8" s="10"/>
      <c r="E8" s="21"/>
      <c r="F8" s="22"/>
      <c r="G8" s="6"/>
    </row>
    <row r="9" spans="1:7" x14ac:dyDescent="0.35">
      <c r="A9" s="5" t="s">
        <v>13</v>
      </c>
      <c r="B9" s="8"/>
      <c r="C9" s="9"/>
      <c r="D9" s="10"/>
      <c r="E9" s="21"/>
      <c r="F9" s="22"/>
      <c r="G9" s="6"/>
    </row>
    <row r="10" spans="1:7" x14ac:dyDescent="0.35">
      <c r="A10" s="5" t="s">
        <v>14</v>
      </c>
      <c r="B10" s="8"/>
      <c r="C10" s="9"/>
      <c r="D10" s="10"/>
      <c r="E10" s="21"/>
      <c r="F10" s="22"/>
      <c r="G10" s="6"/>
    </row>
    <row r="11" spans="1:7" x14ac:dyDescent="0.35">
      <c r="A11" s="5" t="s">
        <v>15</v>
      </c>
      <c r="B11" s="8"/>
      <c r="C11" s="9"/>
      <c r="D11" s="10"/>
      <c r="E11" s="21"/>
      <c r="F11" s="22"/>
      <c r="G11" s="6"/>
    </row>
    <row r="12" spans="1:7" x14ac:dyDescent="0.35">
      <c r="A12" s="5" t="s">
        <v>16</v>
      </c>
      <c r="B12" s="8"/>
      <c r="C12" s="9"/>
      <c r="D12" s="10"/>
      <c r="E12" s="21"/>
      <c r="F12" s="22"/>
      <c r="G12" s="6"/>
    </row>
    <row r="13" spans="1:7" x14ac:dyDescent="0.35">
      <c r="A13" s="5" t="s">
        <v>17</v>
      </c>
      <c r="B13" s="8"/>
      <c r="C13" s="9"/>
      <c r="D13" s="10"/>
      <c r="E13" s="21"/>
      <c r="F13" s="22"/>
      <c r="G13" s="6"/>
    </row>
    <row r="14" spans="1:7" x14ac:dyDescent="0.35">
      <c r="A14" s="5" t="s">
        <v>18</v>
      </c>
      <c r="B14" s="8"/>
      <c r="C14" s="9"/>
      <c r="D14" s="10"/>
      <c r="E14" s="21"/>
      <c r="F14" s="22"/>
      <c r="G14" s="6"/>
    </row>
    <row r="15" spans="1:7" x14ac:dyDescent="0.35">
      <c r="A15" s="5" t="s">
        <v>19</v>
      </c>
      <c r="B15" s="8"/>
      <c r="C15" s="9"/>
      <c r="D15" s="10"/>
      <c r="E15" s="21"/>
      <c r="F15" s="22"/>
      <c r="G15" s="6"/>
    </row>
    <row r="16" spans="1:7" x14ac:dyDescent="0.35">
      <c r="A16" s="5" t="s">
        <v>20</v>
      </c>
      <c r="B16" s="8"/>
      <c r="C16" s="9"/>
      <c r="D16" s="10"/>
      <c r="E16" s="21"/>
      <c r="F16" s="22"/>
      <c r="G16" s="6"/>
    </row>
    <row r="17" spans="1:7" x14ac:dyDescent="0.35">
      <c r="A17" s="5" t="s">
        <v>21</v>
      </c>
      <c r="B17" s="8"/>
      <c r="C17" s="9"/>
      <c r="D17" s="10"/>
      <c r="E17" s="21"/>
      <c r="F17" s="22"/>
      <c r="G17" s="6"/>
    </row>
    <row r="18" spans="1:7" x14ac:dyDescent="0.35">
      <c r="A18" s="5" t="s">
        <v>22</v>
      </c>
      <c r="B18" s="8"/>
      <c r="C18" s="9"/>
      <c r="D18" s="10"/>
      <c r="E18" s="21"/>
      <c r="F18" s="22"/>
      <c r="G18" s="6"/>
    </row>
    <row r="19" spans="1:7" x14ac:dyDescent="0.35">
      <c r="A19" s="5" t="s">
        <v>23</v>
      </c>
      <c r="B19" s="8"/>
      <c r="C19" s="9"/>
      <c r="D19" s="10"/>
      <c r="E19" s="21"/>
      <c r="F19" s="22"/>
      <c r="G19" s="6"/>
    </row>
    <row r="20" spans="1:7" x14ac:dyDescent="0.35">
      <c r="A20" s="5" t="s">
        <v>24</v>
      </c>
      <c r="B20" s="8"/>
      <c r="C20" s="9"/>
      <c r="D20" s="10"/>
      <c r="E20" s="21"/>
      <c r="F20" s="22"/>
      <c r="G20" s="6"/>
    </row>
    <row r="21" spans="1:7" x14ac:dyDescent="0.35">
      <c r="A21" s="5" t="s">
        <v>25</v>
      </c>
      <c r="B21" s="8"/>
      <c r="C21" s="9"/>
      <c r="D21" s="10"/>
      <c r="E21" s="21"/>
      <c r="F21" s="22"/>
      <c r="G21" s="6"/>
    </row>
    <row r="22" spans="1:7" x14ac:dyDescent="0.35">
      <c r="A22" s="5" t="s">
        <v>26</v>
      </c>
      <c r="B22" s="8"/>
      <c r="C22" s="9"/>
      <c r="D22" s="10"/>
      <c r="E22" s="21"/>
      <c r="F22" s="22"/>
      <c r="G22" s="6"/>
    </row>
    <row r="23" spans="1:7" x14ac:dyDescent="0.35">
      <c r="A23" s="5" t="s">
        <v>27</v>
      </c>
      <c r="B23" s="8"/>
      <c r="C23" s="9"/>
      <c r="D23" s="10"/>
      <c r="E23" s="21"/>
      <c r="F23" s="22"/>
      <c r="G23" s="6"/>
    </row>
    <row r="24" spans="1:7" x14ac:dyDescent="0.35">
      <c r="A24" s="5" t="s">
        <v>28</v>
      </c>
      <c r="B24" s="8"/>
      <c r="C24" s="9"/>
      <c r="D24" s="10"/>
      <c r="E24" s="21"/>
      <c r="F24" s="22"/>
      <c r="G24" s="6"/>
    </row>
    <row r="25" spans="1:7" x14ac:dyDescent="0.35">
      <c r="A25" s="5" t="s">
        <v>29</v>
      </c>
      <c r="B25" s="8"/>
      <c r="C25" s="9"/>
      <c r="D25" s="10"/>
      <c r="E25" s="21"/>
      <c r="F25" s="22"/>
      <c r="G25" s="6"/>
    </row>
    <row r="26" spans="1:7" x14ac:dyDescent="0.35">
      <c r="A26" s="5" t="s">
        <v>30</v>
      </c>
      <c r="B26" s="8"/>
      <c r="C26" s="9"/>
      <c r="D26" s="10"/>
      <c r="E26" s="21"/>
      <c r="F26" s="22"/>
      <c r="G26" s="6"/>
    </row>
    <row r="27" spans="1:7" x14ac:dyDescent="0.35">
      <c r="A27" s="5" t="s">
        <v>31</v>
      </c>
      <c r="B27" s="8"/>
      <c r="C27" s="9"/>
      <c r="D27" s="10"/>
      <c r="E27" s="21"/>
      <c r="F27" s="22"/>
      <c r="G27" s="6"/>
    </row>
    <row r="28" spans="1:7" x14ac:dyDescent="0.35">
      <c r="A28" s="5" t="s">
        <v>32</v>
      </c>
      <c r="B28" s="8"/>
      <c r="C28" s="9"/>
      <c r="D28" s="10"/>
      <c r="E28" s="21"/>
      <c r="F28" s="22"/>
      <c r="G28" s="6"/>
    </row>
    <row r="29" spans="1:7" x14ac:dyDescent="0.35">
      <c r="A29" s="5" t="s">
        <v>33</v>
      </c>
      <c r="B29" s="8"/>
      <c r="C29" s="9"/>
      <c r="D29" s="10"/>
      <c r="E29" s="21"/>
      <c r="F29" s="22"/>
      <c r="G29" s="6"/>
    </row>
    <row r="30" spans="1:7" x14ac:dyDescent="0.35">
      <c r="A30" s="5" t="s">
        <v>34</v>
      </c>
      <c r="B30" s="8"/>
      <c r="C30" s="9"/>
      <c r="D30" s="10"/>
      <c r="E30" s="21"/>
      <c r="F30" s="22"/>
      <c r="G30" s="6"/>
    </row>
    <row r="31" spans="1:7" x14ac:dyDescent="0.35">
      <c r="A31" s="5" t="s">
        <v>35</v>
      </c>
      <c r="B31" s="8"/>
      <c r="C31" s="9"/>
      <c r="D31" s="10"/>
      <c r="E31" s="21"/>
      <c r="F31" s="22"/>
      <c r="G31" s="6"/>
    </row>
    <row r="32" spans="1:7" x14ac:dyDescent="0.35">
      <c r="A32" s="5" t="s">
        <v>36</v>
      </c>
      <c r="B32" s="8"/>
      <c r="C32" s="9"/>
      <c r="D32" s="10"/>
      <c r="E32" s="21"/>
      <c r="F32" s="22"/>
      <c r="G32" s="6"/>
    </row>
    <row r="33" spans="1:7" x14ac:dyDescent="0.35">
      <c r="A33" s="5" t="s">
        <v>37</v>
      </c>
      <c r="B33" s="8"/>
      <c r="C33" s="9"/>
      <c r="D33" s="10"/>
      <c r="E33" s="21"/>
      <c r="F33" s="22"/>
      <c r="G33" s="6"/>
    </row>
    <row r="34" spans="1:7" x14ac:dyDescent="0.35">
      <c r="A34" s="5" t="s">
        <v>38</v>
      </c>
      <c r="B34" s="8"/>
      <c r="C34" s="9"/>
      <c r="D34" s="10"/>
      <c r="E34" s="21"/>
      <c r="F34" s="22"/>
      <c r="G34" s="6"/>
    </row>
    <row r="35" spans="1:7" x14ac:dyDescent="0.35">
      <c r="A35" s="5" t="s">
        <v>39</v>
      </c>
      <c r="B35" s="8"/>
      <c r="C35" s="9"/>
      <c r="D35" s="10"/>
      <c r="E35" s="21"/>
      <c r="F35" s="22"/>
      <c r="G35" s="6"/>
    </row>
    <row r="36" spans="1:7" x14ac:dyDescent="0.35">
      <c r="A36" s="5" t="s">
        <v>40</v>
      </c>
      <c r="B36" s="8"/>
      <c r="C36" s="9"/>
      <c r="D36" s="10"/>
      <c r="E36" s="21"/>
      <c r="F36" s="22"/>
      <c r="G36" s="6"/>
    </row>
    <row r="37" spans="1:7" x14ac:dyDescent="0.35">
      <c r="A37" s="5" t="s">
        <v>41</v>
      </c>
      <c r="B37" s="8"/>
      <c r="C37" s="9"/>
      <c r="D37" s="10"/>
      <c r="E37" s="21"/>
      <c r="F37" s="22"/>
      <c r="G37" s="6"/>
    </row>
  </sheetData>
  <pageMargins left="0.7" right="0.7" top="0.75" bottom="0.75" header="0.3" footer="0.3"/>
  <headerFooter>
    <oddHeader>&amp;L&amp;"Aptos"&amp;12&amp;K03C03C Public&amp;1#_x000D_</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27A8-8475-4781-878F-A8EFC54827A0}">
  <dimension ref="A1:U37"/>
  <sheetViews>
    <sheetView workbookViewId="0">
      <selection activeCell="A4" sqref="A4"/>
    </sheetView>
  </sheetViews>
  <sheetFormatPr defaultRowHeight="14.5" x14ac:dyDescent="0.35"/>
  <cols>
    <col min="2" max="7" width="14.7265625" customWidth="1"/>
    <col min="11" max="11" width="9.1796875" customWidth="1"/>
    <col min="12" max="17" width="14.7265625" customWidth="1"/>
  </cols>
  <sheetData>
    <row r="1" spans="1:21" x14ac:dyDescent="0.35">
      <c r="A1" s="1"/>
      <c r="B1" s="15" t="s">
        <v>0</v>
      </c>
      <c r="C1" s="16" t="s">
        <v>1</v>
      </c>
      <c r="D1" s="17" t="s">
        <v>2</v>
      </c>
      <c r="E1" s="24" t="s">
        <v>3</v>
      </c>
      <c r="F1" s="23" t="s">
        <v>4</v>
      </c>
      <c r="G1" s="18" t="s">
        <v>5</v>
      </c>
      <c r="K1" s="1"/>
      <c r="L1" s="15" t="s">
        <v>0</v>
      </c>
      <c r="M1" s="16" t="s">
        <v>1</v>
      </c>
      <c r="N1" s="17" t="s">
        <v>2</v>
      </c>
      <c r="O1" s="24" t="s">
        <v>3</v>
      </c>
      <c r="P1" s="23" t="s">
        <v>4</v>
      </c>
      <c r="Q1" s="18" t="s">
        <v>5</v>
      </c>
      <c r="R1" s="2"/>
      <c r="S1" s="2"/>
      <c r="T1" s="2"/>
      <c r="U1" s="2"/>
    </row>
    <row r="2" spans="1:21" ht="15" thickBot="1" x14ac:dyDescent="0.4">
      <c r="A2" s="5" t="s">
        <v>6</v>
      </c>
      <c r="B2" s="8">
        <v>3</v>
      </c>
      <c r="C2" s="9">
        <v>3</v>
      </c>
      <c r="D2" s="10">
        <v>1</v>
      </c>
      <c r="E2" s="21">
        <v>1</v>
      </c>
      <c r="F2" s="22">
        <v>2</v>
      </c>
      <c r="G2" s="177"/>
      <c r="K2" s="5" t="s">
        <v>6</v>
      </c>
      <c r="L2" s="8">
        <v>1</v>
      </c>
      <c r="M2" s="9">
        <v>1</v>
      </c>
      <c r="N2" s="10">
        <v>1</v>
      </c>
      <c r="O2" s="21">
        <v>2</v>
      </c>
      <c r="P2" s="22">
        <v>2</v>
      </c>
      <c r="Q2" s="177"/>
      <c r="R2" s="2"/>
      <c r="S2" s="2"/>
      <c r="T2" s="2"/>
      <c r="U2" s="2"/>
    </row>
    <row r="3" spans="1:21" x14ac:dyDescent="0.35">
      <c r="A3" s="5" t="s">
        <v>7</v>
      </c>
      <c r="B3" s="8">
        <v>2</v>
      </c>
      <c r="C3" s="9">
        <v>2</v>
      </c>
      <c r="D3" s="10">
        <v>3</v>
      </c>
      <c r="E3" s="21">
        <v>1</v>
      </c>
      <c r="F3" s="22">
        <v>0</v>
      </c>
      <c r="G3" s="177"/>
      <c r="K3" s="5" t="s">
        <v>7</v>
      </c>
      <c r="L3" s="8">
        <v>1</v>
      </c>
      <c r="M3" s="9">
        <v>3</v>
      </c>
      <c r="N3" s="10">
        <v>2</v>
      </c>
      <c r="O3" s="21">
        <v>1</v>
      </c>
      <c r="P3" s="22">
        <v>0</v>
      </c>
      <c r="Q3" s="177"/>
      <c r="R3" s="2"/>
      <c r="S3" s="250" t="s">
        <v>180</v>
      </c>
      <c r="T3" s="251"/>
      <c r="U3" s="2"/>
    </row>
    <row r="4" spans="1:21" x14ac:dyDescent="0.35">
      <c r="A4" s="5" t="s">
        <v>8</v>
      </c>
      <c r="B4" s="177"/>
      <c r="C4" s="9">
        <v>1</v>
      </c>
      <c r="D4" s="10">
        <v>2</v>
      </c>
      <c r="E4" s="21">
        <v>1</v>
      </c>
      <c r="F4" s="177"/>
      <c r="G4" s="6">
        <v>1</v>
      </c>
      <c r="K4" s="5" t="s">
        <v>8</v>
      </c>
      <c r="L4" s="177"/>
      <c r="M4" s="9">
        <v>2</v>
      </c>
      <c r="N4" s="10">
        <v>0</v>
      </c>
      <c r="O4" s="21">
        <v>0</v>
      </c>
      <c r="P4" s="177"/>
      <c r="Q4" s="6">
        <v>3</v>
      </c>
      <c r="R4" s="2"/>
      <c r="S4" s="252"/>
      <c r="T4" s="253"/>
      <c r="U4" s="2"/>
    </row>
    <row r="5" spans="1:21" ht="15" thickBot="1" x14ac:dyDescent="0.4">
      <c r="A5" s="5" t="s">
        <v>9</v>
      </c>
      <c r="B5" s="8"/>
      <c r="C5" s="9"/>
      <c r="D5" s="10"/>
      <c r="E5" s="21"/>
      <c r="F5" s="22"/>
      <c r="G5" s="6"/>
      <c r="K5" s="5" t="s">
        <v>9</v>
      </c>
      <c r="L5" s="8"/>
      <c r="M5" s="9"/>
      <c r="N5" s="10"/>
      <c r="O5" s="21"/>
      <c r="P5" s="22"/>
      <c r="Q5" s="6"/>
      <c r="R5" s="2"/>
      <c r="S5" s="254" t="s">
        <v>181</v>
      </c>
      <c r="T5" s="255"/>
      <c r="U5" s="2"/>
    </row>
    <row r="6" spans="1:21" x14ac:dyDescent="0.35">
      <c r="A6" s="5" t="s">
        <v>10</v>
      </c>
      <c r="B6" s="8"/>
      <c r="C6" s="9"/>
      <c r="D6" s="10"/>
      <c r="E6" s="21"/>
      <c r="F6" s="22"/>
      <c r="G6" s="6"/>
      <c r="K6" s="5" t="s">
        <v>10</v>
      </c>
      <c r="L6" s="8"/>
      <c r="M6" s="9"/>
      <c r="N6" s="10"/>
      <c r="O6" s="21"/>
      <c r="P6" s="22"/>
      <c r="Q6" s="6"/>
      <c r="R6" s="2"/>
      <c r="S6" s="2"/>
      <c r="T6" s="2"/>
      <c r="U6" s="2"/>
    </row>
    <row r="7" spans="1:21" x14ac:dyDescent="0.35">
      <c r="A7" s="5" t="s">
        <v>11</v>
      </c>
      <c r="B7" s="8"/>
      <c r="C7" s="9"/>
      <c r="D7" s="10"/>
      <c r="E7" s="21"/>
      <c r="F7" s="22"/>
      <c r="G7" s="6"/>
      <c r="K7" s="5" t="s">
        <v>11</v>
      </c>
      <c r="L7" s="8"/>
      <c r="M7" s="9"/>
      <c r="N7" s="10"/>
      <c r="O7" s="21"/>
      <c r="P7" s="22"/>
      <c r="Q7" s="6"/>
      <c r="R7" s="2"/>
      <c r="S7" s="2"/>
      <c r="T7" s="2"/>
      <c r="U7" s="2"/>
    </row>
    <row r="8" spans="1:21" x14ac:dyDescent="0.35">
      <c r="A8" s="5" t="s">
        <v>12</v>
      </c>
      <c r="B8" s="8"/>
      <c r="C8" s="9"/>
      <c r="D8" s="10"/>
      <c r="E8" s="21"/>
      <c r="F8" s="22"/>
      <c r="G8" s="6"/>
      <c r="K8" s="5" t="s">
        <v>12</v>
      </c>
      <c r="L8" s="8"/>
      <c r="M8" s="9"/>
      <c r="N8" s="10"/>
      <c r="O8" s="21"/>
      <c r="P8" s="22"/>
      <c r="Q8" s="6"/>
    </row>
    <row r="9" spans="1:21" x14ac:dyDescent="0.35">
      <c r="A9" s="5" t="s">
        <v>13</v>
      </c>
      <c r="B9" s="8"/>
      <c r="C9" s="9"/>
      <c r="D9" s="10"/>
      <c r="E9" s="21"/>
      <c r="F9" s="22"/>
      <c r="G9" s="6"/>
      <c r="K9" s="5" t="s">
        <v>13</v>
      </c>
      <c r="L9" s="8"/>
      <c r="M9" s="9"/>
      <c r="N9" s="10"/>
      <c r="O9" s="21"/>
      <c r="P9" s="22"/>
      <c r="Q9" s="6"/>
    </row>
    <row r="10" spans="1:21" x14ac:dyDescent="0.35">
      <c r="A10" s="5" t="s">
        <v>14</v>
      </c>
      <c r="B10" s="8"/>
      <c r="C10" s="9"/>
      <c r="D10" s="10"/>
      <c r="E10" s="21"/>
      <c r="F10" s="22"/>
      <c r="G10" s="6"/>
      <c r="K10" s="5" t="s">
        <v>14</v>
      </c>
      <c r="L10" s="8"/>
      <c r="M10" s="9"/>
      <c r="N10" s="10"/>
      <c r="O10" s="21"/>
      <c r="P10" s="22"/>
      <c r="Q10" s="6"/>
    </row>
    <row r="11" spans="1:21" x14ac:dyDescent="0.35">
      <c r="A11" s="5" t="s">
        <v>15</v>
      </c>
      <c r="B11" s="8"/>
      <c r="C11" s="9"/>
      <c r="D11" s="10"/>
      <c r="E11" s="21"/>
      <c r="F11" s="22"/>
      <c r="G11" s="6"/>
      <c r="K11" s="5" t="s">
        <v>15</v>
      </c>
      <c r="L11" s="8"/>
      <c r="M11" s="9"/>
      <c r="N11" s="10"/>
      <c r="O11" s="21"/>
      <c r="P11" s="22"/>
      <c r="Q11" s="6"/>
    </row>
    <row r="12" spans="1:21" x14ac:dyDescent="0.35">
      <c r="A12" s="5" t="s">
        <v>16</v>
      </c>
      <c r="B12" s="8"/>
      <c r="C12" s="9"/>
      <c r="D12" s="10"/>
      <c r="E12" s="21"/>
      <c r="F12" s="22"/>
      <c r="G12" s="6"/>
      <c r="K12" s="5" t="s">
        <v>16</v>
      </c>
      <c r="L12" s="8"/>
      <c r="M12" s="9"/>
      <c r="N12" s="10"/>
      <c r="O12" s="21"/>
      <c r="P12" s="22"/>
      <c r="Q12" s="6"/>
    </row>
    <row r="13" spans="1:21" x14ac:dyDescent="0.35">
      <c r="A13" s="5" t="s">
        <v>17</v>
      </c>
      <c r="B13" s="8"/>
      <c r="C13" s="9"/>
      <c r="D13" s="10"/>
      <c r="E13" s="21"/>
      <c r="F13" s="22"/>
      <c r="G13" s="6"/>
      <c r="K13" s="5" t="s">
        <v>17</v>
      </c>
      <c r="L13" s="8"/>
      <c r="M13" s="9"/>
      <c r="N13" s="10"/>
      <c r="O13" s="21"/>
      <c r="P13" s="22"/>
      <c r="Q13" s="6"/>
    </row>
    <row r="14" spans="1:21" x14ac:dyDescent="0.35">
      <c r="A14" s="5" t="s">
        <v>18</v>
      </c>
      <c r="B14" s="8"/>
      <c r="C14" s="9"/>
      <c r="D14" s="10"/>
      <c r="E14" s="21"/>
      <c r="F14" s="22"/>
      <c r="G14" s="6"/>
      <c r="K14" s="5" t="s">
        <v>18</v>
      </c>
      <c r="L14" s="8"/>
      <c r="M14" s="9"/>
      <c r="N14" s="10"/>
      <c r="O14" s="21"/>
      <c r="P14" s="22"/>
      <c r="Q14" s="6"/>
    </row>
    <row r="15" spans="1:21" x14ac:dyDescent="0.35">
      <c r="A15" s="5" t="s">
        <v>19</v>
      </c>
      <c r="B15" s="8"/>
      <c r="C15" s="9"/>
      <c r="D15" s="10"/>
      <c r="E15" s="21"/>
      <c r="F15" s="22"/>
      <c r="G15" s="6"/>
      <c r="K15" s="5" t="s">
        <v>19</v>
      </c>
      <c r="L15" s="8"/>
      <c r="M15" s="9"/>
      <c r="N15" s="10"/>
      <c r="O15" s="21"/>
      <c r="P15" s="22"/>
      <c r="Q15" s="6"/>
    </row>
    <row r="16" spans="1:21" x14ac:dyDescent="0.35">
      <c r="A16" s="5" t="s">
        <v>20</v>
      </c>
      <c r="B16" s="8"/>
      <c r="C16" s="9"/>
      <c r="D16" s="10"/>
      <c r="E16" s="21"/>
      <c r="F16" s="22"/>
      <c r="G16" s="6"/>
      <c r="K16" s="5" t="s">
        <v>20</v>
      </c>
      <c r="L16" s="8"/>
      <c r="M16" s="9"/>
      <c r="N16" s="10"/>
      <c r="O16" s="21"/>
      <c r="P16" s="22"/>
      <c r="Q16" s="6"/>
    </row>
    <row r="17" spans="1:17" x14ac:dyDescent="0.35">
      <c r="A17" s="5" t="s">
        <v>21</v>
      </c>
      <c r="B17" s="8"/>
      <c r="C17" s="9"/>
      <c r="D17" s="10"/>
      <c r="E17" s="21"/>
      <c r="F17" s="22"/>
      <c r="G17" s="6"/>
      <c r="K17" s="5" t="s">
        <v>21</v>
      </c>
      <c r="L17" s="8"/>
      <c r="M17" s="9"/>
      <c r="N17" s="10"/>
      <c r="O17" s="21"/>
      <c r="P17" s="22"/>
      <c r="Q17" s="6"/>
    </row>
    <row r="18" spans="1:17" x14ac:dyDescent="0.35">
      <c r="A18" s="5" t="s">
        <v>22</v>
      </c>
      <c r="B18" s="8"/>
      <c r="C18" s="9"/>
      <c r="D18" s="10"/>
      <c r="E18" s="21"/>
      <c r="F18" s="22"/>
      <c r="G18" s="6"/>
      <c r="K18" s="5" t="s">
        <v>22</v>
      </c>
      <c r="L18" s="8"/>
      <c r="M18" s="9"/>
      <c r="N18" s="10"/>
      <c r="O18" s="21"/>
      <c r="P18" s="22"/>
      <c r="Q18" s="6"/>
    </row>
    <row r="19" spans="1:17" x14ac:dyDescent="0.35">
      <c r="A19" s="5" t="s">
        <v>23</v>
      </c>
      <c r="B19" s="8"/>
      <c r="C19" s="9"/>
      <c r="D19" s="10"/>
      <c r="E19" s="21"/>
      <c r="F19" s="22"/>
      <c r="G19" s="6"/>
      <c r="K19" s="5" t="s">
        <v>23</v>
      </c>
      <c r="L19" s="8"/>
      <c r="M19" s="9"/>
      <c r="N19" s="10"/>
      <c r="O19" s="21"/>
      <c r="P19" s="22"/>
      <c r="Q19" s="6"/>
    </row>
    <row r="20" spans="1:17" x14ac:dyDescent="0.35">
      <c r="A20" s="5" t="s">
        <v>24</v>
      </c>
      <c r="B20" s="8"/>
      <c r="C20" s="9"/>
      <c r="D20" s="10"/>
      <c r="E20" s="21"/>
      <c r="F20" s="22"/>
      <c r="G20" s="6"/>
      <c r="K20" s="5" t="s">
        <v>24</v>
      </c>
      <c r="L20" s="8"/>
      <c r="M20" s="9"/>
      <c r="N20" s="10"/>
      <c r="O20" s="21"/>
      <c r="P20" s="22"/>
      <c r="Q20" s="6"/>
    </row>
    <row r="21" spans="1:17" x14ac:dyDescent="0.35">
      <c r="A21" s="5" t="s">
        <v>25</v>
      </c>
      <c r="B21" s="8"/>
      <c r="C21" s="9"/>
      <c r="D21" s="10"/>
      <c r="E21" s="21"/>
      <c r="F21" s="22"/>
      <c r="G21" s="6"/>
      <c r="K21" s="5" t="s">
        <v>25</v>
      </c>
      <c r="L21" s="8"/>
      <c r="M21" s="9"/>
      <c r="N21" s="10"/>
      <c r="O21" s="21"/>
      <c r="P21" s="22"/>
      <c r="Q21" s="6"/>
    </row>
    <row r="22" spans="1:17" x14ac:dyDescent="0.35">
      <c r="A22" s="5" t="s">
        <v>26</v>
      </c>
      <c r="B22" s="8"/>
      <c r="C22" s="9"/>
      <c r="D22" s="10"/>
      <c r="E22" s="21"/>
      <c r="F22" s="22"/>
      <c r="G22" s="6"/>
      <c r="K22" s="5" t="s">
        <v>26</v>
      </c>
      <c r="L22" s="8"/>
      <c r="M22" s="9"/>
      <c r="N22" s="10"/>
      <c r="O22" s="21"/>
      <c r="P22" s="22"/>
      <c r="Q22" s="6"/>
    </row>
    <row r="23" spans="1:17" x14ac:dyDescent="0.35">
      <c r="A23" s="5" t="s">
        <v>27</v>
      </c>
      <c r="B23" s="8"/>
      <c r="C23" s="9"/>
      <c r="D23" s="10"/>
      <c r="E23" s="21"/>
      <c r="F23" s="22"/>
      <c r="G23" s="6"/>
      <c r="K23" s="5" t="s">
        <v>27</v>
      </c>
      <c r="L23" s="8"/>
      <c r="M23" s="9"/>
      <c r="N23" s="10"/>
      <c r="O23" s="21"/>
      <c r="P23" s="22"/>
      <c r="Q23" s="6"/>
    </row>
    <row r="24" spans="1:17" x14ac:dyDescent="0.35">
      <c r="A24" s="5" t="s">
        <v>28</v>
      </c>
      <c r="B24" s="8"/>
      <c r="C24" s="9"/>
      <c r="D24" s="10"/>
      <c r="E24" s="21"/>
      <c r="F24" s="22"/>
      <c r="G24" s="6"/>
      <c r="K24" s="5" t="s">
        <v>28</v>
      </c>
      <c r="L24" s="8"/>
      <c r="M24" s="9"/>
      <c r="N24" s="10"/>
      <c r="O24" s="21"/>
      <c r="P24" s="22"/>
      <c r="Q24" s="6"/>
    </row>
    <row r="25" spans="1:17" x14ac:dyDescent="0.35">
      <c r="A25" s="5" t="s">
        <v>29</v>
      </c>
      <c r="B25" s="8"/>
      <c r="C25" s="9"/>
      <c r="D25" s="10"/>
      <c r="E25" s="21"/>
      <c r="F25" s="22"/>
      <c r="G25" s="6"/>
      <c r="K25" s="5" t="s">
        <v>29</v>
      </c>
      <c r="L25" s="8"/>
      <c r="M25" s="9"/>
      <c r="N25" s="10"/>
      <c r="O25" s="21"/>
      <c r="P25" s="22"/>
      <c r="Q25" s="6"/>
    </row>
    <row r="26" spans="1:17" x14ac:dyDescent="0.35">
      <c r="A26" s="5" t="s">
        <v>30</v>
      </c>
      <c r="B26" s="8"/>
      <c r="C26" s="9"/>
      <c r="D26" s="10"/>
      <c r="E26" s="21"/>
      <c r="F26" s="22"/>
      <c r="G26" s="6"/>
      <c r="K26" s="5" t="s">
        <v>30</v>
      </c>
      <c r="L26" s="8"/>
      <c r="M26" s="9"/>
      <c r="N26" s="10"/>
      <c r="O26" s="21"/>
      <c r="P26" s="22"/>
      <c r="Q26" s="6"/>
    </row>
    <row r="27" spans="1:17" x14ac:dyDescent="0.35">
      <c r="A27" s="5" t="s">
        <v>31</v>
      </c>
      <c r="B27" s="8"/>
      <c r="C27" s="9"/>
      <c r="D27" s="10"/>
      <c r="E27" s="21"/>
      <c r="F27" s="22"/>
      <c r="G27" s="6"/>
      <c r="K27" s="5" t="s">
        <v>31</v>
      </c>
      <c r="L27" s="8"/>
      <c r="M27" s="9"/>
      <c r="N27" s="10"/>
      <c r="O27" s="21"/>
      <c r="P27" s="22"/>
      <c r="Q27" s="6"/>
    </row>
    <row r="28" spans="1:17" x14ac:dyDescent="0.35">
      <c r="A28" s="5" t="s">
        <v>32</v>
      </c>
      <c r="B28" s="8"/>
      <c r="C28" s="9"/>
      <c r="D28" s="10"/>
      <c r="E28" s="21"/>
      <c r="F28" s="22"/>
      <c r="G28" s="6"/>
      <c r="K28" s="5" t="s">
        <v>32</v>
      </c>
      <c r="L28" s="8"/>
      <c r="M28" s="9"/>
      <c r="N28" s="10"/>
      <c r="O28" s="21"/>
      <c r="P28" s="22"/>
      <c r="Q28" s="6"/>
    </row>
    <row r="29" spans="1:17" x14ac:dyDescent="0.35">
      <c r="A29" s="5" t="s">
        <v>33</v>
      </c>
      <c r="B29" s="8"/>
      <c r="C29" s="9"/>
      <c r="D29" s="10"/>
      <c r="E29" s="21"/>
      <c r="F29" s="22"/>
      <c r="G29" s="6"/>
      <c r="K29" s="5" t="s">
        <v>33</v>
      </c>
      <c r="L29" s="8"/>
      <c r="M29" s="9"/>
      <c r="N29" s="10"/>
      <c r="O29" s="21"/>
      <c r="P29" s="22"/>
      <c r="Q29" s="6"/>
    </row>
    <row r="30" spans="1:17" x14ac:dyDescent="0.35">
      <c r="A30" s="5" t="s">
        <v>34</v>
      </c>
      <c r="B30" s="8"/>
      <c r="C30" s="9"/>
      <c r="D30" s="10"/>
      <c r="E30" s="21"/>
      <c r="F30" s="22"/>
      <c r="G30" s="6"/>
      <c r="K30" s="5" t="s">
        <v>34</v>
      </c>
      <c r="L30" s="8"/>
      <c r="M30" s="9"/>
      <c r="N30" s="10"/>
      <c r="O30" s="21"/>
      <c r="P30" s="22"/>
      <c r="Q30" s="6"/>
    </row>
    <row r="31" spans="1:17" x14ac:dyDescent="0.35">
      <c r="A31" s="5" t="s">
        <v>35</v>
      </c>
      <c r="B31" s="8"/>
      <c r="C31" s="9"/>
      <c r="D31" s="10"/>
      <c r="E31" s="21"/>
      <c r="F31" s="22"/>
      <c r="G31" s="6"/>
      <c r="K31" s="5" t="s">
        <v>35</v>
      </c>
      <c r="L31" s="8"/>
      <c r="M31" s="9"/>
      <c r="N31" s="10"/>
      <c r="O31" s="21"/>
      <c r="P31" s="22"/>
      <c r="Q31" s="6"/>
    </row>
    <row r="32" spans="1:17" x14ac:dyDescent="0.35">
      <c r="A32" s="5" t="s">
        <v>36</v>
      </c>
      <c r="B32" s="8"/>
      <c r="C32" s="9"/>
      <c r="D32" s="10"/>
      <c r="E32" s="21"/>
      <c r="F32" s="22"/>
      <c r="G32" s="6"/>
      <c r="K32" s="5" t="s">
        <v>36</v>
      </c>
      <c r="L32" s="8"/>
      <c r="M32" s="9"/>
      <c r="N32" s="10"/>
      <c r="O32" s="21"/>
      <c r="P32" s="22"/>
      <c r="Q32" s="6"/>
    </row>
    <row r="33" spans="1:17" x14ac:dyDescent="0.35">
      <c r="A33" s="5" t="s">
        <v>37</v>
      </c>
      <c r="B33" s="8"/>
      <c r="C33" s="9"/>
      <c r="D33" s="10"/>
      <c r="E33" s="21"/>
      <c r="F33" s="22"/>
      <c r="G33" s="6"/>
      <c r="K33" s="5" t="s">
        <v>37</v>
      </c>
      <c r="L33" s="8"/>
      <c r="M33" s="9"/>
      <c r="N33" s="10"/>
      <c r="O33" s="21"/>
      <c r="P33" s="22"/>
      <c r="Q33" s="6"/>
    </row>
    <row r="34" spans="1:17" x14ac:dyDescent="0.35">
      <c r="A34" s="5" t="s">
        <v>38</v>
      </c>
      <c r="B34" s="8"/>
      <c r="C34" s="9"/>
      <c r="D34" s="10"/>
      <c r="E34" s="21"/>
      <c r="F34" s="22"/>
      <c r="G34" s="6"/>
      <c r="K34" s="5" t="s">
        <v>38</v>
      </c>
      <c r="L34" s="8"/>
      <c r="M34" s="9"/>
      <c r="N34" s="10"/>
      <c r="O34" s="21"/>
      <c r="P34" s="22"/>
      <c r="Q34" s="6"/>
    </row>
    <row r="35" spans="1:17" x14ac:dyDescent="0.35">
      <c r="A35" s="5" t="s">
        <v>39</v>
      </c>
      <c r="B35" s="8"/>
      <c r="C35" s="9"/>
      <c r="D35" s="10"/>
      <c r="E35" s="21"/>
      <c r="F35" s="22"/>
      <c r="G35" s="6"/>
      <c r="K35" s="5" t="s">
        <v>39</v>
      </c>
      <c r="L35" s="8"/>
      <c r="M35" s="9"/>
      <c r="N35" s="10"/>
      <c r="O35" s="21"/>
      <c r="P35" s="22"/>
      <c r="Q35" s="6"/>
    </row>
    <row r="36" spans="1:17" x14ac:dyDescent="0.35">
      <c r="A36" s="5" t="s">
        <v>40</v>
      </c>
      <c r="B36" s="8"/>
      <c r="C36" s="9"/>
      <c r="D36" s="10"/>
      <c r="E36" s="21"/>
      <c r="F36" s="22"/>
      <c r="G36" s="6"/>
      <c r="K36" s="5" t="s">
        <v>40</v>
      </c>
      <c r="L36" s="8"/>
      <c r="M36" s="9"/>
      <c r="N36" s="10"/>
      <c r="O36" s="21"/>
      <c r="P36" s="22"/>
      <c r="Q36" s="6"/>
    </row>
    <row r="37" spans="1:17" x14ac:dyDescent="0.35">
      <c r="A37" s="5" t="s">
        <v>41</v>
      </c>
      <c r="B37" s="8"/>
      <c r="C37" s="9"/>
      <c r="D37" s="10"/>
      <c r="E37" s="21"/>
      <c r="F37" s="22"/>
      <c r="G37" s="6"/>
      <c r="K37" s="5" t="s">
        <v>41</v>
      </c>
      <c r="L37" s="8"/>
      <c r="M37" s="9"/>
      <c r="N37" s="10"/>
      <c r="O37" s="21"/>
      <c r="P37" s="22"/>
      <c r="Q37" s="6"/>
    </row>
  </sheetData>
  <mergeCells count="2">
    <mergeCell ref="S3:T4"/>
    <mergeCell ref="S5:T5"/>
  </mergeCells>
  <pageMargins left="0.7" right="0.7" top="0.75" bottom="0.75" header="0.3" footer="0.3"/>
  <headerFooter>
    <oddHeader>&amp;L&amp;"Aptos"&amp;12&amp;K03C03C Public&amp;1#_x000D_</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913B1-C4D1-44FA-8AB2-DE67B101FC0A}">
  <dimension ref="A1:G109"/>
  <sheetViews>
    <sheetView workbookViewId="0">
      <selection activeCell="D8" sqref="D8"/>
    </sheetView>
  </sheetViews>
  <sheetFormatPr defaultRowHeight="14.5" x14ac:dyDescent="0.35"/>
  <cols>
    <col min="1" max="1" width="16.81640625" customWidth="1"/>
    <col min="2" max="7" width="18.54296875" customWidth="1"/>
  </cols>
  <sheetData>
    <row r="1" spans="1:7" x14ac:dyDescent="0.35">
      <c r="A1" s="12"/>
      <c r="B1" s="15" t="s">
        <v>0</v>
      </c>
      <c r="C1" s="16" t="s">
        <v>1</v>
      </c>
      <c r="D1" s="17" t="s">
        <v>2</v>
      </c>
      <c r="E1" s="24" t="s">
        <v>3</v>
      </c>
      <c r="F1" s="23" t="s">
        <v>4</v>
      </c>
      <c r="G1" s="18" t="s">
        <v>5</v>
      </c>
    </row>
    <row r="2" spans="1:7" x14ac:dyDescent="0.35">
      <c r="A2" s="13" t="s">
        <v>49</v>
      </c>
      <c r="B2" s="8">
        <v>1</v>
      </c>
      <c r="C2" s="9">
        <v>0</v>
      </c>
      <c r="D2" s="10">
        <v>0</v>
      </c>
      <c r="E2" s="21">
        <v>0</v>
      </c>
      <c r="F2" s="22">
        <v>0</v>
      </c>
      <c r="G2" s="177"/>
    </row>
    <row r="3" spans="1:7" x14ac:dyDescent="0.35">
      <c r="A3" s="13" t="s">
        <v>50</v>
      </c>
      <c r="B3" s="8">
        <v>0</v>
      </c>
      <c r="C3" s="9">
        <v>0</v>
      </c>
      <c r="D3" s="10">
        <v>0</v>
      </c>
      <c r="E3" s="21">
        <v>1</v>
      </c>
      <c r="F3" s="22">
        <v>0</v>
      </c>
      <c r="G3" s="177"/>
    </row>
    <row r="4" spans="1:7" x14ac:dyDescent="0.35">
      <c r="A4" s="13" t="s">
        <v>51</v>
      </c>
      <c r="B4" s="8">
        <v>0</v>
      </c>
      <c r="C4" s="9">
        <v>1</v>
      </c>
      <c r="D4" s="10">
        <v>0</v>
      </c>
      <c r="E4" s="21">
        <v>0</v>
      </c>
      <c r="F4" s="22">
        <v>0</v>
      </c>
      <c r="G4" s="177"/>
    </row>
    <row r="5" spans="1:7" x14ac:dyDescent="0.35">
      <c r="A5" s="13" t="s">
        <v>52</v>
      </c>
      <c r="B5" s="8">
        <v>0</v>
      </c>
      <c r="C5" s="9">
        <v>0</v>
      </c>
      <c r="D5" s="10">
        <v>0</v>
      </c>
      <c r="E5" s="21">
        <v>1</v>
      </c>
      <c r="F5" s="22">
        <v>0</v>
      </c>
      <c r="G5" s="177"/>
    </row>
    <row r="6" spans="1:7" x14ac:dyDescent="0.35">
      <c r="A6" s="13" t="s">
        <v>53</v>
      </c>
      <c r="B6" s="8">
        <v>0</v>
      </c>
      <c r="C6" s="9">
        <v>0</v>
      </c>
      <c r="D6" s="10">
        <v>1</v>
      </c>
      <c r="E6" s="21">
        <v>0</v>
      </c>
      <c r="F6" s="22">
        <v>0</v>
      </c>
      <c r="G6" s="177"/>
    </row>
    <row r="7" spans="1:7" x14ac:dyDescent="0.35">
      <c r="A7" s="13" t="s">
        <v>54</v>
      </c>
      <c r="B7" s="8">
        <v>0</v>
      </c>
      <c r="C7" s="9">
        <v>0</v>
      </c>
      <c r="D7" s="10">
        <v>1</v>
      </c>
      <c r="E7" s="21">
        <v>0</v>
      </c>
      <c r="F7" s="22">
        <v>0</v>
      </c>
      <c r="G7" s="177"/>
    </row>
    <row r="8" spans="1:7" x14ac:dyDescent="0.35">
      <c r="A8" s="13" t="s">
        <v>55</v>
      </c>
      <c r="B8" s="177"/>
      <c r="C8" s="9">
        <v>0</v>
      </c>
      <c r="D8" s="10">
        <v>0</v>
      </c>
      <c r="E8" s="21">
        <v>1</v>
      </c>
      <c r="F8" s="177"/>
      <c r="G8" s="6">
        <v>0</v>
      </c>
    </row>
    <row r="9" spans="1:7" x14ac:dyDescent="0.35">
      <c r="A9" s="13" t="s">
        <v>56</v>
      </c>
      <c r="B9" s="177"/>
      <c r="C9" s="9">
        <v>0</v>
      </c>
      <c r="D9" s="10">
        <v>0</v>
      </c>
      <c r="E9" s="21">
        <v>0</v>
      </c>
      <c r="F9" s="177"/>
      <c r="G9" s="6">
        <v>1</v>
      </c>
    </row>
    <row r="10" spans="1:7" x14ac:dyDescent="0.35">
      <c r="A10" s="13" t="s">
        <v>57</v>
      </c>
      <c r="B10" s="177"/>
      <c r="C10" s="9">
        <v>0</v>
      </c>
      <c r="D10" s="10">
        <v>0</v>
      </c>
      <c r="E10" s="21">
        <v>0</v>
      </c>
      <c r="F10" s="177"/>
      <c r="G10" s="6">
        <v>0</v>
      </c>
    </row>
    <row r="11" spans="1:7" x14ac:dyDescent="0.35">
      <c r="A11" s="13" t="s">
        <v>58</v>
      </c>
      <c r="B11" s="8"/>
      <c r="C11" s="9"/>
      <c r="D11" s="10"/>
      <c r="E11" s="21"/>
      <c r="F11" s="22"/>
      <c r="G11" s="6"/>
    </row>
    <row r="12" spans="1:7" x14ac:dyDescent="0.35">
      <c r="A12" s="13" t="s">
        <v>59</v>
      </c>
      <c r="B12" s="8"/>
      <c r="C12" s="9"/>
      <c r="D12" s="10"/>
      <c r="E12" s="21"/>
      <c r="F12" s="22"/>
      <c r="G12" s="6"/>
    </row>
    <row r="13" spans="1:7" x14ac:dyDescent="0.35">
      <c r="A13" s="13" t="s">
        <v>60</v>
      </c>
      <c r="B13" s="8"/>
      <c r="C13" s="9"/>
      <c r="D13" s="10"/>
      <c r="E13" s="21"/>
      <c r="F13" s="22"/>
      <c r="G13" s="6"/>
    </row>
    <row r="14" spans="1:7" x14ac:dyDescent="0.35">
      <c r="A14" s="13" t="s">
        <v>61</v>
      </c>
      <c r="B14" s="8"/>
      <c r="C14" s="9"/>
      <c r="D14" s="10"/>
      <c r="E14" s="21"/>
      <c r="F14" s="22"/>
      <c r="G14" s="6"/>
    </row>
    <row r="15" spans="1:7" x14ac:dyDescent="0.35">
      <c r="A15" s="13" t="s">
        <v>62</v>
      </c>
      <c r="B15" s="8"/>
      <c r="C15" s="9"/>
      <c r="D15" s="10"/>
      <c r="E15" s="21"/>
      <c r="F15" s="22"/>
      <c r="G15" s="6"/>
    </row>
    <row r="16" spans="1:7" x14ac:dyDescent="0.35">
      <c r="A16" s="13" t="s">
        <v>63</v>
      </c>
      <c r="B16" s="8"/>
      <c r="C16" s="9"/>
      <c r="D16" s="10"/>
      <c r="E16" s="21"/>
      <c r="F16" s="22"/>
      <c r="G16" s="6"/>
    </row>
    <row r="17" spans="1:7" x14ac:dyDescent="0.35">
      <c r="A17" s="13" t="s">
        <v>64</v>
      </c>
      <c r="B17" s="8"/>
      <c r="C17" s="9"/>
      <c r="D17" s="10"/>
      <c r="E17" s="21"/>
      <c r="F17" s="22"/>
      <c r="G17" s="6"/>
    </row>
    <row r="18" spans="1:7" x14ac:dyDescent="0.35">
      <c r="A18" s="13" t="s">
        <v>67</v>
      </c>
      <c r="B18" s="8"/>
      <c r="C18" s="9"/>
      <c r="D18" s="10"/>
      <c r="E18" s="21"/>
      <c r="F18" s="22"/>
      <c r="G18" s="6"/>
    </row>
    <row r="19" spans="1:7" x14ac:dyDescent="0.35">
      <c r="A19" s="13" t="s">
        <v>66</v>
      </c>
      <c r="B19" s="8"/>
      <c r="C19" s="9"/>
      <c r="D19" s="10"/>
      <c r="E19" s="21"/>
      <c r="F19" s="22"/>
      <c r="G19" s="6"/>
    </row>
    <row r="20" spans="1:7" x14ac:dyDescent="0.35">
      <c r="A20" s="13" t="s">
        <v>68</v>
      </c>
      <c r="B20" s="8"/>
      <c r="C20" s="9"/>
      <c r="D20" s="10"/>
      <c r="E20" s="21"/>
      <c r="F20" s="22"/>
      <c r="G20" s="6"/>
    </row>
    <row r="21" spans="1:7" x14ac:dyDescent="0.35">
      <c r="A21" s="13" t="s">
        <v>65</v>
      </c>
      <c r="B21" s="8"/>
      <c r="C21" s="9"/>
      <c r="D21" s="10"/>
      <c r="E21" s="21"/>
      <c r="F21" s="22"/>
      <c r="G21" s="6"/>
    </row>
    <row r="22" spans="1:7" x14ac:dyDescent="0.35">
      <c r="A22" s="13" t="s">
        <v>69</v>
      </c>
      <c r="B22" s="8"/>
      <c r="C22" s="9"/>
      <c r="D22" s="10"/>
      <c r="E22" s="21"/>
      <c r="F22" s="22"/>
      <c r="G22" s="6"/>
    </row>
    <row r="23" spans="1:7" x14ac:dyDescent="0.35">
      <c r="A23" s="13" t="s">
        <v>70</v>
      </c>
      <c r="B23" s="8"/>
      <c r="C23" s="9"/>
      <c r="D23" s="10"/>
      <c r="E23" s="21"/>
      <c r="F23" s="22"/>
      <c r="G23" s="6"/>
    </row>
    <row r="24" spans="1:7" x14ac:dyDescent="0.35">
      <c r="A24" s="13" t="s">
        <v>71</v>
      </c>
      <c r="B24" s="8"/>
      <c r="C24" s="9"/>
      <c r="D24" s="10"/>
      <c r="E24" s="21"/>
      <c r="F24" s="22"/>
      <c r="G24" s="6"/>
    </row>
    <row r="25" spans="1:7" x14ac:dyDescent="0.35">
      <c r="A25" s="13" t="s">
        <v>72</v>
      </c>
      <c r="B25" s="8"/>
      <c r="C25" s="9"/>
      <c r="D25" s="10"/>
      <c r="E25" s="21"/>
      <c r="F25" s="22"/>
      <c r="G25" s="6"/>
    </row>
    <row r="26" spans="1:7" x14ac:dyDescent="0.35">
      <c r="A26" s="13" t="s">
        <v>73</v>
      </c>
      <c r="B26" s="8"/>
      <c r="C26" s="9"/>
      <c r="D26" s="10"/>
      <c r="E26" s="21"/>
      <c r="F26" s="22"/>
      <c r="G26" s="6"/>
    </row>
    <row r="27" spans="1:7" x14ac:dyDescent="0.35">
      <c r="A27" s="13" t="s">
        <v>74</v>
      </c>
      <c r="B27" s="8"/>
      <c r="C27" s="9"/>
      <c r="D27" s="10"/>
      <c r="E27" s="21"/>
      <c r="F27" s="22"/>
      <c r="G27" s="6"/>
    </row>
    <row r="28" spans="1:7" x14ac:dyDescent="0.35">
      <c r="A28" s="13" t="s">
        <v>75</v>
      </c>
      <c r="B28" s="8"/>
      <c r="C28" s="9"/>
      <c r="D28" s="10"/>
      <c r="E28" s="21"/>
      <c r="F28" s="22"/>
      <c r="G28" s="6"/>
    </row>
    <row r="29" spans="1:7" x14ac:dyDescent="0.35">
      <c r="A29" s="13" t="s">
        <v>76</v>
      </c>
      <c r="B29" s="8"/>
      <c r="C29" s="9"/>
      <c r="D29" s="10"/>
      <c r="E29" s="21"/>
      <c r="F29" s="22"/>
      <c r="G29" s="6"/>
    </row>
    <row r="30" spans="1:7" x14ac:dyDescent="0.35">
      <c r="A30" s="13" t="s">
        <v>77</v>
      </c>
      <c r="B30" s="8"/>
      <c r="C30" s="9"/>
      <c r="D30" s="10"/>
      <c r="E30" s="21"/>
      <c r="F30" s="22"/>
      <c r="G30" s="6"/>
    </row>
    <row r="31" spans="1:7" x14ac:dyDescent="0.35">
      <c r="A31" s="13" t="s">
        <v>78</v>
      </c>
      <c r="B31" s="8"/>
      <c r="C31" s="9"/>
      <c r="D31" s="10"/>
      <c r="E31" s="21"/>
      <c r="F31" s="22"/>
      <c r="G31" s="6"/>
    </row>
    <row r="32" spans="1:7" x14ac:dyDescent="0.35">
      <c r="A32" s="13" t="s">
        <v>79</v>
      </c>
      <c r="B32" s="8"/>
      <c r="C32" s="9"/>
      <c r="D32" s="10"/>
      <c r="E32" s="21"/>
      <c r="F32" s="22"/>
      <c r="G32" s="6"/>
    </row>
    <row r="33" spans="1:7" x14ac:dyDescent="0.35">
      <c r="A33" s="13" t="s">
        <v>80</v>
      </c>
      <c r="B33" s="8"/>
      <c r="C33" s="9"/>
      <c r="D33" s="10"/>
      <c r="E33" s="21"/>
      <c r="F33" s="22"/>
      <c r="G33" s="6"/>
    </row>
    <row r="34" spans="1:7" x14ac:dyDescent="0.35">
      <c r="A34" s="13" t="s">
        <v>81</v>
      </c>
      <c r="B34" s="8"/>
      <c r="C34" s="9"/>
      <c r="D34" s="10"/>
      <c r="E34" s="21"/>
      <c r="F34" s="22"/>
      <c r="G34" s="6"/>
    </row>
    <row r="35" spans="1:7" x14ac:dyDescent="0.35">
      <c r="A35" s="13" t="s">
        <v>82</v>
      </c>
      <c r="B35" s="8"/>
      <c r="C35" s="9"/>
      <c r="D35" s="10"/>
      <c r="E35" s="21"/>
      <c r="F35" s="22"/>
      <c r="G35" s="6"/>
    </row>
    <row r="36" spans="1:7" x14ac:dyDescent="0.35">
      <c r="A36" s="13" t="s">
        <v>83</v>
      </c>
      <c r="B36" s="8"/>
      <c r="C36" s="9"/>
      <c r="D36" s="10"/>
      <c r="E36" s="21"/>
      <c r="F36" s="22"/>
      <c r="G36" s="6"/>
    </row>
    <row r="37" spans="1:7" x14ac:dyDescent="0.35">
      <c r="A37" s="13" t="s">
        <v>84</v>
      </c>
      <c r="B37" s="8"/>
      <c r="C37" s="9"/>
      <c r="D37" s="10"/>
      <c r="E37" s="21"/>
      <c r="F37" s="22"/>
      <c r="G37" s="6"/>
    </row>
    <row r="38" spans="1:7" x14ac:dyDescent="0.35">
      <c r="A38" s="13" t="s">
        <v>85</v>
      </c>
      <c r="B38" s="8"/>
      <c r="C38" s="9"/>
      <c r="D38" s="10"/>
      <c r="E38" s="21"/>
      <c r="F38" s="22"/>
      <c r="G38" s="6"/>
    </row>
    <row r="39" spans="1:7" x14ac:dyDescent="0.35">
      <c r="A39" s="13" t="s">
        <v>86</v>
      </c>
      <c r="B39" s="8"/>
      <c r="C39" s="9"/>
      <c r="D39" s="10"/>
      <c r="E39" s="21"/>
      <c r="F39" s="22"/>
      <c r="G39" s="6"/>
    </row>
    <row r="40" spans="1:7" x14ac:dyDescent="0.35">
      <c r="A40" s="13" t="s">
        <v>87</v>
      </c>
      <c r="B40" s="8"/>
      <c r="C40" s="9"/>
      <c r="D40" s="10"/>
      <c r="E40" s="21"/>
      <c r="F40" s="22"/>
      <c r="G40" s="6"/>
    </row>
    <row r="41" spans="1:7" x14ac:dyDescent="0.35">
      <c r="A41" s="13" t="s">
        <v>88</v>
      </c>
      <c r="B41" s="8"/>
      <c r="C41" s="9"/>
      <c r="D41" s="10"/>
      <c r="E41" s="21"/>
      <c r="F41" s="22"/>
      <c r="G41" s="6"/>
    </row>
    <row r="42" spans="1:7" x14ac:dyDescent="0.35">
      <c r="A42" s="13" t="s">
        <v>89</v>
      </c>
      <c r="B42" s="8"/>
      <c r="C42" s="9"/>
      <c r="D42" s="10"/>
      <c r="E42" s="21"/>
      <c r="F42" s="22"/>
      <c r="G42" s="6"/>
    </row>
    <row r="43" spans="1:7" x14ac:dyDescent="0.35">
      <c r="A43" s="13" t="s">
        <v>90</v>
      </c>
      <c r="B43" s="8"/>
      <c r="C43" s="9"/>
      <c r="D43" s="10"/>
      <c r="E43" s="21"/>
      <c r="F43" s="22"/>
      <c r="G43" s="6"/>
    </row>
    <row r="44" spans="1:7" x14ac:dyDescent="0.35">
      <c r="A44" s="13" t="s">
        <v>91</v>
      </c>
      <c r="B44" s="8"/>
      <c r="C44" s="9"/>
      <c r="D44" s="10"/>
      <c r="E44" s="21"/>
      <c r="F44" s="22"/>
      <c r="G44" s="6"/>
    </row>
    <row r="45" spans="1:7" x14ac:dyDescent="0.35">
      <c r="A45" s="13" t="s">
        <v>92</v>
      </c>
      <c r="B45" s="8"/>
      <c r="C45" s="9"/>
      <c r="D45" s="10"/>
      <c r="E45" s="21"/>
      <c r="F45" s="22"/>
      <c r="G45" s="6"/>
    </row>
    <row r="46" spans="1:7" x14ac:dyDescent="0.35">
      <c r="A46" s="13" t="s">
        <v>93</v>
      </c>
      <c r="B46" s="8"/>
      <c r="C46" s="9"/>
      <c r="D46" s="10"/>
      <c r="E46" s="21"/>
      <c r="F46" s="22"/>
      <c r="G46" s="6"/>
    </row>
    <row r="47" spans="1:7" x14ac:dyDescent="0.35">
      <c r="A47" s="13" t="s">
        <v>94</v>
      </c>
      <c r="B47" s="8"/>
      <c r="C47" s="9"/>
      <c r="D47" s="10"/>
      <c r="E47" s="21"/>
      <c r="F47" s="22"/>
      <c r="G47" s="6"/>
    </row>
    <row r="48" spans="1:7" x14ac:dyDescent="0.35">
      <c r="A48" s="13" t="s">
        <v>95</v>
      </c>
      <c r="B48" s="8"/>
      <c r="C48" s="9"/>
      <c r="D48" s="10"/>
      <c r="E48" s="21"/>
      <c r="F48" s="22"/>
      <c r="G48" s="6"/>
    </row>
    <row r="49" spans="1:7" x14ac:dyDescent="0.35">
      <c r="A49" s="13" t="s">
        <v>96</v>
      </c>
      <c r="B49" s="8"/>
      <c r="C49" s="9"/>
      <c r="D49" s="10"/>
      <c r="E49" s="21"/>
      <c r="F49" s="22"/>
      <c r="G49" s="6"/>
    </row>
    <row r="50" spans="1:7" x14ac:dyDescent="0.35">
      <c r="A50" s="13" t="s">
        <v>97</v>
      </c>
      <c r="B50" s="8"/>
      <c r="C50" s="9"/>
      <c r="D50" s="10"/>
      <c r="E50" s="21"/>
      <c r="F50" s="22"/>
      <c r="G50" s="6"/>
    </row>
    <row r="51" spans="1:7" x14ac:dyDescent="0.35">
      <c r="A51" s="13" t="s">
        <v>98</v>
      </c>
      <c r="B51" s="8"/>
      <c r="C51" s="9"/>
      <c r="D51" s="10"/>
      <c r="E51" s="21"/>
      <c r="F51" s="22"/>
      <c r="G51" s="6"/>
    </row>
    <row r="52" spans="1:7" x14ac:dyDescent="0.35">
      <c r="A52" s="13" t="s">
        <v>99</v>
      </c>
      <c r="B52" s="8"/>
      <c r="C52" s="9"/>
      <c r="D52" s="10"/>
      <c r="E52" s="21"/>
      <c r="F52" s="22"/>
      <c r="G52" s="6"/>
    </row>
    <row r="53" spans="1:7" x14ac:dyDescent="0.35">
      <c r="A53" s="13" t="s">
        <v>100</v>
      </c>
      <c r="B53" s="8"/>
      <c r="C53" s="9"/>
      <c r="D53" s="10"/>
      <c r="E53" s="21"/>
      <c r="F53" s="22"/>
      <c r="G53" s="6"/>
    </row>
    <row r="54" spans="1:7" x14ac:dyDescent="0.35">
      <c r="A54" s="13" t="s">
        <v>101</v>
      </c>
      <c r="B54" s="8"/>
      <c r="C54" s="9"/>
      <c r="D54" s="10"/>
      <c r="E54" s="21"/>
      <c r="F54" s="22"/>
      <c r="G54" s="6"/>
    </row>
    <row r="55" spans="1:7" x14ac:dyDescent="0.35">
      <c r="A55" s="13" t="s">
        <v>102</v>
      </c>
      <c r="B55" s="8"/>
      <c r="C55" s="9"/>
      <c r="D55" s="10"/>
      <c r="E55" s="21"/>
      <c r="F55" s="22"/>
      <c r="G55" s="6"/>
    </row>
    <row r="56" spans="1:7" x14ac:dyDescent="0.35">
      <c r="A56" s="13" t="s">
        <v>103</v>
      </c>
      <c r="B56" s="8"/>
      <c r="C56" s="9"/>
      <c r="D56" s="10"/>
      <c r="E56" s="21"/>
      <c r="F56" s="22"/>
      <c r="G56" s="6"/>
    </row>
    <row r="57" spans="1:7" x14ac:dyDescent="0.35">
      <c r="A57" s="13" t="s">
        <v>104</v>
      </c>
      <c r="B57" s="8"/>
      <c r="C57" s="9"/>
      <c r="D57" s="10"/>
      <c r="E57" s="21"/>
      <c r="F57" s="22"/>
      <c r="G57" s="6"/>
    </row>
    <row r="58" spans="1:7" x14ac:dyDescent="0.35">
      <c r="A58" s="13" t="s">
        <v>105</v>
      </c>
      <c r="B58" s="8"/>
      <c r="C58" s="9"/>
      <c r="D58" s="10"/>
      <c r="E58" s="21"/>
      <c r="F58" s="22"/>
      <c r="G58" s="6"/>
    </row>
    <row r="59" spans="1:7" x14ac:dyDescent="0.35">
      <c r="A59" s="13" t="s">
        <v>106</v>
      </c>
      <c r="B59" s="8"/>
      <c r="C59" s="9"/>
      <c r="D59" s="10"/>
      <c r="E59" s="21"/>
      <c r="F59" s="22"/>
      <c r="G59" s="6"/>
    </row>
    <row r="60" spans="1:7" x14ac:dyDescent="0.35">
      <c r="A60" s="13" t="s">
        <v>107</v>
      </c>
      <c r="B60" s="8"/>
      <c r="C60" s="9"/>
      <c r="D60" s="10"/>
      <c r="E60" s="21"/>
      <c r="F60" s="22"/>
      <c r="G60" s="6"/>
    </row>
    <row r="61" spans="1:7" x14ac:dyDescent="0.35">
      <c r="A61" s="13" t="s">
        <v>108</v>
      </c>
      <c r="B61" s="8"/>
      <c r="C61" s="9"/>
      <c r="D61" s="10"/>
      <c r="E61" s="21"/>
      <c r="F61" s="22"/>
      <c r="G61" s="6"/>
    </row>
    <row r="62" spans="1:7" x14ac:dyDescent="0.35">
      <c r="A62" s="13" t="s">
        <v>109</v>
      </c>
      <c r="B62" s="8"/>
      <c r="C62" s="9"/>
      <c r="D62" s="10"/>
      <c r="E62" s="21"/>
      <c r="F62" s="22"/>
      <c r="G62" s="6"/>
    </row>
    <row r="63" spans="1:7" x14ac:dyDescent="0.35">
      <c r="A63" s="13" t="s">
        <v>110</v>
      </c>
      <c r="B63" s="8"/>
      <c r="C63" s="9"/>
      <c r="D63" s="10"/>
      <c r="E63" s="21"/>
      <c r="F63" s="22"/>
      <c r="G63" s="6"/>
    </row>
    <row r="64" spans="1:7" x14ac:dyDescent="0.35">
      <c r="A64" s="13" t="s">
        <v>111</v>
      </c>
      <c r="B64" s="8"/>
      <c r="C64" s="9"/>
      <c r="D64" s="10"/>
      <c r="E64" s="21"/>
      <c r="F64" s="22"/>
      <c r="G64" s="6"/>
    </row>
    <row r="65" spans="1:7" x14ac:dyDescent="0.35">
      <c r="A65" s="13" t="s">
        <v>112</v>
      </c>
      <c r="B65" s="8"/>
      <c r="C65" s="9"/>
      <c r="D65" s="10"/>
      <c r="E65" s="21"/>
      <c r="F65" s="22"/>
      <c r="G65" s="6"/>
    </row>
    <row r="66" spans="1:7" x14ac:dyDescent="0.35">
      <c r="A66" s="13" t="s">
        <v>113</v>
      </c>
      <c r="B66" s="8"/>
      <c r="C66" s="9"/>
      <c r="D66" s="10"/>
      <c r="E66" s="21"/>
      <c r="F66" s="22"/>
      <c r="G66" s="6"/>
    </row>
    <row r="67" spans="1:7" x14ac:dyDescent="0.35">
      <c r="A67" s="13" t="s">
        <v>114</v>
      </c>
      <c r="B67" s="8"/>
      <c r="C67" s="9"/>
      <c r="D67" s="10"/>
      <c r="E67" s="21"/>
      <c r="F67" s="22"/>
      <c r="G67" s="6"/>
    </row>
    <row r="68" spans="1:7" x14ac:dyDescent="0.35">
      <c r="A68" s="13" t="s">
        <v>115</v>
      </c>
      <c r="B68" s="8"/>
      <c r="C68" s="9"/>
      <c r="D68" s="10"/>
      <c r="E68" s="21"/>
      <c r="F68" s="22"/>
      <c r="G68" s="6"/>
    </row>
    <row r="69" spans="1:7" x14ac:dyDescent="0.35">
      <c r="A69" s="13" t="s">
        <v>116</v>
      </c>
      <c r="B69" s="8"/>
      <c r="C69" s="9"/>
      <c r="D69" s="10"/>
      <c r="E69" s="21"/>
      <c r="F69" s="22"/>
      <c r="G69" s="6"/>
    </row>
    <row r="70" spans="1:7" x14ac:dyDescent="0.35">
      <c r="A70" s="13" t="s">
        <v>117</v>
      </c>
      <c r="B70" s="8"/>
      <c r="C70" s="9"/>
      <c r="D70" s="10"/>
      <c r="E70" s="21"/>
      <c r="F70" s="22"/>
      <c r="G70" s="6"/>
    </row>
    <row r="71" spans="1:7" x14ac:dyDescent="0.35">
      <c r="A71" s="13" t="s">
        <v>118</v>
      </c>
      <c r="B71" s="8"/>
      <c r="C71" s="9"/>
      <c r="D71" s="10"/>
      <c r="E71" s="21"/>
      <c r="F71" s="22"/>
      <c r="G71" s="6"/>
    </row>
    <row r="72" spans="1:7" x14ac:dyDescent="0.35">
      <c r="A72" s="13" t="s">
        <v>119</v>
      </c>
      <c r="B72" s="8"/>
      <c r="C72" s="9"/>
      <c r="D72" s="10"/>
      <c r="E72" s="21"/>
      <c r="F72" s="22"/>
      <c r="G72" s="6"/>
    </row>
    <row r="73" spans="1:7" x14ac:dyDescent="0.35">
      <c r="A73" s="13" t="s">
        <v>120</v>
      </c>
      <c r="B73" s="8"/>
      <c r="C73" s="9"/>
      <c r="D73" s="10"/>
      <c r="E73" s="21"/>
      <c r="F73" s="22"/>
      <c r="G73" s="6"/>
    </row>
    <row r="74" spans="1:7" x14ac:dyDescent="0.35">
      <c r="A74" s="13" t="s">
        <v>121</v>
      </c>
      <c r="B74" s="8"/>
      <c r="C74" s="9"/>
      <c r="D74" s="10"/>
      <c r="E74" s="21"/>
      <c r="F74" s="22"/>
      <c r="G74" s="6"/>
    </row>
    <row r="75" spans="1:7" x14ac:dyDescent="0.35">
      <c r="A75" s="13" t="s">
        <v>122</v>
      </c>
      <c r="B75" s="8"/>
      <c r="C75" s="9"/>
      <c r="D75" s="10"/>
      <c r="E75" s="21"/>
      <c r="F75" s="22"/>
      <c r="G75" s="6"/>
    </row>
    <row r="76" spans="1:7" x14ac:dyDescent="0.35">
      <c r="A76" s="13" t="s">
        <v>123</v>
      </c>
      <c r="B76" s="8"/>
      <c r="C76" s="9"/>
      <c r="D76" s="10"/>
      <c r="E76" s="21"/>
      <c r="F76" s="22"/>
      <c r="G76" s="6"/>
    </row>
    <row r="77" spans="1:7" x14ac:dyDescent="0.35">
      <c r="A77" s="13" t="s">
        <v>124</v>
      </c>
      <c r="B77" s="8"/>
      <c r="C77" s="9"/>
      <c r="D77" s="10"/>
      <c r="E77" s="21"/>
      <c r="F77" s="22"/>
      <c r="G77" s="6"/>
    </row>
    <row r="78" spans="1:7" x14ac:dyDescent="0.35">
      <c r="A78" s="13" t="s">
        <v>125</v>
      </c>
      <c r="B78" s="8"/>
      <c r="C78" s="9"/>
      <c r="D78" s="10"/>
      <c r="E78" s="21"/>
      <c r="F78" s="22"/>
      <c r="G78" s="6"/>
    </row>
    <row r="79" spans="1:7" x14ac:dyDescent="0.35">
      <c r="A79" s="13" t="s">
        <v>126</v>
      </c>
      <c r="B79" s="8"/>
      <c r="C79" s="9"/>
      <c r="D79" s="10"/>
      <c r="E79" s="21"/>
      <c r="F79" s="22"/>
      <c r="G79" s="6"/>
    </row>
    <row r="80" spans="1:7" x14ac:dyDescent="0.35">
      <c r="A80" s="13" t="s">
        <v>127</v>
      </c>
      <c r="B80" s="8"/>
      <c r="C80" s="9"/>
      <c r="D80" s="10"/>
      <c r="E80" s="21"/>
      <c r="F80" s="22"/>
      <c r="G80" s="6"/>
    </row>
    <row r="81" spans="1:7" x14ac:dyDescent="0.35">
      <c r="A81" s="13" t="s">
        <v>128</v>
      </c>
      <c r="B81" s="8"/>
      <c r="C81" s="9"/>
      <c r="D81" s="10"/>
      <c r="E81" s="21"/>
      <c r="F81" s="22"/>
      <c r="G81" s="6"/>
    </row>
    <row r="82" spans="1:7" x14ac:dyDescent="0.35">
      <c r="A82" s="13" t="s">
        <v>129</v>
      </c>
      <c r="B82" s="8"/>
      <c r="C82" s="9"/>
      <c r="D82" s="10"/>
      <c r="E82" s="21"/>
      <c r="F82" s="22"/>
      <c r="G82" s="6"/>
    </row>
    <row r="83" spans="1:7" x14ac:dyDescent="0.35">
      <c r="A83" s="13" t="s">
        <v>130</v>
      </c>
      <c r="B83" s="8"/>
      <c r="C83" s="9"/>
      <c r="D83" s="10"/>
      <c r="E83" s="21"/>
      <c r="F83" s="22"/>
      <c r="G83" s="6"/>
    </row>
    <row r="84" spans="1:7" x14ac:dyDescent="0.35">
      <c r="A84" s="13" t="s">
        <v>131</v>
      </c>
      <c r="B84" s="8"/>
      <c r="C84" s="9"/>
      <c r="D84" s="10"/>
      <c r="E84" s="21"/>
      <c r="F84" s="22"/>
      <c r="G84" s="6"/>
    </row>
    <row r="85" spans="1:7" x14ac:dyDescent="0.35">
      <c r="A85" s="13" t="s">
        <v>132</v>
      </c>
      <c r="B85" s="8"/>
      <c r="C85" s="9"/>
      <c r="D85" s="10"/>
      <c r="E85" s="21"/>
      <c r="F85" s="22"/>
      <c r="G85" s="6"/>
    </row>
    <row r="86" spans="1:7" x14ac:dyDescent="0.35">
      <c r="A86" s="13" t="s">
        <v>133</v>
      </c>
      <c r="B86" s="8"/>
      <c r="C86" s="9"/>
      <c r="D86" s="10"/>
      <c r="E86" s="21"/>
      <c r="F86" s="22"/>
      <c r="G86" s="6"/>
    </row>
    <row r="87" spans="1:7" x14ac:dyDescent="0.35">
      <c r="A87" s="13" t="s">
        <v>134</v>
      </c>
      <c r="B87" s="8"/>
      <c r="C87" s="9"/>
      <c r="D87" s="10"/>
      <c r="E87" s="21"/>
      <c r="F87" s="22"/>
      <c r="G87" s="6"/>
    </row>
    <row r="88" spans="1:7" x14ac:dyDescent="0.35">
      <c r="A88" s="13" t="s">
        <v>135</v>
      </c>
      <c r="B88" s="8"/>
      <c r="C88" s="9"/>
      <c r="D88" s="10"/>
      <c r="E88" s="21"/>
      <c r="F88" s="22"/>
      <c r="G88" s="6"/>
    </row>
    <row r="89" spans="1:7" x14ac:dyDescent="0.35">
      <c r="A89" s="13" t="s">
        <v>136</v>
      </c>
      <c r="B89" s="8"/>
      <c r="C89" s="9"/>
      <c r="D89" s="10"/>
      <c r="E89" s="21"/>
      <c r="F89" s="22"/>
      <c r="G89" s="6"/>
    </row>
    <row r="90" spans="1:7" x14ac:dyDescent="0.35">
      <c r="A90" s="13" t="s">
        <v>137</v>
      </c>
      <c r="B90" s="8"/>
      <c r="C90" s="9"/>
      <c r="D90" s="10"/>
      <c r="E90" s="21"/>
      <c r="F90" s="22"/>
      <c r="G90" s="6"/>
    </row>
    <row r="91" spans="1:7" x14ac:dyDescent="0.35">
      <c r="A91" s="13" t="s">
        <v>138</v>
      </c>
      <c r="B91" s="8"/>
      <c r="C91" s="9"/>
      <c r="D91" s="10"/>
      <c r="E91" s="21"/>
      <c r="F91" s="22"/>
      <c r="G91" s="6"/>
    </row>
    <row r="92" spans="1:7" x14ac:dyDescent="0.35">
      <c r="A92" s="13" t="s">
        <v>139</v>
      </c>
      <c r="B92" s="8"/>
      <c r="C92" s="9"/>
      <c r="D92" s="10"/>
      <c r="E92" s="21"/>
      <c r="F92" s="22"/>
      <c r="G92" s="6"/>
    </row>
    <row r="93" spans="1:7" x14ac:dyDescent="0.35">
      <c r="A93" s="13" t="s">
        <v>141</v>
      </c>
      <c r="B93" s="8"/>
      <c r="C93" s="9"/>
      <c r="D93" s="10"/>
      <c r="E93" s="21"/>
      <c r="F93" s="22"/>
      <c r="G93" s="6"/>
    </row>
    <row r="94" spans="1:7" x14ac:dyDescent="0.35">
      <c r="A94" s="13" t="s">
        <v>142</v>
      </c>
      <c r="B94" s="8"/>
      <c r="C94" s="9"/>
      <c r="D94" s="10"/>
      <c r="E94" s="21"/>
      <c r="F94" s="22"/>
      <c r="G94" s="6"/>
    </row>
    <row r="95" spans="1:7" x14ac:dyDescent="0.35">
      <c r="A95" s="13" t="s">
        <v>140</v>
      </c>
      <c r="B95" s="8"/>
      <c r="C95" s="9"/>
      <c r="D95" s="10"/>
      <c r="E95" s="21"/>
      <c r="F95" s="22"/>
      <c r="G95" s="6"/>
    </row>
    <row r="96" spans="1:7" x14ac:dyDescent="0.35">
      <c r="A96" s="13" t="s">
        <v>143</v>
      </c>
      <c r="B96" s="8"/>
      <c r="C96" s="9"/>
      <c r="D96" s="10"/>
      <c r="E96" s="21"/>
      <c r="F96" s="22"/>
      <c r="G96" s="6"/>
    </row>
    <row r="97" spans="1:7" x14ac:dyDescent="0.35">
      <c r="A97" s="13" t="s">
        <v>144</v>
      </c>
      <c r="B97" s="8"/>
      <c r="C97" s="9"/>
      <c r="D97" s="10"/>
      <c r="E97" s="21"/>
      <c r="F97" s="22"/>
      <c r="G97" s="6"/>
    </row>
    <row r="98" spans="1:7" x14ac:dyDescent="0.35">
      <c r="A98" s="13" t="s">
        <v>145</v>
      </c>
      <c r="B98" s="8"/>
      <c r="C98" s="9"/>
      <c r="D98" s="10"/>
      <c r="E98" s="21"/>
      <c r="F98" s="22"/>
      <c r="G98" s="6"/>
    </row>
    <row r="99" spans="1:7" x14ac:dyDescent="0.35">
      <c r="A99" s="13" t="s">
        <v>148</v>
      </c>
      <c r="B99" s="8"/>
      <c r="C99" s="9"/>
      <c r="D99" s="10"/>
      <c r="E99" s="21"/>
      <c r="F99" s="22"/>
      <c r="G99" s="6"/>
    </row>
    <row r="100" spans="1:7" x14ac:dyDescent="0.35">
      <c r="A100" s="13" t="s">
        <v>149</v>
      </c>
      <c r="B100" s="8"/>
      <c r="C100" s="9"/>
      <c r="D100" s="10"/>
      <c r="E100" s="21"/>
      <c r="F100" s="22"/>
      <c r="G100" s="6"/>
    </row>
    <row r="101" spans="1:7" x14ac:dyDescent="0.35">
      <c r="A101" s="13" t="s">
        <v>146</v>
      </c>
      <c r="B101" s="8"/>
      <c r="C101" s="9"/>
      <c r="D101" s="10"/>
      <c r="E101" s="21"/>
      <c r="F101" s="22"/>
      <c r="G101" s="6"/>
    </row>
    <row r="102" spans="1:7" x14ac:dyDescent="0.35">
      <c r="A102" s="13" t="s">
        <v>150</v>
      </c>
      <c r="B102" s="8"/>
      <c r="C102" s="9"/>
      <c r="D102" s="10"/>
      <c r="E102" s="21"/>
      <c r="F102" s="22"/>
      <c r="G102" s="6"/>
    </row>
    <row r="103" spans="1:7" x14ac:dyDescent="0.35">
      <c r="A103" s="13" t="s">
        <v>151</v>
      </c>
      <c r="B103" s="8"/>
      <c r="C103" s="9"/>
      <c r="D103" s="10"/>
      <c r="E103" s="21"/>
      <c r="F103" s="22"/>
      <c r="G103" s="6"/>
    </row>
    <row r="104" spans="1:7" x14ac:dyDescent="0.35">
      <c r="A104" s="13" t="s">
        <v>147</v>
      </c>
      <c r="B104" s="8"/>
      <c r="C104" s="9"/>
      <c r="D104" s="10"/>
      <c r="E104" s="21"/>
      <c r="F104" s="22"/>
      <c r="G104" s="6"/>
    </row>
    <row r="105" spans="1:7" x14ac:dyDescent="0.35">
      <c r="A105" s="13" t="s">
        <v>152</v>
      </c>
      <c r="B105" s="8"/>
      <c r="C105" s="9"/>
      <c r="D105" s="10"/>
      <c r="E105" s="21"/>
      <c r="F105" s="22"/>
      <c r="G105" s="6"/>
    </row>
    <row r="106" spans="1:7" x14ac:dyDescent="0.35">
      <c r="A106" s="13" t="s">
        <v>153</v>
      </c>
      <c r="B106" s="8"/>
      <c r="C106" s="9"/>
      <c r="D106" s="10"/>
      <c r="E106" s="21"/>
      <c r="F106" s="22"/>
      <c r="G106" s="6"/>
    </row>
    <row r="107" spans="1:7" x14ac:dyDescent="0.35">
      <c r="A107" s="13" t="s">
        <v>154</v>
      </c>
      <c r="B107" s="8"/>
      <c r="C107" s="9"/>
      <c r="D107" s="10"/>
      <c r="E107" s="21"/>
      <c r="F107" s="22"/>
      <c r="G107" s="6"/>
    </row>
    <row r="108" spans="1:7" x14ac:dyDescent="0.35">
      <c r="A108" s="13" t="s">
        <v>155</v>
      </c>
      <c r="B108" s="8"/>
      <c r="C108" s="9"/>
      <c r="D108" s="10"/>
      <c r="E108" s="21"/>
      <c r="F108" s="22"/>
      <c r="G108" s="6"/>
    </row>
    <row r="109" spans="1:7" x14ac:dyDescent="0.35">
      <c r="A109" s="13" t="s">
        <v>156</v>
      </c>
      <c r="B109" s="8"/>
      <c r="C109" s="9"/>
      <c r="D109" s="10"/>
      <c r="E109" s="21"/>
      <c r="F109" s="22"/>
      <c r="G109" s="6"/>
    </row>
  </sheetData>
  <pageMargins left="0.7" right="0.7" top="0.75" bottom="0.75" header="0.3" footer="0.3"/>
  <headerFooter>
    <oddHeader>&amp;L&amp;"Aptos"&amp;12&amp;K03C03C Public&amp;1#_x000D_</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4043F-DEE4-4CA6-8362-51C25E762233}">
  <dimension ref="A1:H1151"/>
  <sheetViews>
    <sheetView zoomScaleNormal="100" workbookViewId="0">
      <selection activeCell="D92" sqref="D92"/>
    </sheetView>
  </sheetViews>
  <sheetFormatPr defaultRowHeight="14.5" x14ac:dyDescent="0.35"/>
  <cols>
    <col min="1" max="1" width="16.81640625" customWidth="1"/>
    <col min="2" max="2" width="17.81640625" bestFit="1" customWidth="1"/>
    <col min="3" max="4" width="20.7265625" bestFit="1" customWidth="1"/>
    <col min="5" max="7" width="18.54296875" customWidth="1"/>
    <col min="8" max="8" width="9.1796875" style="2"/>
  </cols>
  <sheetData>
    <row r="1" spans="1:7" x14ac:dyDescent="0.35">
      <c r="A1" s="13" t="s">
        <v>6</v>
      </c>
      <c r="B1" s="15" t="s">
        <v>0</v>
      </c>
      <c r="C1" s="16" t="s">
        <v>1</v>
      </c>
      <c r="D1" s="17" t="s">
        <v>2</v>
      </c>
      <c r="E1" s="24" t="s">
        <v>3</v>
      </c>
      <c r="F1" s="23" t="s">
        <v>4</v>
      </c>
      <c r="G1" s="18" t="s">
        <v>5</v>
      </c>
    </row>
    <row r="2" spans="1:7" x14ac:dyDescent="0.35">
      <c r="A2" s="13" t="s">
        <v>242</v>
      </c>
      <c r="B2" s="8" t="s">
        <v>272</v>
      </c>
      <c r="C2" s="9" t="s">
        <v>273</v>
      </c>
      <c r="D2" s="10" t="s">
        <v>272</v>
      </c>
      <c r="E2" s="21" t="s">
        <v>272</v>
      </c>
      <c r="F2" s="22" t="s">
        <v>279</v>
      </c>
      <c r="G2" s="177"/>
    </row>
    <row r="3" spans="1:7" x14ac:dyDescent="0.35">
      <c r="A3" s="13" t="s">
        <v>243</v>
      </c>
      <c r="B3" s="8" t="s">
        <v>273</v>
      </c>
      <c r="C3" s="9" t="s">
        <v>279</v>
      </c>
      <c r="D3" s="10" t="s">
        <v>272</v>
      </c>
      <c r="E3" s="21" t="s">
        <v>295</v>
      </c>
      <c r="F3" s="22" t="s">
        <v>272</v>
      </c>
      <c r="G3" s="177"/>
    </row>
    <row r="4" spans="1:7" x14ac:dyDescent="0.35">
      <c r="A4" s="13" t="s">
        <v>244</v>
      </c>
      <c r="B4" s="8" t="s">
        <v>273</v>
      </c>
      <c r="C4" s="9" t="s">
        <v>272</v>
      </c>
      <c r="D4" s="10" t="s">
        <v>272</v>
      </c>
      <c r="E4" s="21" t="s">
        <v>275</v>
      </c>
      <c r="F4" s="22" t="s">
        <v>272</v>
      </c>
      <c r="G4" s="177"/>
    </row>
    <row r="5" spans="1:7" x14ac:dyDescent="0.35">
      <c r="A5" s="13" t="s">
        <v>245</v>
      </c>
      <c r="B5" s="8" t="s">
        <v>272</v>
      </c>
      <c r="C5" s="9" t="s">
        <v>273</v>
      </c>
      <c r="D5" s="10" t="s">
        <v>279</v>
      </c>
      <c r="E5" s="21" t="s">
        <v>296</v>
      </c>
      <c r="F5" s="22" t="s">
        <v>291</v>
      </c>
      <c r="G5" s="177"/>
    </row>
    <row r="6" spans="1:7" x14ac:dyDescent="0.35">
      <c r="A6" s="13" t="s">
        <v>246</v>
      </c>
      <c r="B6" s="8" t="s">
        <v>272</v>
      </c>
      <c r="C6" s="9" t="s">
        <v>272</v>
      </c>
      <c r="D6" s="10" t="s">
        <v>272</v>
      </c>
      <c r="E6" s="21" t="s">
        <v>292</v>
      </c>
      <c r="F6" s="22" t="s">
        <v>278</v>
      </c>
      <c r="G6" s="177"/>
    </row>
    <row r="7" spans="1:7" x14ac:dyDescent="0.35">
      <c r="A7" s="13" t="s">
        <v>247</v>
      </c>
      <c r="B7" s="8" t="s">
        <v>272</v>
      </c>
      <c r="C7" s="9" t="s">
        <v>281</v>
      </c>
      <c r="D7" s="10" t="s">
        <v>272</v>
      </c>
      <c r="E7" s="21" t="s">
        <v>272</v>
      </c>
      <c r="F7" s="22" t="s">
        <v>278</v>
      </c>
      <c r="G7" s="177"/>
    </row>
    <row r="8" spans="1:7" x14ac:dyDescent="0.35">
      <c r="A8" s="13" t="s">
        <v>248</v>
      </c>
      <c r="B8" s="8" t="s">
        <v>272</v>
      </c>
      <c r="C8" s="9" t="s">
        <v>272</v>
      </c>
      <c r="D8" s="10" t="s">
        <v>275</v>
      </c>
      <c r="E8" s="21" t="s">
        <v>272</v>
      </c>
      <c r="F8" s="22" t="s">
        <v>272</v>
      </c>
      <c r="G8" s="177"/>
    </row>
    <row r="9" spans="1:7" x14ac:dyDescent="0.35">
      <c r="A9" s="13" t="s">
        <v>249</v>
      </c>
      <c r="B9" s="8" t="s">
        <v>272</v>
      </c>
      <c r="C9" s="9" t="s">
        <v>272</v>
      </c>
      <c r="D9" s="10" t="s">
        <v>273</v>
      </c>
      <c r="E9" s="21" t="s">
        <v>273</v>
      </c>
      <c r="F9" s="22" t="s">
        <v>272</v>
      </c>
      <c r="G9" s="177"/>
    </row>
    <row r="10" spans="1:7" x14ac:dyDescent="0.35">
      <c r="A10" s="13" t="s">
        <v>250</v>
      </c>
      <c r="B10" s="8" t="s">
        <v>272</v>
      </c>
      <c r="C10" s="9" t="s">
        <v>272</v>
      </c>
      <c r="D10" s="10" t="s">
        <v>273</v>
      </c>
      <c r="E10" s="21" t="s">
        <v>272</v>
      </c>
      <c r="F10" s="22" t="s">
        <v>272</v>
      </c>
      <c r="G10" s="177"/>
    </row>
    <row r="11" spans="1:7" x14ac:dyDescent="0.35">
      <c r="A11" s="13" t="s">
        <v>251</v>
      </c>
      <c r="B11" s="8" t="s">
        <v>274</v>
      </c>
      <c r="C11" s="9" t="s">
        <v>282</v>
      </c>
      <c r="D11" s="10" t="s">
        <v>286</v>
      </c>
      <c r="E11" s="181" t="s">
        <v>290</v>
      </c>
      <c r="F11" s="22" t="s">
        <v>283</v>
      </c>
      <c r="G11" s="177"/>
    </row>
    <row r="12" spans="1:7" x14ac:dyDescent="0.35">
      <c r="A12" s="13" t="s">
        <v>252</v>
      </c>
      <c r="B12" s="8" t="s">
        <v>273</v>
      </c>
      <c r="C12" s="9" t="s">
        <v>272</v>
      </c>
      <c r="D12" s="10" t="s">
        <v>287</v>
      </c>
      <c r="E12" s="21" t="s">
        <v>279</v>
      </c>
      <c r="F12" s="22" t="s">
        <v>272</v>
      </c>
      <c r="G12" s="177"/>
    </row>
    <row r="13" spans="1:7" x14ac:dyDescent="0.35">
      <c r="A13" s="13" t="s">
        <v>253</v>
      </c>
      <c r="B13" s="8" t="s">
        <v>275</v>
      </c>
      <c r="C13" s="9" t="s">
        <v>272</v>
      </c>
      <c r="D13" s="10" t="s">
        <v>272</v>
      </c>
      <c r="E13" s="21" t="s">
        <v>272</v>
      </c>
      <c r="F13" s="182" t="s">
        <v>284</v>
      </c>
      <c r="G13" s="177"/>
    </row>
    <row r="14" spans="1:7" x14ac:dyDescent="0.35">
      <c r="A14" s="13" t="s">
        <v>254</v>
      </c>
      <c r="B14" s="8" t="s">
        <v>273</v>
      </c>
      <c r="C14" s="9" t="s">
        <v>273</v>
      </c>
      <c r="D14" s="10" t="s">
        <v>275</v>
      </c>
      <c r="E14" s="21" t="s">
        <v>272</v>
      </c>
      <c r="F14" s="22" t="s">
        <v>272</v>
      </c>
      <c r="G14" s="177"/>
    </row>
    <row r="15" spans="1:7" x14ac:dyDescent="0.35">
      <c r="A15" s="13" t="s">
        <v>255</v>
      </c>
      <c r="B15" s="8" t="s">
        <v>273</v>
      </c>
      <c r="C15" s="9" t="s">
        <v>272</v>
      </c>
      <c r="D15" s="10" t="s">
        <v>272</v>
      </c>
      <c r="E15" s="21" t="s">
        <v>272</v>
      </c>
      <c r="F15" s="22" t="s">
        <v>272</v>
      </c>
      <c r="G15" s="177"/>
    </row>
    <row r="16" spans="1:7" x14ac:dyDescent="0.35">
      <c r="A16" s="13" t="s">
        <v>256</v>
      </c>
      <c r="B16" s="8" t="s">
        <v>272</v>
      </c>
      <c r="C16" s="9" t="s">
        <v>278</v>
      </c>
      <c r="D16" s="10" t="s">
        <v>288</v>
      </c>
      <c r="E16" s="21" t="s">
        <v>272</v>
      </c>
      <c r="F16" s="182" t="s">
        <v>298</v>
      </c>
      <c r="G16" s="177"/>
    </row>
    <row r="17" spans="1:7" x14ac:dyDescent="0.35">
      <c r="A17" s="13" t="s">
        <v>257</v>
      </c>
      <c r="B17" s="178" t="s">
        <v>276</v>
      </c>
      <c r="C17" s="9" t="s">
        <v>272</v>
      </c>
      <c r="D17" s="10" t="s">
        <v>272</v>
      </c>
      <c r="E17" s="21" t="s">
        <v>272</v>
      </c>
      <c r="F17" s="182" t="s">
        <v>290</v>
      </c>
      <c r="G17" s="177"/>
    </row>
    <row r="18" spans="1:7" x14ac:dyDescent="0.35">
      <c r="A18" s="13" t="s">
        <v>258</v>
      </c>
      <c r="B18" s="8" t="s">
        <v>273</v>
      </c>
      <c r="C18" s="9" t="s">
        <v>272</v>
      </c>
      <c r="D18" s="10" t="s">
        <v>272</v>
      </c>
      <c r="E18" s="21" t="s">
        <v>272</v>
      </c>
      <c r="F18" s="182" t="s">
        <v>272</v>
      </c>
      <c r="G18" s="177"/>
    </row>
    <row r="19" spans="1:7" x14ac:dyDescent="0.35">
      <c r="A19" s="13" t="s">
        <v>259</v>
      </c>
      <c r="B19" s="8" t="s">
        <v>272</v>
      </c>
      <c r="C19" s="9" t="s">
        <v>272</v>
      </c>
      <c r="D19" s="180" t="s">
        <v>289</v>
      </c>
      <c r="E19" s="21" t="s">
        <v>278</v>
      </c>
      <c r="F19" s="182" t="s">
        <v>299</v>
      </c>
      <c r="G19" s="177"/>
    </row>
    <row r="20" spans="1:7" x14ac:dyDescent="0.35">
      <c r="A20" s="13" t="s">
        <v>260</v>
      </c>
      <c r="B20" s="8" t="s">
        <v>272</v>
      </c>
      <c r="C20" s="9" t="s">
        <v>272</v>
      </c>
      <c r="D20" s="10" t="s">
        <v>291</v>
      </c>
      <c r="E20" s="21" t="s">
        <v>272</v>
      </c>
      <c r="F20" s="182" t="s">
        <v>272</v>
      </c>
      <c r="G20" s="177"/>
    </row>
    <row r="21" spans="1:7" x14ac:dyDescent="0.35">
      <c r="A21" s="13" t="s">
        <v>261</v>
      </c>
      <c r="B21" s="8" t="s">
        <v>277</v>
      </c>
      <c r="C21" s="9" t="s">
        <v>283</v>
      </c>
      <c r="D21" s="10" t="s">
        <v>292</v>
      </c>
      <c r="E21" s="21" t="s">
        <v>297</v>
      </c>
      <c r="F21" s="182" t="s">
        <v>300</v>
      </c>
      <c r="G21" s="177"/>
    </row>
    <row r="22" spans="1:7" x14ac:dyDescent="0.35">
      <c r="A22" s="13" t="s">
        <v>262</v>
      </c>
      <c r="B22" s="8" t="s">
        <v>273</v>
      </c>
      <c r="C22" s="9" t="s">
        <v>275</v>
      </c>
      <c r="D22" s="10" t="s">
        <v>278</v>
      </c>
      <c r="E22" s="21" t="s">
        <v>272</v>
      </c>
      <c r="F22" s="182" t="s">
        <v>301</v>
      </c>
      <c r="G22" s="177"/>
    </row>
    <row r="23" spans="1:7" x14ac:dyDescent="0.35">
      <c r="A23" s="13" t="s">
        <v>263</v>
      </c>
      <c r="B23" s="8" t="s">
        <v>272</v>
      </c>
      <c r="C23" s="9" t="s">
        <v>275</v>
      </c>
      <c r="D23" s="10" t="s">
        <v>281</v>
      </c>
      <c r="E23" s="21" t="s">
        <v>273</v>
      </c>
      <c r="F23" s="182" t="s">
        <v>272</v>
      </c>
      <c r="G23" s="177"/>
    </row>
    <row r="24" spans="1:7" x14ac:dyDescent="0.35">
      <c r="A24" s="13" t="s">
        <v>264</v>
      </c>
      <c r="B24" s="8" t="s">
        <v>278</v>
      </c>
      <c r="C24" s="9" t="s">
        <v>273</v>
      </c>
      <c r="D24" s="10" t="s">
        <v>291</v>
      </c>
      <c r="E24" s="181" t="s">
        <v>276</v>
      </c>
      <c r="F24" s="182" t="s">
        <v>302</v>
      </c>
      <c r="G24" s="177"/>
    </row>
    <row r="25" spans="1:7" x14ac:dyDescent="0.35">
      <c r="A25" s="13" t="s">
        <v>265</v>
      </c>
      <c r="B25" s="8" t="s">
        <v>279</v>
      </c>
      <c r="C25" s="9" t="s">
        <v>272</v>
      </c>
      <c r="D25" s="10" t="s">
        <v>273</v>
      </c>
      <c r="E25" s="21" t="s">
        <v>273</v>
      </c>
      <c r="F25" s="182" t="s">
        <v>272</v>
      </c>
      <c r="G25" s="177"/>
    </row>
    <row r="26" spans="1:7" x14ac:dyDescent="0.35">
      <c r="A26" s="13" t="s">
        <v>266</v>
      </c>
      <c r="B26" s="8" t="s">
        <v>273</v>
      </c>
      <c r="C26" s="9" t="s">
        <v>272</v>
      </c>
      <c r="D26" s="180" t="s">
        <v>289</v>
      </c>
      <c r="E26" s="21" t="s">
        <v>272</v>
      </c>
      <c r="F26" s="182" t="s">
        <v>272</v>
      </c>
      <c r="G26" s="177"/>
    </row>
    <row r="27" spans="1:7" x14ac:dyDescent="0.35">
      <c r="A27" s="13" t="s">
        <v>267</v>
      </c>
      <c r="B27" s="8" t="s">
        <v>273</v>
      </c>
      <c r="C27" s="9" t="s">
        <v>272</v>
      </c>
      <c r="D27" s="10" t="s">
        <v>281</v>
      </c>
      <c r="E27" s="21" t="s">
        <v>272</v>
      </c>
      <c r="F27" s="182" t="s">
        <v>278</v>
      </c>
      <c r="G27" s="177"/>
    </row>
    <row r="28" spans="1:7" x14ac:dyDescent="0.35">
      <c r="A28" s="13" t="s">
        <v>268</v>
      </c>
      <c r="B28" s="8" t="s">
        <v>272</v>
      </c>
      <c r="C28" s="9" t="s">
        <v>272</v>
      </c>
      <c r="D28" s="180" t="s">
        <v>293</v>
      </c>
      <c r="E28" s="21" t="s">
        <v>272</v>
      </c>
      <c r="F28" s="182" t="s">
        <v>272</v>
      </c>
      <c r="G28" s="177"/>
    </row>
    <row r="29" spans="1:7" x14ac:dyDescent="0.35">
      <c r="A29" s="13" t="s">
        <v>269</v>
      </c>
      <c r="B29" s="8" t="s">
        <v>272</v>
      </c>
      <c r="C29" s="179" t="s">
        <v>284</v>
      </c>
      <c r="D29" s="10" t="s">
        <v>275</v>
      </c>
      <c r="E29" s="21" t="s">
        <v>272</v>
      </c>
      <c r="F29" s="182" t="s">
        <v>279</v>
      </c>
      <c r="G29" s="177"/>
    </row>
    <row r="30" spans="1:7" x14ac:dyDescent="0.35">
      <c r="A30" s="13" t="s">
        <v>270</v>
      </c>
      <c r="B30" s="8" t="s">
        <v>279</v>
      </c>
      <c r="C30" s="9" t="s">
        <v>273</v>
      </c>
      <c r="D30" s="10" t="s">
        <v>272</v>
      </c>
      <c r="E30" s="21" t="s">
        <v>281</v>
      </c>
      <c r="F30" s="182" t="s">
        <v>272</v>
      </c>
      <c r="G30" s="177"/>
    </row>
    <row r="31" spans="1:7" x14ac:dyDescent="0.35">
      <c r="A31" s="13" t="s">
        <v>271</v>
      </c>
      <c r="B31" s="8" t="s">
        <v>280</v>
      </c>
      <c r="C31" s="9" t="s">
        <v>285</v>
      </c>
      <c r="D31" s="10" t="s">
        <v>294</v>
      </c>
      <c r="E31" s="21" t="s">
        <v>283</v>
      </c>
      <c r="F31" s="182" t="s">
        <v>303</v>
      </c>
      <c r="G31" s="177"/>
    </row>
    <row r="32" spans="1:7" x14ac:dyDescent="0.35">
      <c r="A32" s="29"/>
      <c r="B32" s="177"/>
      <c r="C32" s="177"/>
      <c r="D32" s="177"/>
      <c r="E32" s="177"/>
      <c r="F32" s="177"/>
      <c r="G32" s="177"/>
    </row>
    <row r="33" spans="1:7" x14ac:dyDescent="0.35">
      <c r="A33" s="13" t="s">
        <v>7</v>
      </c>
      <c r="B33" s="15" t="s">
        <v>0</v>
      </c>
      <c r="C33" s="16" t="s">
        <v>1</v>
      </c>
      <c r="D33" s="17" t="s">
        <v>2</v>
      </c>
      <c r="E33" s="24" t="s">
        <v>3</v>
      </c>
      <c r="F33" s="23" t="s">
        <v>4</v>
      </c>
      <c r="G33" s="18" t="s">
        <v>5</v>
      </c>
    </row>
    <row r="34" spans="1:7" x14ac:dyDescent="0.35">
      <c r="A34" s="13" t="s">
        <v>242</v>
      </c>
      <c r="B34" s="8" t="s">
        <v>272</v>
      </c>
      <c r="C34" s="9" t="s">
        <v>273</v>
      </c>
      <c r="D34" s="180" t="s">
        <v>284</v>
      </c>
      <c r="E34" s="21" t="s">
        <v>272</v>
      </c>
      <c r="F34" s="22" t="s">
        <v>278</v>
      </c>
      <c r="G34" s="177"/>
    </row>
    <row r="35" spans="1:7" x14ac:dyDescent="0.35">
      <c r="A35" s="13" t="s">
        <v>243</v>
      </c>
      <c r="B35" s="8" t="s">
        <v>272</v>
      </c>
      <c r="C35" s="9" t="s">
        <v>272</v>
      </c>
      <c r="D35" s="10" t="s">
        <v>273</v>
      </c>
      <c r="E35" s="21" t="s">
        <v>272</v>
      </c>
      <c r="F35" s="182" t="s">
        <v>290</v>
      </c>
      <c r="G35" s="177"/>
    </row>
    <row r="36" spans="1:7" x14ac:dyDescent="0.35">
      <c r="A36" s="13" t="s">
        <v>244</v>
      </c>
      <c r="B36" s="8" t="s">
        <v>272</v>
      </c>
      <c r="C36" s="9" t="s">
        <v>302</v>
      </c>
      <c r="D36" s="10" t="s">
        <v>272</v>
      </c>
      <c r="E36" s="21" t="s">
        <v>272</v>
      </c>
      <c r="F36" s="182" t="s">
        <v>293</v>
      </c>
      <c r="G36" s="177"/>
    </row>
    <row r="37" spans="1:7" x14ac:dyDescent="0.35">
      <c r="A37" s="13" t="s">
        <v>245</v>
      </c>
      <c r="B37" s="8" t="s">
        <v>272</v>
      </c>
      <c r="C37" s="9" t="s">
        <v>273</v>
      </c>
      <c r="D37" s="10" t="s">
        <v>275</v>
      </c>
      <c r="E37" s="21" t="s">
        <v>273</v>
      </c>
      <c r="F37" s="182" t="s">
        <v>273</v>
      </c>
      <c r="G37" s="177"/>
    </row>
    <row r="38" spans="1:7" x14ac:dyDescent="0.35">
      <c r="A38" s="13" t="s">
        <v>246</v>
      </c>
      <c r="B38" s="8" t="s">
        <v>272</v>
      </c>
      <c r="C38" s="9" t="s">
        <v>273</v>
      </c>
      <c r="D38" s="10" t="s">
        <v>272</v>
      </c>
      <c r="E38" s="21" t="s">
        <v>281</v>
      </c>
      <c r="F38" s="182" t="s">
        <v>273</v>
      </c>
      <c r="G38" s="177"/>
    </row>
    <row r="39" spans="1:7" x14ac:dyDescent="0.35">
      <c r="A39" s="13" t="s">
        <v>247</v>
      </c>
      <c r="B39" s="8" t="s">
        <v>273</v>
      </c>
      <c r="C39" s="9" t="s">
        <v>272</v>
      </c>
      <c r="D39" s="10" t="s">
        <v>272</v>
      </c>
      <c r="E39" s="21" t="s">
        <v>279</v>
      </c>
      <c r="F39" s="182" t="s">
        <v>325</v>
      </c>
      <c r="G39" s="177"/>
    </row>
    <row r="40" spans="1:7" x14ac:dyDescent="0.35">
      <c r="A40" s="13" t="s">
        <v>248</v>
      </c>
      <c r="B40" s="8" t="s">
        <v>296</v>
      </c>
      <c r="C40" s="9" t="s">
        <v>273</v>
      </c>
      <c r="D40" s="10" t="s">
        <v>272</v>
      </c>
      <c r="E40" s="21" t="s">
        <v>272</v>
      </c>
      <c r="F40" s="182" t="s">
        <v>272</v>
      </c>
      <c r="G40" s="177"/>
    </row>
    <row r="41" spans="1:7" x14ac:dyDescent="0.35">
      <c r="A41" s="13" t="s">
        <v>249</v>
      </c>
      <c r="B41" s="8" t="s">
        <v>272</v>
      </c>
      <c r="C41" s="9" t="s">
        <v>279</v>
      </c>
      <c r="D41" s="10" t="s">
        <v>278</v>
      </c>
      <c r="E41" s="21" t="s">
        <v>321</v>
      </c>
      <c r="F41" s="182" t="s">
        <v>296</v>
      </c>
      <c r="G41" s="177"/>
    </row>
    <row r="42" spans="1:7" x14ac:dyDescent="0.35">
      <c r="A42" s="13" t="s">
        <v>250</v>
      </c>
      <c r="B42" s="8" t="s">
        <v>278</v>
      </c>
      <c r="C42" s="9" t="s">
        <v>272</v>
      </c>
      <c r="D42" s="10" t="s">
        <v>272</v>
      </c>
      <c r="E42" s="21" t="s">
        <v>272</v>
      </c>
      <c r="F42" s="182" t="s">
        <v>326</v>
      </c>
      <c r="G42" s="177"/>
    </row>
    <row r="43" spans="1:7" x14ac:dyDescent="0.35">
      <c r="A43" s="13" t="s">
        <v>251</v>
      </c>
      <c r="B43" s="8" t="s">
        <v>300</v>
      </c>
      <c r="C43" s="9" t="s">
        <v>319</v>
      </c>
      <c r="D43" s="10" t="s">
        <v>320</v>
      </c>
      <c r="E43" s="21" t="s">
        <v>297</v>
      </c>
      <c r="F43" s="182" t="s">
        <v>327</v>
      </c>
      <c r="G43" s="177"/>
    </row>
    <row r="44" spans="1:7" x14ac:dyDescent="0.35">
      <c r="A44" s="13" t="s">
        <v>252</v>
      </c>
      <c r="B44" s="8" t="s">
        <v>272</v>
      </c>
      <c r="C44" s="9" t="s">
        <v>272</v>
      </c>
      <c r="D44" s="10" t="s">
        <v>272</v>
      </c>
      <c r="E44" s="21" t="s">
        <v>272</v>
      </c>
      <c r="F44" s="182" t="s">
        <v>302</v>
      </c>
      <c r="G44" s="177"/>
    </row>
    <row r="45" spans="1:7" x14ac:dyDescent="0.35">
      <c r="A45" s="13" t="s">
        <v>253</v>
      </c>
      <c r="B45" s="8" t="s">
        <v>272</v>
      </c>
      <c r="C45" s="9" t="s">
        <v>291</v>
      </c>
      <c r="D45" s="10" t="s">
        <v>272</v>
      </c>
      <c r="E45" s="21" t="s">
        <v>272</v>
      </c>
      <c r="F45" s="182" t="s">
        <v>284</v>
      </c>
      <c r="G45" s="177"/>
    </row>
    <row r="46" spans="1:7" x14ac:dyDescent="0.35">
      <c r="A46" s="13" t="s">
        <v>254</v>
      </c>
      <c r="B46" s="8" t="s">
        <v>275</v>
      </c>
      <c r="C46" s="9" t="s">
        <v>275</v>
      </c>
      <c r="D46" s="10" t="s">
        <v>273</v>
      </c>
      <c r="E46" s="21" t="s">
        <v>272</v>
      </c>
      <c r="F46" s="182" t="s">
        <v>272</v>
      </c>
      <c r="G46" s="177"/>
    </row>
    <row r="47" spans="1:7" x14ac:dyDescent="0.35">
      <c r="A47" s="13" t="s">
        <v>255</v>
      </c>
      <c r="B47" s="8" t="s">
        <v>272</v>
      </c>
      <c r="C47" s="9" t="s">
        <v>273</v>
      </c>
      <c r="D47" s="10" t="s">
        <v>272</v>
      </c>
      <c r="E47" s="21" t="s">
        <v>322</v>
      </c>
      <c r="F47" s="182" t="s">
        <v>272</v>
      </c>
      <c r="G47" s="177"/>
    </row>
    <row r="48" spans="1:7" x14ac:dyDescent="0.35">
      <c r="A48" s="13" t="s">
        <v>256</v>
      </c>
      <c r="B48" s="8" t="s">
        <v>273</v>
      </c>
      <c r="C48" s="9" t="s">
        <v>272</v>
      </c>
      <c r="D48" s="10" t="s">
        <v>272</v>
      </c>
      <c r="E48" s="21" t="s">
        <v>292</v>
      </c>
      <c r="F48" s="182" t="s">
        <v>272</v>
      </c>
      <c r="G48" s="177"/>
    </row>
    <row r="49" spans="1:7" x14ac:dyDescent="0.35">
      <c r="A49" s="13" t="s">
        <v>257</v>
      </c>
      <c r="B49" s="8" t="s">
        <v>296</v>
      </c>
      <c r="C49" s="9" t="s">
        <v>278</v>
      </c>
      <c r="D49" s="10" t="s">
        <v>291</v>
      </c>
      <c r="E49" s="21" t="s">
        <v>296</v>
      </c>
      <c r="F49" s="182" t="s">
        <v>289</v>
      </c>
      <c r="G49" s="177"/>
    </row>
    <row r="50" spans="1:7" x14ac:dyDescent="0.35">
      <c r="A50" s="13" t="s">
        <v>258</v>
      </c>
      <c r="B50" s="8" t="s">
        <v>272</v>
      </c>
      <c r="C50" s="9" t="s">
        <v>273</v>
      </c>
      <c r="D50" s="10" t="s">
        <v>272</v>
      </c>
      <c r="E50" s="21" t="s">
        <v>275</v>
      </c>
      <c r="F50" s="182" t="s">
        <v>278</v>
      </c>
      <c r="G50" s="177"/>
    </row>
    <row r="51" spans="1:7" x14ac:dyDescent="0.35">
      <c r="A51" s="13" t="s">
        <v>259</v>
      </c>
      <c r="B51" s="178" t="s">
        <v>298</v>
      </c>
      <c r="C51" s="9" t="s">
        <v>272</v>
      </c>
      <c r="D51" s="10" t="s">
        <v>272</v>
      </c>
      <c r="E51" s="21" t="s">
        <v>275</v>
      </c>
      <c r="F51" s="182" t="s">
        <v>272</v>
      </c>
      <c r="G51" s="177"/>
    </row>
    <row r="52" spans="1:7" x14ac:dyDescent="0.35">
      <c r="A52" s="13" t="s">
        <v>260</v>
      </c>
      <c r="B52" s="8" t="s">
        <v>272</v>
      </c>
      <c r="C52" s="9" t="s">
        <v>272</v>
      </c>
      <c r="D52" s="10" t="s">
        <v>273</v>
      </c>
      <c r="E52" s="21" t="s">
        <v>273</v>
      </c>
      <c r="F52" s="182" t="s">
        <v>279</v>
      </c>
      <c r="G52" s="177"/>
    </row>
    <row r="53" spans="1:7" x14ac:dyDescent="0.35">
      <c r="A53" s="13" t="s">
        <v>261</v>
      </c>
      <c r="B53" s="8" t="s">
        <v>317</v>
      </c>
      <c r="C53" s="9" t="s">
        <v>319</v>
      </c>
      <c r="D53" s="10" t="s">
        <v>319</v>
      </c>
      <c r="E53" s="21" t="s">
        <v>322</v>
      </c>
      <c r="F53" s="182" t="s">
        <v>328</v>
      </c>
      <c r="G53" s="177"/>
    </row>
    <row r="54" spans="1:7" x14ac:dyDescent="0.35">
      <c r="A54" s="13" t="s">
        <v>262</v>
      </c>
      <c r="B54" s="8" t="s">
        <v>281</v>
      </c>
      <c r="C54" s="9" t="s">
        <v>272</v>
      </c>
      <c r="D54" s="10" t="s">
        <v>278</v>
      </c>
      <c r="E54" s="21" t="s">
        <v>278</v>
      </c>
      <c r="F54" s="182" t="s">
        <v>273</v>
      </c>
      <c r="G54" s="177"/>
    </row>
    <row r="55" spans="1:7" x14ac:dyDescent="0.35">
      <c r="A55" s="13" t="s">
        <v>263</v>
      </c>
      <c r="B55" s="178" t="s">
        <v>290</v>
      </c>
      <c r="C55" s="9" t="s">
        <v>281</v>
      </c>
      <c r="D55" s="10" t="s">
        <v>272</v>
      </c>
      <c r="E55" s="21" t="s">
        <v>272</v>
      </c>
      <c r="F55" s="182" t="s">
        <v>284</v>
      </c>
      <c r="G55" s="177"/>
    </row>
    <row r="56" spans="1:7" x14ac:dyDescent="0.35">
      <c r="A56" s="13" t="s">
        <v>264</v>
      </c>
      <c r="B56" s="8" t="s">
        <v>278</v>
      </c>
      <c r="C56" s="9" t="s">
        <v>278</v>
      </c>
      <c r="D56" s="10" t="s">
        <v>278</v>
      </c>
      <c r="E56" s="181" t="s">
        <v>293</v>
      </c>
      <c r="F56" s="182" t="s">
        <v>273</v>
      </c>
      <c r="G56" s="177"/>
    </row>
    <row r="57" spans="1:7" x14ac:dyDescent="0.35">
      <c r="A57" s="13" t="s">
        <v>265</v>
      </c>
      <c r="B57" s="8" t="s">
        <v>296</v>
      </c>
      <c r="C57" s="9" t="s">
        <v>272</v>
      </c>
      <c r="D57" s="10" t="s">
        <v>278</v>
      </c>
      <c r="E57" s="21" t="s">
        <v>323</v>
      </c>
      <c r="F57" s="182" t="s">
        <v>272</v>
      </c>
      <c r="G57" s="177"/>
    </row>
    <row r="58" spans="1:7" x14ac:dyDescent="0.35">
      <c r="A58" s="13" t="s">
        <v>266</v>
      </c>
      <c r="B58" s="8" t="s">
        <v>272</v>
      </c>
      <c r="C58" s="179" t="s">
        <v>293</v>
      </c>
      <c r="D58" s="10" t="s">
        <v>272</v>
      </c>
      <c r="E58" s="21" t="s">
        <v>272</v>
      </c>
      <c r="F58" s="182" t="s">
        <v>325</v>
      </c>
      <c r="G58" s="177"/>
    </row>
    <row r="59" spans="1:7" x14ac:dyDescent="0.35">
      <c r="A59" s="13" t="s">
        <v>267</v>
      </c>
      <c r="B59" s="8" t="s">
        <v>272</v>
      </c>
      <c r="C59" s="9" t="s">
        <v>272</v>
      </c>
      <c r="D59" s="10" t="s">
        <v>272</v>
      </c>
      <c r="E59" s="21" t="s">
        <v>272</v>
      </c>
      <c r="F59" s="182" t="s">
        <v>272</v>
      </c>
      <c r="G59" s="177"/>
    </row>
    <row r="60" spans="1:7" x14ac:dyDescent="0.35">
      <c r="A60" s="13" t="s">
        <v>268</v>
      </c>
      <c r="B60" s="8" t="s">
        <v>272</v>
      </c>
      <c r="C60" s="9" t="s">
        <v>272</v>
      </c>
      <c r="D60" s="10" t="s">
        <v>278</v>
      </c>
      <c r="E60" s="21" t="s">
        <v>272</v>
      </c>
      <c r="F60" s="182" t="s">
        <v>272</v>
      </c>
      <c r="G60" s="177"/>
    </row>
    <row r="61" spans="1:7" x14ac:dyDescent="0.35">
      <c r="A61" s="13" t="s">
        <v>269</v>
      </c>
      <c r="B61" s="8" t="s">
        <v>272</v>
      </c>
      <c r="C61" s="9" t="s">
        <v>272</v>
      </c>
      <c r="D61" s="10" t="s">
        <v>272</v>
      </c>
      <c r="E61" s="21" t="s">
        <v>279</v>
      </c>
      <c r="F61" s="182" t="s">
        <v>329</v>
      </c>
      <c r="G61" s="177"/>
    </row>
    <row r="62" spans="1:7" x14ac:dyDescent="0.35">
      <c r="A62" s="13" t="s">
        <v>270</v>
      </c>
      <c r="B62" s="8" t="s">
        <v>273</v>
      </c>
      <c r="C62" s="9" t="s">
        <v>278</v>
      </c>
      <c r="D62" s="10" t="s">
        <v>272</v>
      </c>
      <c r="E62" s="21" t="s">
        <v>296</v>
      </c>
      <c r="F62" s="182" t="s">
        <v>318</v>
      </c>
      <c r="G62" s="177"/>
    </row>
    <row r="63" spans="1:7" x14ac:dyDescent="0.35">
      <c r="A63" s="13" t="s">
        <v>271</v>
      </c>
      <c r="B63" s="8" t="s">
        <v>297</v>
      </c>
      <c r="C63" s="9" t="s">
        <v>297</v>
      </c>
      <c r="D63" s="10" t="s">
        <v>297</v>
      </c>
      <c r="E63" s="21" t="s">
        <v>324</v>
      </c>
      <c r="F63" s="182" t="s">
        <v>297</v>
      </c>
      <c r="G63" s="177"/>
    </row>
    <row r="64" spans="1:7" x14ac:dyDescent="0.35">
      <c r="A64" s="29" t="s">
        <v>111</v>
      </c>
      <c r="B64" s="177"/>
      <c r="C64" s="177"/>
      <c r="D64" s="177"/>
      <c r="E64" s="177"/>
      <c r="F64" s="177"/>
      <c r="G64" s="177"/>
    </row>
    <row r="65" spans="1:7" x14ac:dyDescent="0.35">
      <c r="A65" s="13" t="s">
        <v>8</v>
      </c>
      <c r="B65" s="15" t="s">
        <v>0</v>
      </c>
      <c r="C65" s="16" t="s">
        <v>1</v>
      </c>
      <c r="D65" s="17" t="s">
        <v>2</v>
      </c>
      <c r="E65" s="24" t="s">
        <v>3</v>
      </c>
      <c r="F65" s="23" t="s">
        <v>4</v>
      </c>
      <c r="G65" s="18" t="s">
        <v>5</v>
      </c>
    </row>
    <row r="66" spans="1:7" x14ac:dyDescent="0.35">
      <c r="A66" s="13" t="s">
        <v>242</v>
      </c>
      <c r="B66" s="177"/>
      <c r="C66" s="9" t="s">
        <v>272</v>
      </c>
      <c r="D66" s="10" t="s">
        <v>279</v>
      </c>
      <c r="E66" s="21" t="s">
        <v>272</v>
      </c>
      <c r="F66" s="177"/>
      <c r="G66" s="225" t="s">
        <v>298</v>
      </c>
    </row>
    <row r="67" spans="1:7" x14ac:dyDescent="0.35">
      <c r="A67" s="13" t="s">
        <v>243</v>
      </c>
      <c r="B67" s="177"/>
      <c r="C67" s="9" t="s">
        <v>273</v>
      </c>
      <c r="D67" s="10" t="s">
        <v>272</v>
      </c>
      <c r="E67" s="21" t="s">
        <v>272</v>
      </c>
      <c r="F67" s="177"/>
      <c r="G67" s="6" t="s">
        <v>278</v>
      </c>
    </row>
    <row r="68" spans="1:7" x14ac:dyDescent="0.35">
      <c r="A68" s="13" t="s">
        <v>244</v>
      </c>
      <c r="B68" s="177"/>
      <c r="C68" s="9" t="s">
        <v>272</v>
      </c>
      <c r="D68" s="10" t="s">
        <v>272</v>
      </c>
      <c r="E68" s="21" t="s">
        <v>272</v>
      </c>
      <c r="F68" s="177"/>
      <c r="G68" s="225" t="s">
        <v>298</v>
      </c>
    </row>
    <row r="69" spans="1:7" x14ac:dyDescent="0.35">
      <c r="A69" s="13" t="s">
        <v>245</v>
      </c>
      <c r="B69" s="177"/>
      <c r="C69" s="9" t="s">
        <v>279</v>
      </c>
      <c r="D69" s="10" t="s">
        <v>279</v>
      </c>
      <c r="E69" s="21" t="s">
        <v>272</v>
      </c>
      <c r="F69" s="177"/>
      <c r="G69" s="6" t="s">
        <v>272</v>
      </c>
    </row>
    <row r="70" spans="1:7" x14ac:dyDescent="0.35">
      <c r="A70" s="13" t="s">
        <v>246</v>
      </c>
      <c r="B70" s="177"/>
      <c r="C70" s="9" t="s">
        <v>272</v>
      </c>
      <c r="D70" s="10" t="s">
        <v>272</v>
      </c>
      <c r="E70" s="21" t="s">
        <v>272</v>
      </c>
      <c r="F70" s="177"/>
      <c r="G70" s="6" t="s">
        <v>272</v>
      </c>
    </row>
    <row r="71" spans="1:7" x14ac:dyDescent="0.35">
      <c r="A71" s="13" t="s">
        <v>247</v>
      </c>
      <c r="B71" s="177"/>
      <c r="C71" s="9" t="s">
        <v>323</v>
      </c>
      <c r="D71" s="10" t="s">
        <v>272</v>
      </c>
      <c r="E71" s="21" t="s">
        <v>302</v>
      </c>
      <c r="F71" s="177"/>
      <c r="G71" s="6" t="s">
        <v>322</v>
      </c>
    </row>
    <row r="72" spans="1:7" x14ac:dyDescent="0.35">
      <c r="A72" s="13" t="s">
        <v>248</v>
      </c>
      <c r="B72" s="177"/>
      <c r="C72" s="9" t="s">
        <v>272</v>
      </c>
      <c r="D72" s="10" t="s">
        <v>278</v>
      </c>
      <c r="E72" s="21" t="s">
        <v>296</v>
      </c>
      <c r="F72" s="177"/>
      <c r="G72" s="6" t="s">
        <v>272</v>
      </c>
    </row>
    <row r="73" spans="1:7" x14ac:dyDescent="0.35">
      <c r="A73" s="13" t="s">
        <v>249</v>
      </c>
      <c r="B73" s="177"/>
      <c r="C73" s="9" t="s">
        <v>273</v>
      </c>
      <c r="D73" s="10" t="s">
        <v>272</v>
      </c>
      <c r="E73" s="21" t="s">
        <v>275</v>
      </c>
      <c r="F73" s="177"/>
      <c r="G73" s="6" t="s">
        <v>272</v>
      </c>
    </row>
    <row r="74" spans="1:7" x14ac:dyDescent="0.35">
      <c r="A74" s="13" t="s">
        <v>250</v>
      </c>
      <c r="B74" s="177"/>
      <c r="C74" s="9" t="s">
        <v>273</v>
      </c>
      <c r="D74" s="10" t="s">
        <v>281</v>
      </c>
      <c r="E74" s="21" t="s">
        <v>272</v>
      </c>
      <c r="F74" s="177"/>
      <c r="G74" s="6" t="s">
        <v>272</v>
      </c>
    </row>
    <row r="75" spans="1:7" x14ac:dyDescent="0.35">
      <c r="A75" s="13" t="s">
        <v>251</v>
      </c>
      <c r="B75" s="177"/>
      <c r="C75" s="9" t="s">
        <v>338</v>
      </c>
      <c r="D75" s="10" t="s">
        <v>342</v>
      </c>
      <c r="E75" s="21" t="s">
        <v>344</v>
      </c>
      <c r="F75" s="177"/>
      <c r="G75" s="6" t="s">
        <v>317</v>
      </c>
    </row>
    <row r="76" spans="1:7" x14ac:dyDescent="0.35">
      <c r="A76" s="13" t="s">
        <v>252</v>
      </c>
      <c r="B76" s="177"/>
      <c r="C76" s="9" t="s">
        <v>275</v>
      </c>
      <c r="D76" s="10" t="s">
        <v>291</v>
      </c>
      <c r="E76" s="21" t="s">
        <v>322</v>
      </c>
      <c r="F76" s="177"/>
      <c r="G76" s="6" t="s">
        <v>275</v>
      </c>
    </row>
    <row r="77" spans="1:7" x14ac:dyDescent="0.35">
      <c r="A77" s="13" t="s">
        <v>253</v>
      </c>
      <c r="B77" s="177"/>
      <c r="C77" s="9" t="s">
        <v>273</v>
      </c>
      <c r="D77" s="10" t="s">
        <v>272</v>
      </c>
      <c r="E77" s="21" t="s">
        <v>343</v>
      </c>
      <c r="F77" s="177"/>
      <c r="G77" s="6" t="s">
        <v>272</v>
      </c>
    </row>
    <row r="78" spans="1:7" x14ac:dyDescent="0.35">
      <c r="A78" s="13" t="s">
        <v>254</v>
      </c>
      <c r="B78" s="177"/>
      <c r="C78" s="9" t="s">
        <v>272</v>
      </c>
      <c r="D78" s="10" t="s">
        <v>272</v>
      </c>
      <c r="E78" s="21" t="s">
        <v>272</v>
      </c>
      <c r="F78" s="177"/>
      <c r="G78" s="6" t="s">
        <v>272</v>
      </c>
    </row>
    <row r="79" spans="1:7" x14ac:dyDescent="0.35">
      <c r="A79" s="13" t="s">
        <v>255</v>
      </c>
      <c r="B79" s="177"/>
      <c r="C79" s="9" t="s">
        <v>273</v>
      </c>
      <c r="D79" s="10" t="s">
        <v>273</v>
      </c>
      <c r="E79" s="21" t="s">
        <v>272</v>
      </c>
      <c r="F79" s="177"/>
      <c r="G79" s="6" t="s">
        <v>273</v>
      </c>
    </row>
    <row r="80" spans="1:7" x14ac:dyDescent="0.35">
      <c r="A80" s="13" t="s">
        <v>256</v>
      </c>
      <c r="B80" s="177"/>
      <c r="C80" s="9" t="s">
        <v>272</v>
      </c>
      <c r="D80" s="10" t="s">
        <v>272</v>
      </c>
      <c r="E80" s="21" t="s">
        <v>275</v>
      </c>
      <c r="F80" s="177"/>
      <c r="G80" s="6" t="s">
        <v>295</v>
      </c>
    </row>
    <row r="81" spans="1:7" x14ac:dyDescent="0.35">
      <c r="A81" s="13" t="s">
        <v>257</v>
      </c>
      <c r="B81" s="177"/>
      <c r="C81" s="179" t="s">
        <v>339</v>
      </c>
      <c r="D81" s="180" t="s">
        <v>293</v>
      </c>
      <c r="E81" s="21" t="s">
        <v>278</v>
      </c>
      <c r="F81" s="177"/>
      <c r="G81" s="6" t="s">
        <v>273</v>
      </c>
    </row>
    <row r="82" spans="1:7" x14ac:dyDescent="0.35">
      <c r="A82" s="13" t="s">
        <v>258</v>
      </c>
      <c r="B82" s="177"/>
      <c r="C82" s="9" t="s">
        <v>272</v>
      </c>
      <c r="D82" s="10" t="s">
        <v>272</v>
      </c>
      <c r="E82" s="181" t="s">
        <v>293</v>
      </c>
      <c r="F82" s="177"/>
      <c r="G82" s="6" t="s">
        <v>272</v>
      </c>
    </row>
    <row r="83" spans="1:7" x14ac:dyDescent="0.35">
      <c r="A83" s="13" t="s">
        <v>259</v>
      </c>
      <c r="B83" s="177"/>
      <c r="C83" s="9" t="s">
        <v>273</v>
      </c>
      <c r="D83" s="10" t="s">
        <v>273</v>
      </c>
      <c r="E83" s="224" t="s">
        <v>281</v>
      </c>
      <c r="F83" s="177"/>
      <c r="G83" s="6" t="s">
        <v>272</v>
      </c>
    </row>
    <row r="84" spans="1:7" x14ac:dyDescent="0.35">
      <c r="A84" s="13" t="s">
        <v>260</v>
      </c>
      <c r="B84" s="177"/>
      <c r="C84" s="9" t="s">
        <v>272</v>
      </c>
      <c r="D84" s="10" t="s">
        <v>272</v>
      </c>
      <c r="E84" s="21" t="s">
        <v>272</v>
      </c>
      <c r="F84" s="177"/>
      <c r="G84" s="6" t="s">
        <v>272</v>
      </c>
    </row>
    <row r="85" spans="1:7" x14ac:dyDescent="0.35">
      <c r="A85" s="13" t="s">
        <v>261</v>
      </c>
      <c r="B85" s="177"/>
      <c r="C85" s="9" t="s">
        <v>340</v>
      </c>
      <c r="D85" s="10" t="s">
        <v>341</v>
      </c>
      <c r="E85" s="181" t="s">
        <v>339</v>
      </c>
      <c r="F85" s="177"/>
      <c r="G85" s="6" t="s">
        <v>302</v>
      </c>
    </row>
    <row r="86" spans="1:7" x14ac:dyDescent="0.35">
      <c r="A86" s="13" t="s">
        <v>262</v>
      </c>
      <c r="B86" s="177"/>
      <c r="C86" s="9" t="s">
        <v>272</v>
      </c>
      <c r="D86" s="10" t="s">
        <v>272</v>
      </c>
      <c r="E86" s="21" t="s">
        <v>275</v>
      </c>
      <c r="F86" s="177"/>
      <c r="G86" s="6" t="s">
        <v>273</v>
      </c>
    </row>
    <row r="87" spans="1:7" x14ac:dyDescent="0.35">
      <c r="A87" s="13" t="s">
        <v>263</v>
      </c>
      <c r="B87" s="177"/>
      <c r="C87" s="9" t="s">
        <v>272</v>
      </c>
      <c r="D87" s="10" t="s">
        <v>272</v>
      </c>
      <c r="E87" s="21" t="s">
        <v>275</v>
      </c>
      <c r="F87" s="177"/>
      <c r="G87" s="6" t="s">
        <v>272</v>
      </c>
    </row>
    <row r="88" spans="1:7" x14ac:dyDescent="0.35">
      <c r="A88" s="13" t="s">
        <v>264</v>
      </c>
      <c r="B88" s="177"/>
      <c r="C88" s="9" t="s">
        <v>273</v>
      </c>
      <c r="D88" s="10" t="s">
        <v>272</v>
      </c>
      <c r="E88" s="21" t="s">
        <v>272</v>
      </c>
      <c r="F88" s="177"/>
      <c r="G88" s="6" t="s">
        <v>272</v>
      </c>
    </row>
    <row r="89" spans="1:7" x14ac:dyDescent="0.35">
      <c r="A89" s="13" t="s">
        <v>265</v>
      </c>
      <c r="B89" s="177"/>
      <c r="C89" s="9" t="s">
        <v>296</v>
      </c>
      <c r="D89" s="10" t="s">
        <v>272</v>
      </c>
      <c r="E89" s="21" t="s">
        <v>272</v>
      </c>
      <c r="F89" s="177"/>
      <c r="G89" s="6" t="s">
        <v>278</v>
      </c>
    </row>
    <row r="90" spans="1:7" x14ac:dyDescent="0.35">
      <c r="A90" s="13" t="s">
        <v>266</v>
      </c>
      <c r="B90" s="177"/>
      <c r="C90" s="179" t="s">
        <v>279</v>
      </c>
      <c r="D90" s="10" t="s">
        <v>272</v>
      </c>
      <c r="E90" s="21" t="s">
        <v>322</v>
      </c>
      <c r="F90" s="177"/>
      <c r="G90" s="6" t="s">
        <v>272</v>
      </c>
    </row>
    <row r="91" spans="1:7" x14ac:dyDescent="0.35">
      <c r="A91" s="13" t="s">
        <v>267</v>
      </c>
      <c r="B91" s="177"/>
      <c r="C91" s="9" t="s">
        <v>272</v>
      </c>
      <c r="D91" s="10" t="s">
        <v>281</v>
      </c>
      <c r="E91" s="21" t="s">
        <v>279</v>
      </c>
      <c r="F91" s="177"/>
      <c r="G91" s="225" t="s">
        <v>293</v>
      </c>
    </row>
    <row r="92" spans="1:7" x14ac:dyDescent="0.35">
      <c r="A92" s="13" t="s">
        <v>268</v>
      </c>
      <c r="B92" s="177"/>
      <c r="C92" s="9" t="s">
        <v>273</v>
      </c>
      <c r="D92" s="10" t="s">
        <v>272</v>
      </c>
      <c r="E92" s="21" t="s">
        <v>272</v>
      </c>
      <c r="F92" s="177"/>
      <c r="G92" s="6" t="s">
        <v>281</v>
      </c>
    </row>
    <row r="93" spans="1:7" x14ac:dyDescent="0.35">
      <c r="A93" s="13" t="s">
        <v>269</v>
      </c>
      <c r="B93" s="177"/>
      <c r="C93" s="9" t="s">
        <v>321</v>
      </c>
      <c r="D93" s="10" t="s">
        <v>272</v>
      </c>
      <c r="E93" s="21" t="s">
        <v>272</v>
      </c>
      <c r="F93" s="177"/>
      <c r="G93" s="6" t="s">
        <v>278</v>
      </c>
    </row>
    <row r="94" spans="1:7" x14ac:dyDescent="0.35">
      <c r="A94" s="13" t="s">
        <v>270</v>
      </c>
      <c r="B94" s="177"/>
      <c r="C94" s="9" t="s">
        <v>272</v>
      </c>
      <c r="D94" s="10" t="s">
        <v>343</v>
      </c>
      <c r="E94" s="181" t="s">
        <v>289</v>
      </c>
      <c r="F94" s="177"/>
      <c r="G94" s="6" t="s">
        <v>272</v>
      </c>
    </row>
    <row r="95" spans="1:7" x14ac:dyDescent="0.35">
      <c r="A95" s="13" t="s">
        <v>271</v>
      </c>
      <c r="B95" s="177"/>
      <c r="C95" s="9" t="s">
        <v>341</v>
      </c>
      <c r="D95" s="10" t="s">
        <v>297</v>
      </c>
      <c r="E95" s="21" t="s">
        <v>297</v>
      </c>
      <c r="F95" s="177"/>
      <c r="G95" s="6" t="s">
        <v>345</v>
      </c>
    </row>
    <row r="96" spans="1:7" x14ac:dyDescent="0.35">
      <c r="A96" s="29" t="s">
        <v>143</v>
      </c>
      <c r="B96" s="177"/>
      <c r="C96" s="177"/>
      <c r="D96" s="177"/>
      <c r="E96" s="177"/>
      <c r="F96" s="177"/>
      <c r="G96" s="177"/>
    </row>
    <row r="97" spans="1:7" x14ac:dyDescent="0.35">
      <c r="A97" s="13" t="s">
        <v>9</v>
      </c>
      <c r="B97" s="15" t="s">
        <v>0</v>
      </c>
      <c r="C97" s="16" t="s">
        <v>1</v>
      </c>
      <c r="D97" s="17" t="s">
        <v>2</v>
      </c>
      <c r="E97" s="24" t="s">
        <v>3</v>
      </c>
      <c r="F97" s="23" t="s">
        <v>4</v>
      </c>
      <c r="G97" s="18" t="s">
        <v>5</v>
      </c>
    </row>
    <row r="98" spans="1:7" x14ac:dyDescent="0.35">
      <c r="A98" s="13" t="s">
        <v>242</v>
      </c>
      <c r="B98" s="8"/>
      <c r="C98" s="9"/>
      <c r="D98" s="10"/>
      <c r="E98" s="21"/>
      <c r="F98" s="22"/>
      <c r="G98" s="6"/>
    </row>
    <row r="99" spans="1:7" x14ac:dyDescent="0.35">
      <c r="A99" s="13" t="s">
        <v>243</v>
      </c>
      <c r="B99" s="8"/>
      <c r="C99" s="9"/>
      <c r="D99" s="10"/>
      <c r="E99" s="21"/>
      <c r="F99" s="22"/>
      <c r="G99" s="6"/>
    </row>
    <row r="100" spans="1:7" x14ac:dyDescent="0.35">
      <c r="A100" s="13" t="s">
        <v>244</v>
      </c>
      <c r="B100" s="8"/>
      <c r="C100" s="9"/>
      <c r="D100" s="10"/>
      <c r="E100" s="21"/>
      <c r="F100" s="22"/>
      <c r="G100" s="6"/>
    </row>
    <row r="101" spans="1:7" x14ac:dyDescent="0.35">
      <c r="A101" s="13" t="s">
        <v>245</v>
      </c>
      <c r="B101" s="8"/>
      <c r="C101" s="9"/>
      <c r="D101" s="10"/>
      <c r="E101" s="21"/>
      <c r="F101" s="22"/>
      <c r="G101" s="6"/>
    </row>
    <row r="102" spans="1:7" x14ac:dyDescent="0.35">
      <c r="A102" s="13" t="s">
        <v>246</v>
      </c>
      <c r="B102" s="8"/>
      <c r="C102" s="9"/>
      <c r="D102" s="10"/>
      <c r="E102" s="21"/>
      <c r="F102" s="22"/>
      <c r="G102" s="6"/>
    </row>
    <row r="103" spans="1:7" x14ac:dyDescent="0.35">
      <c r="A103" s="13" t="s">
        <v>247</v>
      </c>
      <c r="B103" s="8"/>
      <c r="C103" s="9"/>
      <c r="D103" s="10"/>
      <c r="E103" s="21"/>
      <c r="F103" s="22"/>
      <c r="G103" s="6"/>
    </row>
    <row r="104" spans="1:7" x14ac:dyDescent="0.35">
      <c r="A104" s="13" t="s">
        <v>248</v>
      </c>
      <c r="B104" s="8"/>
      <c r="C104" s="9"/>
      <c r="D104" s="10"/>
      <c r="E104" s="21"/>
      <c r="F104" s="22"/>
      <c r="G104" s="6"/>
    </row>
    <row r="105" spans="1:7" x14ac:dyDescent="0.35">
      <c r="A105" s="13" t="s">
        <v>249</v>
      </c>
      <c r="B105" s="8"/>
      <c r="C105" s="9"/>
      <c r="D105" s="10"/>
      <c r="E105" s="21"/>
      <c r="F105" s="22"/>
      <c r="G105" s="6"/>
    </row>
    <row r="106" spans="1:7" x14ac:dyDescent="0.35">
      <c r="A106" s="13" t="s">
        <v>250</v>
      </c>
      <c r="B106" s="8"/>
      <c r="C106" s="9"/>
      <c r="D106" s="10"/>
      <c r="E106" s="21"/>
      <c r="F106" s="22"/>
      <c r="G106" s="6"/>
    </row>
    <row r="107" spans="1:7" x14ac:dyDescent="0.35">
      <c r="A107" s="13" t="s">
        <v>251</v>
      </c>
      <c r="B107" s="8"/>
      <c r="C107" s="9"/>
      <c r="D107" s="10"/>
      <c r="E107" s="21"/>
      <c r="F107" s="22"/>
      <c r="G107" s="6"/>
    </row>
    <row r="108" spans="1:7" x14ac:dyDescent="0.35">
      <c r="A108" s="13" t="s">
        <v>252</v>
      </c>
      <c r="B108" s="8"/>
      <c r="C108" s="9"/>
      <c r="D108" s="10"/>
      <c r="E108" s="21"/>
      <c r="F108" s="22"/>
      <c r="G108" s="6"/>
    </row>
    <row r="109" spans="1:7" x14ac:dyDescent="0.35">
      <c r="A109" s="13" t="s">
        <v>253</v>
      </c>
      <c r="B109" s="8"/>
      <c r="C109" s="9"/>
      <c r="D109" s="10"/>
      <c r="E109" s="21"/>
      <c r="F109" s="22"/>
      <c r="G109" s="6"/>
    </row>
    <row r="110" spans="1:7" x14ac:dyDescent="0.35">
      <c r="A110" s="13" t="s">
        <v>254</v>
      </c>
      <c r="B110" s="8"/>
      <c r="C110" s="9"/>
      <c r="D110" s="10"/>
      <c r="E110" s="21"/>
      <c r="F110" s="22"/>
      <c r="G110" s="6"/>
    </row>
    <row r="111" spans="1:7" x14ac:dyDescent="0.35">
      <c r="A111" s="13" t="s">
        <v>255</v>
      </c>
      <c r="B111" s="8"/>
      <c r="C111" s="9"/>
      <c r="D111" s="10"/>
      <c r="E111" s="21"/>
      <c r="F111" s="22"/>
      <c r="G111" s="6"/>
    </row>
    <row r="112" spans="1:7" x14ac:dyDescent="0.35">
      <c r="A112" s="13" t="s">
        <v>256</v>
      </c>
      <c r="B112" s="8"/>
      <c r="C112" s="9"/>
      <c r="D112" s="10"/>
      <c r="E112" s="21"/>
      <c r="F112" s="22"/>
      <c r="G112" s="6"/>
    </row>
    <row r="113" spans="1:7" x14ac:dyDescent="0.35">
      <c r="A113" s="13" t="s">
        <v>257</v>
      </c>
      <c r="B113" s="8"/>
      <c r="C113" s="9"/>
      <c r="D113" s="10"/>
      <c r="E113" s="21"/>
      <c r="F113" s="22"/>
      <c r="G113" s="6"/>
    </row>
    <row r="114" spans="1:7" x14ac:dyDescent="0.35">
      <c r="A114" s="13" t="s">
        <v>258</v>
      </c>
      <c r="B114" s="8"/>
      <c r="C114" s="9"/>
      <c r="D114" s="10"/>
      <c r="E114" s="21"/>
      <c r="F114" s="22"/>
      <c r="G114" s="6"/>
    </row>
    <row r="115" spans="1:7" x14ac:dyDescent="0.35">
      <c r="A115" s="13" t="s">
        <v>259</v>
      </c>
      <c r="B115" s="8"/>
      <c r="C115" s="9"/>
      <c r="D115" s="10"/>
      <c r="E115" s="21"/>
      <c r="F115" s="22"/>
      <c r="G115" s="6"/>
    </row>
    <row r="116" spans="1:7" x14ac:dyDescent="0.35">
      <c r="A116" s="13" t="s">
        <v>260</v>
      </c>
      <c r="B116" s="8"/>
      <c r="C116" s="9"/>
      <c r="D116" s="10"/>
      <c r="E116" s="21"/>
      <c r="F116" s="22"/>
      <c r="G116" s="6"/>
    </row>
    <row r="117" spans="1:7" x14ac:dyDescent="0.35">
      <c r="A117" s="13" t="s">
        <v>261</v>
      </c>
      <c r="B117" s="8"/>
      <c r="C117" s="9"/>
      <c r="D117" s="10"/>
      <c r="E117" s="21"/>
      <c r="F117" s="22"/>
      <c r="G117" s="6"/>
    </row>
    <row r="118" spans="1:7" x14ac:dyDescent="0.35">
      <c r="A118" s="13" t="s">
        <v>262</v>
      </c>
      <c r="B118" s="8"/>
      <c r="C118" s="9"/>
      <c r="D118" s="10"/>
      <c r="E118" s="21"/>
      <c r="F118" s="22"/>
      <c r="G118" s="6"/>
    </row>
    <row r="119" spans="1:7" x14ac:dyDescent="0.35">
      <c r="A119" s="13" t="s">
        <v>263</v>
      </c>
      <c r="B119" s="8"/>
      <c r="C119" s="9"/>
      <c r="D119" s="10"/>
      <c r="E119" s="21"/>
      <c r="F119" s="22"/>
      <c r="G119" s="6"/>
    </row>
    <row r="120" spans="1:7" x14ac:dyDescent="0.35">
      <c r="A120" s="13" t="s">
        <v>264</v>
      </c>
      <c r="B120" s="8"/>
      <c r="C120" s="9"/>
      <c r="D120" s="10"/>
      <c r="E120" s="21"/>
      <c r="F120" s="22"/>
      <c r="G120" s="6"/>
    </row>
    <row r="121" spans="1:7" x14ac:dyDescent="0.35">
      <c r="A121" s="13" t="s">
        <v>265</v>
      </c>
      <c r="B121" s="8"/>
      <c r="C121" s="9"/>
      <c r="D121" s="10"/>
      <c r="E121" s="21"/>
      <c r="F121" s="22"/>
      <c r="G121" s="6"/>
    </row>
    <row r="122" spans="1:7" x14ac:dyDescent="0.35">
      <c r="A122" s="13" t="s">
        <v>266</v>
      </c>
      <c r="B122" s="8"/>
      <c r="C122" s="9"/>
      <c r="D122" s="10"/>
      <c r="E122" s="21"/>
      <c r="F122" s="22"/>
      <c r="G122" s="6"/>
    </row>
    <row r="123" spans="1:7" x14ac:dyDescent="0.35">
      <c r="A123" s="13" t="s">
        <v>267</v>
      </c>
      <c r="B123" s="8"/>
      <c r="C123" s="9"/>
      <c r="D123" s="10"/>
      <c r="E123" s="21"/>
      <c r="F123" s="22"/>
      <c r="G123" s="6"/>
    </row>
    <row r="124" spans="1:7" x14ac:dyDescent="0.35">
      <c r="A124" s="13" t="s">
        <v>268</v>
      </c>
      <c r="B124" s="8"/>
      <c r="C124" s="9"/>
      <c r="D124" s="10"/>
      <c r="E124" s="21"/>
      <c r="F124" s="22"/>
      <c r="G124" s="6"/>
    </row>
    <row r="125" spans="1:7" x14ac:dyDescent="0.35">
      <c r="A125" s="13" t="s">
        <v>269</v>
      </c>
      <c r="B125" s="8"/>
      <c r="C125" s="9"/>
      <c r="D125" s="10"/>
      <c r="E125" s="21"/>
      <c r="F125" s="22"/>
      <c r="G125" s="6"/>
    </row>
    <row r="126" spans="1:7" x14ac:dyDescent="0.35">
      <c r="A126" s="13" t="s">
        <v>270</v>
      </c>
      <c r="B126" s="8"/>
      <c r="C126" s="9"/>
      <c r="D126" s="10"/>
      <c r="E126" s="21"/>
      <c r="F126" s="22"/>
      <c r="G126" s="6"/>
    </row>
    <row r="127" spans="1:7" x14ac:dyDescent="0.35">
      <c r="A127" s="13" t="s">
        <v>271</v>
      </c>
      <c r="B127" s="8"/>
      <c r="C127" s="9"/>
      <c r="D127" s="10"/>
      <c r="E127" s="21"/>
      <c r="F127" s="22"/>
      <c r="G127" s="6"/>
    </row>
    <row r="128" spans="1:7" x14ac:dyDescent="0.35">
      <c r="A128" s="2"/>
      <c r="B128" s="2"/>
      <c r="C128" s="2"/>
      <c r="D128" s="2"/>
      <c r="E128" s="2"/>
      <c r="F128" s="2"/>
      <c r="G128" s="2"/>
    </row>
    <row r="129" spans="1:7" x14ac:dyDescent="0.35">
      <c r="A129" s="13" t="s">
        <v>10</v>
      </c>
      <c r="B129" s="15" t="s">
        <v>0</v>
      </c>
      <c r="C129" s="16" t="s">
        <v>1</v>
      </c>
      <c r="D129" s="17" t="s">
        <v>2</v>
      </c>
      <c r="E129" s="24" t="s">
        <v>3</v>
      </c>
      <c r="F129" s="23" t="s">
        <v>4</v>
      </c>
      <c r="G129" s="18" t="s">
        <v>5</v>
      </c>
    </row>
    <row r="130" spans="1:7" x14ac:dyDescent="0.35">
      <c r="A130" s="13" t="s">
        <v>242</v>
      </c>
      <c r="B130" s="8"/>
      <c r="C130" s="9"/>
      <c r="D130" s="10"/>
      <c r="E130" s="21"/>
      <c r="F130" s="22"/>
      <c r="G130" s="6"/>
    </row>
    <row r="131" spans="1:7" x14ac:dyDescent="0.35">
      <c r="A131" s="13" t="s">
        <v>243</v>
      </c>
      <c r="B131" s="8"/>
      <c r="C131" s="9"/>
      <c r="D131" s="10"/>
      <c r="E131" s="21"/>
      <c r="F131" s="22"/>
      <c r="G131" s="6"/>
    </row>
    <row r="132" spans="1:7" x14ac:dyDescent="0.35">
      <c r="A132" s="13" t="s">
        <v>244</v>
      </c>
      <c r="B132" s="8"/>
      <c r="C132" s="9"/>
      <c r="D132" s="10"/>
      <c r="E132" s="21"/>
      <c r="F132" s="22"/>
      <c r="G132" s="6"/>
    </row>
    <row r="133" spans="1:7" x14ac:dyDescent="0.35">
      <c r="A133" s="13" t="s">
        <v>245</v>
      </c>
      <c r="B133" s="8"/>
      <c r="C133" s="9"/>
      <c r="D133" s="10"/>
      <c r="E133" s="21"/>
      <c r="F133" s="22"/>
      <c r="G133" s="6"/>
    </row>
    <row r="134" spans="1:7" x14ac:dyDescent="0.35">
      <c r="A134" s="13" t="s">
        <v>246</v>
      </c>
      <c r="B134" s="8"/>
      <c r="C134" s="9"/>
      <c r="D134" s="10"/>
      <c r="E134" s="21"/>
      <c r="F134" s="22"/>
      <c r="G134" s="6"/>
    </row>
    <row r="135" spans="1:7" x14ac:dyDescent="0.35">
      <c r="A135" s="13" t="s">
        <v>247</v>
      </c>
      <c r="B135" s="8"/>
      <c r="C135" s="9"/>
      <c r="D135" s="10"/>
      <c r="E135" s="21"/>
      <c r="F135" s="22"/>
      <c r="G135" s="6"/>
    </row>
    <row r="136" spans="1:7" x14ac:dyDescent="0.35">
      <c r="A136" s="13" t="s">
        <v>248</v>
      </c>
      <c r="B136" s="8"/>
      <c r="C136" s="9"/>
      <c r="D136" s="10"/>
      <c r="E136" s="21"/>
      <c r="F136" s="22"/>
      <c r="G136" s="6"/>
    </row>
    <row r="137" spans="1:7" x14ac:dyDescent="0.35">
      <c r="A137" s="13" t="s">
        <v>249</v>
      </c>
      <c r="B137" s="8"/>
      <c r="C137" s="9"/>
      <c r="D137" s="10"/>
      <c r="E137" s="21"/>
      <c r="F137" s="22"/>
      <c r="G137" s="6"/>
    </row>
    <row r="138" spans="1:7" x14ac:dyDescent="0.35">
      <c r="A138" s="13" t="s">
        <v>250</v>
      </c>
      <c r="B138" s="8"/>
      <c r="C138" s="9"/>
      <c r="D138" s="10"/>
      <c r="E138" s="21"/>
      <c r="F138" s="22"/>
      <c r="G138" s="6"/>
    </row>
    <row r="139" spans="1:7" x14ac:dyDescent="0.35">
      <c r="A139" s="13" t="s">
        <v>251</v>
      </c>
      <c r="B139" s="8"/>
      <c r="C139" s="9"/>
      <c r="D139" s="10"/>
      <c r="E139" s="21"/>
      <c r="F139" s="22"/>
      <c r="G139" s="6"/>
    </row>
    <row r="140" spans="1:7" x14ac:dyDescent="0.35">
      <c r="A140" s="13" t="s">
        <v>252</v>
      </c>
      <c r="B140" s="8"/>
      <c r="C140" s="9"/>
      <c r="D140" s="10"/>
      <c r="E140" s="21"/>
      <c r="F140" s="22"/>
      <c r="G140" s="6"/>
    </row>
    <row r="141" spans="1:7" x14ac:dyDescent="0.35">
      <c r="A141" s="13" t="s">
        <v>253</v>
      </c>
      <c r="B141" s="8"/>
      <c r="C141" s="9"/>
      <c r="D141" s="10"/>
      <c r="E141" s="21"/>
      <c r="F141" s="22"/>
      <c r="G141" s="6"/>
    </row>
    <row r="142" spans="1:7" x14ac:dyDescent="0.35">
      <c r="A142" s="13" t="s">
        <v>254</v>
      </c>
      <c r="B142" s="8"/>
      <c r="C142" s="9"/>
      <c r="D142" s="10"/>
      <c r="E142" s="21"/>
      <c r="F142" s="22"/>
      <c r="G142" s="6"/>
    </row>
    <row r="143" spans="1:7" x14ac:dyDescent="0.35">
      <c r="A143" s="13" t="s">
        <v>255</v>
      </c>
      <c r="B143" s="8"/>
      <c r="C143" s="9"/>
      <c r="D143" s="10"/>
      <c r="E143" s="21"/>
      <c r="F143" s="22"/>
      <c r="G143" s="6"/>
    </row>
    <row r="144" spans="1:7" x14ac:dyDescent="0.35">
      <c r="A144" s="13" t="s">
        <v>256</v>
      </c>
      <c r="B144" s="8"/>
      <c r="C144" s="9"/>
      <c r="D144" s="10"/>
      <c r="E144" s="21"/>
      <c r="F144" s="22"/>
      <c r="G144" s="6"/>
    </row>
    <row r="145" spans="1:7" x14ac:dyDescent="0.35">
      <c r="A145" s="13" t="s">
        <v>257</v>
      </c>
      <c r="B145" s="8"/>
      <c r="C145" s="9"/>
      <c r="D145" s="10"/>
      <c r="E145" s="21"/>
      <c r="F145" s="22"/>
      <c r="G145" s="6"/>
    </row>
    <row r="146" spans="1:7" x14ac:dyDescent="0.35">
      <c r="A146" s="13" t="s">
        <v>258</v>
      </c>
      <c r="B146" s="8"/>
      <c r="C146" s="9"/>
      <c r="D146" s="10"/>
      <c r="E146" s="21"/>
      <c r="F146" s="22"/>
      <c r="G146" s="6"/>
    </row>
    <row r="147" spans="1:7" x14ac:dyDescent="0.35">
      <c r="A147" s="13" t="s">
        <v>259</v>
      </c>
      <c r="B147" s="8"/>
      <c r="C147" s="9"/>
      <c r="D147" s="10"/>
      <c r="E147" s="21"/>
      <c r="F147" s="22"/>
      <c r="G147" s="6"/>
    </row>
    <row r="148" spans="1:7" x14ac:dyDescent="0.35">
      <c r="A148" s="13" t="s">
        <v>260</v>
      </c>
      <c r="B148" s="8"/>
      <c r="C148" s="9"/>
      <c r="D148" s="10"/>
      <c r="E148" s="21"/>
      <c r="F148" s="22"/>
      <c r="G148" s="6"/>
    </row>
    <row r="149" spans="1:7" x14ac:dyDescent="0.35">
      <c r="A149" s="13" t="s">
        <v>261</v>
      </c>
      <c r="B149" s="8"/>
      <c r="C149" s="9"/>
      <c r="D149" s="10"/>
      <c r="E149" s="21"/>
      <c r="F149" s="22"/>
      <c r="G149" s="6"/>
    </row>
    <row r="150" spans="1:7" x14ac:dyDescent="0.35">
      <c r="A150" s="13" t="s">
        <v>262</v>
      </c>
      <c r="B150" s="8"/>
      <c r="C150" s="9"/>
      <c r="D150" s="10"/>
      <c r="E150" s="21"/>
      <c r="F150" s="22"/>
      <c r="G150" s="6"/>
    </row>
    <row r="151" spans="1:7" x14ac:dyDescent="0.35">
      <c r="A151" s="13" t="s">
        <v>263</v>
      </c>
      <c r="B151" s="8"/>
      <c r="C151" s="9"/>
      <c r="D151" s="10"/>
      <c r="E151" s="21"/>
      <c r="F151" s="22"/>
      <c r="G151" s="6"/>
    </row>
    <row r="152" spans="1:7" x14ac:dyDescent="0.35">
      <c r="A152" s="13" t="s">
        <v>264</v>
      </c>
      <c r="B152" s="8"/>
      <c r="C152" s="9"/>
      <c r="D152" s="10"/>
      <c r="E152" s="21"/>
      <c r="F152" s="22"/>
      <c r="G152" s="6"/>
    </row>
    <row r="153" spans="1:7" x14ac:dyDescent="0.35">
      <c r="A153" s="13" t="s">
        <v>265</v>
      </c>
      <c r="B153" s="8"/>
      <c r="C153" s="9"/>
      <c r="D153" s="10"/>
      <c r="E153" s="21"/>
      <c r="F153" s="22"/>
      <c r="G153" s="6"/>
    </row>
    <row r="154" spans="1:7" x14ac:dyDescent="0.35">
      <c r="A154" s="13" t="s">
        <v>266</v>
      </c>
      <c r="B154" s="8"/>
      <c r="C154" s="9"/>
      <c r="D154" s="10"/>
      <c r="E154" s="21"/>
      <c r="F154" s="22"/>
      <c r="G154" s="6"/>
    </row>
    <row r="155" spans="1:7" x14ac:dyDescent="0.35">
      <c r="A155" s="13" t="s">
        <v>267</v>
      </c>
      <c r="B155" s="8"/>
      <c r="C155" s="9"/>
      <c r="D155" s="10"/>
      <c r="E155" s="21"/>
      <c r="F155" s="22"/>
      <c r="G155" s="6"/>
    </row>
    <row r="156" spans="1:7" x14ac:dyDescent="0.35">
      <c r="A156" s="13" t="s">
        <v>268</v>
      </c>
      <c r="B156" s="8"/>
      <c r="C156" s="9"/>
      <c r="D156" s="10"/>
      <c r="E156" s="21"/>
      <c r="F156" s="22"/>
      <c r="G156" s="6"/>
    </row>
    <row r="157" spans="1:7" x14ac:dyDescent="0.35">
      <c r="A157" s="13" t="s">
        <v>269</v>
      </c>
      <c r="B157" s="8"/>
      <c r="C157" s="9"/>
      <c r="D157" s="10"/>
      <c r="E157" s="21"/>
      <c r="F157" s="22"/>
      <c r="G157" s="6"/>
    </row>
    <row r="158" spans="1:7" x14ac:dyDescent="0.35">
      <c r="A158" s="13" t="s">
        <v>270</v>
      </c>
      <c r="B158" s="8"/>
      <c r="C158" s="9"/>
      <c r="D158" s="10"/>
      <c r="E158" s="21"/>
      <c r="F158" s="22"/>
      <c r="G158" s="6"/>
    </row>
    <row r="159" spans="1:7" x14ac:dyDescent="0.35">
      <c r="A159" s="13" t="s">
        <v>271</v>
      </c>
      <c r="B159" s="8"/>
      <c r="C159" s="9"/>
      <c r="D159" s="10"/>
      <c r="E159" s="21"/>
      <c r="F159" s="22"/>
      <c r="G159" s="6"/>
    </row>
    <row r="160" spans="1:7" x14ac:dyDescent="0.35">
      <c r="A160" s="2"/>
      <c r="B160" s="2"/>
      <c r="C160" s="2"/>
      <c r="D160" s="2"/>
      <c r="E160" s="2"/>
      <c r="F160" s="2"/>
      <c r="G160" s="2"/>
    </row>
    <row r="161" spans="1:7" x14ac:dyDescent="0.35">
      <c r="A161" s="13" t="s">
        <v>11</v>
      </c>
      <c r="B161" s="15" t="s">
        <v>0</v>
      </c>
      <c r="C161" s="16" t="s">
        <v>1</v>
      </c>
      <c r="D161" s="17" t="s">
        <v>2</v>
      </c>
      <c r="E161" s="24" t="s">
        <v>3</v>
      </c>
      <c r="F161" s="23" t="s">
        <v>4</v>
      </c>
      <c r="G161" s="18" t="s">
        <v>5</v>
      </c>
    </row>
    <row r="162" spans="1:7" x14ac:dyDescent="0.35">
      <c r="A162" s="13" t="s">
        <v>242</v>
      </c>
      <c r="B162" s="8"/>
      <c r="C162" s="9"/>
      <c r="D162" s="10"/>
      <c r="E162" s="21"/>
      <c r="F162" s="22"/>
      <c r="G162" s="6"/>
    </row>
    <row r="163" spans="1:7" x14ac:dyDescent="0.35">
      <c r="A163" s="13" t="s">
        <v>243</v>
      </c>
      <c r="B163" s="8"/>
      <c r="C163" s="9"/>
      <c r="D163" s="10"/>
      <c r="E163" s="21"/>
      <c r="F163" s="22"/>
      <c r="G163" s="6"/>
    </row>
    <row r="164" spans="1:7" x14ac:dyDescent="0.35">
      <c r="A164" s="13" t="s">
        <v>244</v>
      </c>
      <c r="B164" s="8"/>
      <c r="C164" s="9"/>
      <c r="D164" s="10"/>
      <c r="E164" s="21"/>
      <c r="F164" s="22"/>
      <c r="G164" s="6"/>
    </row>
    <row r="165" spans="1:7" x14ac:dyDescent="0.35">
      <c r="A165" s="13" t="s">
        <v>245</v>
      </c>
      <c r="B165" s="8"/>
      <c r="C165" s="9"/>
      <c r="D165" s="10"/>
      <c r="E165" s="21"/>
      <c r="F165" s="22"/>
      <c r="G165" s="6"/>
    </row>
    <row r="166" spans="1:7" x14ac:dyDescent="0.35">
      <c r="A166" s="13" t="s">
        <v>246</v>
      </c>
      <c r="B166" s="8"/>
      <c r="C166" s="9"/>
      <c r="D166" s="10"/>
      <c r="E166" s="21"/>
      <c r="F166" s="22"/>
      <c r="G166" s="6"/>
    </row>
    <row r="167" spans="1:7" x14ac:dyDescent="0.35">
      <c r="A167" s="13" t="s">
        <v>247</v>
      </c>
      <c r="B167" s="8"/>
      <c r="C167" s="9"/>
      <c r="D167" s="10"/>
      <c r="E167" s="21"/>
      <c r="F167" s="22"/>
      <c r="G167" s="6"/>
    </row>
    <row r="168" spans="1:7" x14ac:dyDescent="0.35">
      <c r="A168" s="13" t="s">
        <v>248</v>
      </c>
      <c r="B168" s="8"/>
      <c r="C168" s="9"/>
      <c r="D168" s="10"/>
      <c r="E168" s="21"/>
      <c r="F168" s="22"/>
      <c r="G168" s="6"/>
    </row>
    <row r="169" spans="1:7" x14ac:dyDescent="0.35">
      <c r="A169" s="13" t="s">
        <v>249</v>
      </c>
      <c r="B169" s="8"/>
      <c r="C169" s="9"/>
      <c r="D169" s="10"/>
      <c r="E169" s="21"/>
      <c r="F169" s="22"/>
      <c r="G169" s="6"/>
    </row>
    <row r="170" spans="1:7" x14ac:dyDescent="0.35">
      <c r="A170" s="13" t="s">
        <v>250</v>
      </c>
      <c r="B170" s="8"/>
      <c r="C170" s="9"/>
      <c r="D170" s="10"/>
      <c r="E170" s="21"/>
      <c r="F170" s="22"/>
      <c r="G170" s="6"/>
    </row>
    <row r="171" spans="1:7" x14ac:dyDescent="0.35">
      <c r="A171" s="13" t="s">
        <v>251</v>
      </c>
      <c r="B171" s="8"/>
      <c r="C171" s="9"/>
      <c r="D171" s="10"/>
      <c r="E171" s="21"/>
      <c r="F171" s="22"/>
      <c r="G171" s="6"/>
    </row>
    <row r="172" spans="1:7" x14ac:dyDescent="0.35">
      <c r="A172" s="13" t="s">
        <v>252</v>
      </c>
      <c r="B172" s="8"/>
      <c r="C172" s="9"/>
      <c r="D172" s="10"/>
      <c r="E172" s="21"/>
      <c r="F172" s="22"/>
      <c r="G172" s="6"/>
    </row>
    <row r="173" spans="1:7" x14ac:dyDescent="0.35">
      <c r="A173" s="13" t="s">
        <v>253</v>
      </c>
      <c r="B173" s="8"/>
      <c r="C173" s="9"/>
      <c r="D173" s="10"/>
      <c r="E173" s="21"/>
      <c r="F173" s="22"/>
      <c r="G173" s="6"/>
    </row>
    <row r="174" spans="1:7" x14ac:dyDescent="0.35">
      <c r="A174" s="13" t="s">
        <v>254</v>
      </c>
      <c r="B174" s="8"/>
      <c r="C174" s="9"/>
      <c r="D174" s="10"/>
      <c r="E174" s="21"/>
      <c r="F174" s="22"/>
      <c r="G174" s="6"/>
    </row>
    <row r="175" spans="1:7" x14ac:dyDescent="0.35">
      <c r="A175" s="13" t="s">
        <v>255</v>
      </c>
      <c r="B175" s="8"/>
      <c r="C175" s="9"/>
      <c r="D175" s="10"/>
      <c r="E175" s="21"/>
      <c r="F175" s="22"/>
      <c r="G175" s="6"/>
    </row>
    <row r="176" spans="1:7" x14ac:dyDescent="0.35">
      <c r="A176" s="13" t="s">
        <v>256</v>
      </c>
      <c r="B176" s="8"/>
      <c r="C176" s="9"/>
      <c r="D176" s="10"/>
      <c r="E176" s="21"/>
      <c r="F176" s="22"/>
      <c r="G176" s="6"/>
    </row>
    <row r="177" spans="1:7" x14ac:dyDescent="0.35">
      <c r="A177" s="13" t="s">
        <v>257</v>
      </c>
      <c r="B177" s="8"/>
      <c r="C177" s="9"/>
      <c r="D177" s="10"/>
      <c r="E177" s="21"/>
      <c r="F177" s="22"/>
      <c r="G177" s="6"/>
    </row>
    <row r="178" spans="1:7" x14ac:dyDescent="0.35">
      <c r="A178" s="13" t="s">
        <v>258</v>
      </c>
      <c r="B178" s="8"/>
      <c r="C178" s="9"/>
      <c r="D178" s="10"/>
      <c r="E178" s="21"/>
      <c r="F178" s="22"/>
      <c r="G178" s="6"/>
    </row>
    <row r="179" spans="1:7" x14ac:dyDescent="0.35">
      <c r="A179" s="13" t="s">
        <v>259</v>
      </c>
      <c r="B179" s="8"/>
      <c r="C179" s="9"/>
      <c r="D179" s="10"/>
      <c r="E179" s="21"/>
      <c r="F179" s="22"/>
      <c r="G179" s="6"/>
    </row>
    <row r="180" spans="1:7" x14ac:dyDescent="0.35">
      <c r="A180" s="13" t="s">
        <v>260</v>
      </c>
      <c r="B180" s="8"/>
      <c r="C180" s="9"/>
      <c r="D180" s="10"/>
      <c r="E180" s="21"/>
      <c r="F180" s="22"/>
      <c r="G180" s="6"/>
    </row>
    <row r="181" spans="1:7" x14ac:dyDescent="0.35">
      <c r="A181" s="13" t="s">
        <v>261</v>
      </c>
      <c r="B181" s="8"/>
      <c r="C181" s="9"/>
      <c r="D181" s="10"/>
      <c r="E181" s="21"/>
      <c r="F181" s="22"/>
      <c r="G181" s="6"/>
    </row>
    <row r="182" spans="1:7" x14ac:dyDescent="0.35">
      <c r="A182" s="13" t="s">
        <v>262</v>
      </c>
      <c r="B182" s="8"/>
      <c r="C182" s="9"/>
      <c r="D182" s="10"/>
      <c r="E182" s="21"/>
      <c r="F182" s="22"/>
      <c r="G182" s="6"/>
    </row>
    <row r="183" spans="1:7" x14ac:dyDescent="0.35">
      <c r="A183" s="13" t="s">
        <v>263</v>
      </c>
      <c r="B183" s="8"/>
      <c r="C183" s="9"/>
      <c r="D183" s="10"/>
      <c r="E183" s="21"/>
      <c r="F183" s="22"/>
      <c r="G183" s="6"/>
    </row>
    <row r="184" spans="1:7" x14ac:dyDescent="0.35">
      <c r="A184" s="13" t="s">
        <v>264</v>
      </c>
      <c r="B184" s="8"/>
      <c r="C184" s="9"/>
      <c r="D184" s="10"/>
      <c r="E184" s="21"/>
      <c r="F184" s="22"/>
      <c r="G184" s="6"/>
    </row>
    <row r="185" spans="1:7" x14ac:dyDescent="0.35">
      <c r="A185" s="13" t="s">
        <v>265</v>
      </c>
      <c r="B185" s="8"/>
      <c r="C185" s="9"/>
      <c r="D185" s="10"/>
      <c r="E185" s="21"/>
      <c r="F185" s="22"/>
      <c r="G185" s="6"/>
    </row>
    <row r="186" spans="1:7" x14ac:dyDescent="0.35">
      <c r="A186" s="13" t="s">
        <v>266</v>
      </c>
      <c r="B186" s="8"/>
      <c r="C186" s="9"/>
      <c r="D186" s="10"/>
      <c r="E186" s="21"/>
      <c r="F186" s="22"/>
      <c r="G186" s="6"/>
    </row>
    <row r="187" spans="1:7" x14ac:dyDescent="0.35">
      <c r="A187" s="13" t="s">
        <v>267</v>
      </c>
      <c r="B187" s="8"/>
      <c r="C187" s="9"/>
      <c r="D187" s="10"/>
      <c r="E187" s="21"/>
      <c r="F187" s="22"/>
      <c r="G187" s="6"/>
    </row>
    <row r="188" spans="1:7" x14ac:dyDescent="0.35">
      <c r="A188" s="13" t="s">
        <v>268</v>
      </c>
      <c r="B188" s="8"/>
      <c r="C188" s="9"/>
      <c r="D188" s="10"/>
      <c r="E188" s="21"/>
      <c r="F188" s="22"/>
      <c r="G188" s="6"/>
    </row>
    <row r="189" spans="1:7" x14ac:dyDescent="0.35">
      <c r="A189" s="13" t="s">
        <v>269</v>
      </c>
      <c r="B189" s="8"/>
      <c r="C189" s="9"/>
      <c r="D189" s="10"/>
      <c r="E189" s="21"/>
      <c r="F189" s="22"/>
      <c r="G189" s="6"/>
    </row>
    <row r="190" spans="1:7" x14ac:dyDescent="0.35">
      <c r="A190" s="13" t="s">
        <v>270</v>
      </c>
      <c r="B190" s="8"/>
      <c r="C190" s="9"/>
      <c r="D190" s="10"/>
      <c r="E190" s="21"/>
      <c r="F190" s="22"/>
      <c r="G190" s="6"/>
    </row>
    <row r="191" spans="1:7" x14ac:dyDescent="0.35">
      <c r="A191" s="13" t="s">
        <v>271</v>
      </c>
      <c r="B191" s="8"/>
      <c r="C191" s="9"/>
      <c r="D191" s="10"/>
      <c r="E191" s="21"/>
      <c r="F191" s="22"/>
      <c r="G191" s="6"/>
    </row>
    <row r="192" spans="1:7" x14ac:dyDescent="0.35">
      <c r="A192" s="2"/>
      <c r="B192" s="2"/>
      <c r="C192" s="2"/>
      <c r="D192" s="2"/>
      <c r="E192" s="2"/>
      <c r="F192" s="2"/>
      <c r="G192" s="2"/>
    </row>
    <row r="193" spans="1:7" x14ac:dyDescent="0.35">
      <c r="A193" s="13" t="s">
        <v>12</v>
      </c>
      <c r="B193" s="15" t="s">
        <v>0</v>
      </c>
      <c r="C193" s="16" t="s">
        <v>1</v>
      </c>
      <c r="D193" s="17" t="s">
        <v>2</v>
      </c>
      <c r="E193" s="24" t="s">
        <v>3</v>
      </c>
      <c r="F193" s="23" t="s">
        <v>4</v>
      </c>
      <c r="G193" s="18" t="s">
        <v>5</v>
      </c>
    </row>
    <row r="194" spans="1:7" x14ac:dyDescent="0.35">
      <c r="A194" s="13" t="s">
        <v>242</v>
      </c>
      <c r="B194" s="8"/>
      <c r="C194" s="9"/>
      <c r="D194" s="10"/>
      <c r="E194" s="21"/>
      <c r="F194" s="22"/>
      <c r="G194" s="6"/>
    </row>
    <row r="195" spans="1:7" x14ac:dyDescent="0.35">
      <c r="A195" s="13" t="s">
        <v>243</v>
      </c>
      <c r="B195" s="8"/>
      <c r="C195" s="9"/>
      <c r="D195" s="10"/>
      <c r="E195" s="21"/>
      <c r="F195" s="22"/>
      <c r="G195" s="6"/>
    </row>
    <row r="196" spans="1:7" x14ac:dyDescent="0.35">
      <c r="A196" s="13" t="s">
        <v>244</v>
      </c>
      <c r="B196" s="8"/>
      <c r="C196" s="9"/>
      <c r="D196" s="10"/>
      <c r="E196" s="21"/>
      <c r="F196" s="22"/>
      <c r="G196" s="6"/>
    </row>
    <row r="197" spans="1:7" x14ac:dyDescent="0.35">
      <c r="A197" s="13" t="s">
        <v>245</v>
      </c>
      <c r="B197" s="8"/>
      <c r="C197" s="9"/>
      <c r="D197" s="10"/>
      <c r="E197" s="21"/>
      <c r="F197" s="22"/>
      <c r="G197" s="6"/>
    </row>
    <row r="198" spans="1:7" x14ac:dyDescent="0.35">
      <c r="A198" s="13" t="s">
        <v>246</v>
      </c>
      <c r="B198" s="8"/>
      <c r="C198" s="9"/>
      <c r="D198" s="10"/>
      <c r="E198" s="21"/>
      <c r="F198" s="22"/>
      <c r="G198" s="6"/>
    </row>
    <row r="199" spans="1:7" x14ac:dyDescent="0.35">
      <c r="A199" s="13" t="s">
        <v>247</v>
      </c>
      <c r="B199" s="8"/>
      <c r="C199" s="9"/>
      <c r="D199" s="10"/>
      <c r="E199" s="21"/>
      <c r="F199" s="22"/>
      <c r="G199" s="6"/>
    </row>
    <row r="200" spans="1:7" x14ac:dyDescent="0.35">
      <c r="A200" s="13" t="s">
        <v>248</v>
      </c>
      <c r="B200" s="8"/>
      <c r="C200" s="9"/>
      <c r="D200" s="10"/>
      <c r="E200" s="21"/>
      <c r="F200" s="22"/>
      <c r="G200" s="6"/>
    </row>
    <row r="201" spans="1:7" x14ac:dyDescent="0.35">
      <c r="A201" s="13" t="s">
        <v>249</v>
      </c>
      <c r="B201" s="8"/>
      <c r="C201" s="9"/>
      <c r="D201" s="10"/>
      <c r="E201" s="21"/>
      <c r="F201" s="22"/>
      <c r="G201" s="6"/>
    </row>
    <row r="202" spans="1:7" x14ac:dyDescent="0.35">
      <c r="A202" s="13" t="s">
        <v>250</v>
      </c>
      <c r="B202" s="8"/>
      <c r="C202" s="9"/>
      <c r="D202" s="10"/>
      <c r="E202" s="21"/>
      <c r="F202" s="22"/>
      <c r="G202" s="6"/>
    </row>
    <row r="203" spans="1:7" x14ac:dyDescent="0.35">
      <c r="A203" s="13" t="s">
        <v>251</v>
      </c>
      <c r="B203" s="8"/>
      <c r="C203" s="9"/>
      <c r="D203" s="10"/>
      <c r="E203" s="21"/>
      <c r="F203" s="22"/>
      <c r="G203" s="6"/>
    </row>
    <row r="204" spans="1:7" x14ac:dyDescent="0.35">
      <c r="A204" s="13" t="s">
        <v>252</v>
      </c>
      <c r="B204" s="8"/>
      <c r="C204" s="9"/>
      <c r="D204" s="10"/>
      <c r="E204" s="21"/>
      <c r="F204" s="22"/>
      <c r="G204" s="6"/>
    </row>
    <row r="205" spans="1:7" x14ac:dyDescent="0.35">
      <c r="A205" s="13" t="s">
        <v>253</v>
      </c>
      <c r="B205" s="8"/>
      <c r="C205" s="9"/>
      <c r="D205" s="10"/>
      <c r="E205" s="21"/>
      <c r="F205" s="22"/>
      <c r="G205" s="6"/>
    </row>
    <row r="206" spans="1:7" x14ac:dyDescent="0.35">
      <c r="A206" s="13" t="s">
        <v>254</v>
      </c>
      <c r="B206" s="8"/>
      <c r="C206" s="9"/>
      <c r="D206" s="10"/>
      <c r="E206" s="21"/>
      <c r="F206" s="22"/>
      <c r="G206" s="6"/>
    </row>
    <row r="207" spans="1:7" x14ac:dyDescent="0.35">
      <c r="A207" s="13" t="s">
        <v>255</v>
      </c>
      <c r="B207" s="8"/>
      <c r="C207" s="9"/>
      <c r="D207" s="10"/>
      <c r="E207" s="21"/>
      <c r="F207" s="22"/>
      <c r="G207" s="6"/>
    </row>
    <row r="208" spans="1:7" x14ac:dyDescent="0.35">
      <c r="A208" s="13" t="s">
        <v>256</v>
      </c>
      <c r="B208" s="8"/>
      <c r="C208" s="9"/>
      <c r="D208" s="10"/>
      <c r="E208" s="21"/>
      <c r="F208" s="22"/>
      <c r="G208" s="6"/>
    </row>
    <row r="209" spans="1:7" x14ac:dyDescent="0.35">
      <c r="A209" s="13" t="s">
        <v>257</v>
      </c>
      <c r="B209" s="8"/>
      <c r="C209" s="9"/>
      <c r="D209" s="10"/>
      <c r="E209" s="21"/>
      <c r="F209" s="22"/>
      <c r="G209" s="6"/>
    </row>
    <row r="210" spans="1:7" x14ac:dyDescent="0.35">
      <c r="A210" s="13" t="s">
        <v>258</v>
      </c>
      <c r="B210" s="8"/>
      <c r="C210" s="9"/>
      <c r="D210" s="10"/>
      <c r="E210" s="21"/>
      <c r="F210" s="22"/>
      <c r="G210" s="6"/>
    </row>
    <row r="211" spans="1:7" x14ac:dyDescent="0.35">
      <c r="A211" s="13" t="s">
        <v>259</v>
      </c>
      <c r="B211" s="8"/>
      <c r="C211" s="9"/>
      <c r="D211" s="10"/>
      <c r="E211" s="21"/>
      <c r="F211" s="22"/>
      <c r="G211" s="6"/>
    </row>
    <row r="212" spans="1:7" x14ac:dyDescent="0.35">
      <c r="A212" s="13" t="s">
        <v>260</v>
      </c>
      <c r="B212" s="8"/>
      <c r="C212" s="9"/>
      <c r="D212" s="10"/>
      <c r="E212" s="21"/>
      <c r="F212" s="22"/>
      <c r="G212" s="6"/>
    </row>
    <row r="213" spans="1:7" x14ac:dyDescent="0.35">
      <c r="A213" s="13" t="s">
        <v>261</v>
      </c>
      <c r="B213" s="8"/>
      <c r="C213" s="9"/>
      <c r="D213" s="10"/>
      <c r="E213" s="21"/>
      <c r="F213" s="22"/>
      <c r="G213" s="6"/>
    </row>
    <row r="214" spans="1:7" x14ac:dyDescent="0.35">
      <c r="A214" s="13" t="s">
        <v>262</v>
      </c>
      <c r="B214" s="8"/>
      <c r="C214" s="9"/>
      <c r="D214" s="10"/>
      <c r="E214" s="21"/>
      <c r="F214" s="22"/>
      <c r="G214" s="6"/>
    </row>
    <row r="215" spans="1:7" x14ac:dyDescent="0.35">
      <c r="A215" s="13" t="s">
        <v>263</v>
      </c>
      <c r="B215" s="8"/>
      <c r="C215" s="9"/>
      <c r="D215" s="10"/>
      <c r="E215" s="21"/>
      <c r="F215" s="22"/>
      <c r="G215" s="6"/>
    </row>
    <row r="216" spans="1:7" x14ac:dyDescent="0.35">
      <c r="A216" s="13" t="s">
        <v>264</v>
      </c>
      <c r="B216" s="8"/>
      <c r="C216" s="9"/>
      <c r="D216" s="10"/>
      <c r="E216" s="21"/>
      <c r="F216" s="22"/>
      <c r="G216" s="6"/>
    </row>
    <row r="217" spans="1:7" x14ac:dyDescent="0.35">
      <c r="A217" s="13" t="s">
        <v>265</v>
      </c>
      <c r="B217" s="8"/>
      <c r="C217" s="9"/>
      <c r="D217" s="10"/>
      <c r="E217" s="21"/>
      <c r="F217" s="22"/>
      <c r="G217" s="6"/>
    </row>
    <row r="218" spans="1:7" x14ac:dyDescent="0.35">
      <c r="A218" s="13" t="s">
        <v>266</v>
      </c>
      <c r="B218" s="8"/>
      <c r="C218" s="9"/>
      <c r="D218" s="10"/>
      <c r="E218" s="21"/>
      <c r="F218" s="22"/>
      <c r="G218" s="6"/>
    </row>
    <row r="219" spans="1:7" x14ac:dyDescent="0.35">
      <c r="A219" s="13" t="s">
        <v>267</v>
      </c>
      <c r="B219" s="8"/>
      <c r="C219" s="9"/>
      <c r="D219" s="10"/>
      <c r="E219" s="21"/>
      <c r="F219" s="22"/>
      <c r="G219" s="6"/>
    </row>
    <row r="220" spans="1:7" x14ac:dyDescent="0.35">
      <c r="A220" s="13" t="s">
        <v>268</v>
      </c>
      <c r="B220" s="8"/>
      <c r="C220" s="9"/>
      <c r="D220" s="10"/>
      <c r="E220" s="21"/>
      <c r="F220" s="22"/>
      <c r="G220" s="6"/>
    </row>
    <row r="221" spans="1:7" x14ac:dyDescent="0.35">
      <c r="A221" s="13" t="s">
        <v>269</v>
      </c>
      <c r="B221" s="8"/>
      <c r="C221" s="9"/>
      <c r="D221" s="10"/>
      <c r="E221" s="21"/>
      <c r="F221" s="22"/>
      <c r="G221" s="6"/>
    </row>
    <row r="222" spans="1:7" x14ac:dyDescent="0.35">
      <c r="A222" s="13" t="s">
        <v>270</v>
      </c>
      <c r="B222" s="8"/>
      <c r="C222" s="9"/>
      <c r="D222" s="10"/>
      <c r="E222" s="21"/>
      <c r="F222" s="22"/>
      <c r="G222" s="6"/>
    </row>
    <row r="223" spans="1:7" x14ac:dyDescent="0.35">
      <c r="A223" s="13" t="s">
        <v>271</v>
      </c>
      <c r="B223" s="8"/>
      <c r="C223" s="9"/>
      <c r="D223" s="10"/>
      <c r="E223" s="21"/>
      <c r="F223" s="22"/>
      <c r="G223" s="6"/>
    </row>
    <row r="224" spans="1:7" x14ac:dyDescent="0.35">
      <c r="A224" s="2"/>
      <c r="B224" s="2"/>
      <c r="C224" s="2"/>
      <c r="D224" s="2"/>
      <c r="E224" s="2"/>
      <c r="F224" s="2"/>
      <c r="G224" s="2"/>
    </row>
    <row r="225" spans="1:7" x14ac:dyDescent="0.35">
      <c r="A225" s="13" t="s">
        <v>13</v>
      </c>
      <c r="B225" s="15" t="s">
        <v>0</v>
      </c>
      <c r="C225" s="16" t="s">
        <v>1</v>
      </c>
      <c r="D225" s="17" t="s">
        <v>2</v>
      </c>
      <c r="E225" s="24" t="s">
        <v>3</v>
      </c>
      <c r="F225" s="23" t="s">
        <v>4</v>
      </c>
      <c r="G225" s="18" t="s">
        <v>5</v>
      </c>
    </row>
    <row r="226" spans="1:7" x14ac:dyDescent="0.35">
      <c r="A226" s="13" t="s">
        <v>242</v>
      </c>
      <c r="B226" s="8"/>
      <c r="C226" s="9"/>
      <c r="D226" s="10"/>
      <c r="E226" s="21"/>
      <c r="F226" s="22"/>
      <c r="G226" s="6"/>
    </row>
    <row r="227" spans="1:7" x14ac:dyDescent="0.35">
      <c r="A227" s="13" t="s">
        <v>243</v>
      </c>
      <c r="B227" s="8"/>
      <c r="C227" s="9"/>
      <c r="D227" s="10"/>
      <c r="E227" s="21"/>
      <c r="F227" s="22"/>
      <c r="G227" s="6"/>
    </row>
    <row r="228" spans="1:7" x14ac:dyDescent="0.35">
      <c r="A228" s="13" t="s">
        <v>244</v>
      </c>
      <c r="B228" s="8"/>
      <c r="C228" s="9"/>
      <c r="D228" s="10"/>
      <c r="E228" s="21"/>
      <c r="F228" s="22"/>
      <c r="G228" s="6"/>
    </row>
    <row r="229" spans="1:7" x14ac:dyDescent="0.35">
      <c r="A229" s="13" t="s">
        <v>245</v>
      </c>
      <c r="B229" s="8"/>
      <c r="C229" s="9"/>
      <c r="D229" s="10"/>
      <c r="E229" s="21"/>
      <c r="F229" s="22"/>
      <c r="G229" s="6"/>
    </row>
    <row r="230" spans="1:7" x14ac:dyDescent="0.35">
      <c r="A230" s="13" t="s">
        <v>246</v>
      </c>
      <c r="B230" s="8"/>
      <c r="C230" s="9"/>
      <c r="D230" s="10"/>
      <c r="E230" s="21"/>
      <c r="F230" s="22"/>
      <c r="G230" s="6"/>
    </row>
    <row r="231" spans="1:7" x14ac:dyDescent="0.35">
      <c r="A231" s="13" t="s">
        <v>247</v>
      </c>
      <c r="B231" s="8"/>
      <c r="C231" s="9"/>
      <c r="D231" s="10"/>
      <c r="E231" s="21"/>
      <c r="F231" s="22"/>
      <c r="G231" s="6"/>
    </row>
    <row r="232" spans="1:7" x14ac:dyDescent="0.35">
      <c r="A232" s="13" t="s">
        <v>248</v>
      </c>
      <c r="B232" s="8"/>
      <c r="C232" s="9"/>
      <c r="D232" s="10"/>
      <c r="E232" s="21"/>
      <c r="F232" s="22"/>
      <c r="G232" s="6"/>
    </row>
    <row r="233" spans="1:7" x14ac:dyDescent="0.35">
      <c r="A233" s="13" t="s">
        <v>249</v>
      </c>
      <c r="B233" s="8"/>
      <c r="C233" s="9"/>
      <c r="D233" s="10"/>
      <c r="E233" s="21"/>
      <c r="F233" s="22"/>
      <c r="G233" s="6"/>
    </row>
    <row r="234" spans="1:7" x14ac:dyDescent="0.35">
      <c r="A234" s="13" t="s">
        <v>250</v>
      </c>
      <c r="B234" s="8"/>
      <c r="C234" s="9"/>
      <c r="D234" s="10"/>
      <c r="E234" s="21"/>
      <c r="F234" s="22"/>
      <c r="G234" s="6"/>
    </row>
    <row r="235" spans="1:7" x14ac:dyDescent="0.35">
      <c r="A235" s="13" t="s">
        <v>251</v>
      </c>
      <c r="B235" s="8"/>
      <c r="C235" s="9"/>
      <c r="D235" s="10"/>
      <c r="E235" s="21"/>
      <c r="F235" s="22"/>
      <c r="G235" s="6"/>
    </row>
    <row r="236" spans="1:7" x14ac:dyDescent="0.35">
      <c r="A236" s="13" t="s">
        <v>252</v>
      </c>
      <c r="B236" s="8"/>
      <c r="C236" s="9"/>
      <c r="D236" s="10"/>
      <c r="E236" s="21"/>
      <c r="F236" s="22"/>
      <c r="G236" s="6"/>
    </row>
    <row r="237" spans="1:7" x14ac:dyDescent="0.35">
      <c r="A237" s="13" t="s">
        <v>253</v>
      </c>
      <c r="B237" s="8"/>
      <c r="C237" s="9"/>
      <c r="D237" s="10"/>
      <c r="E237" s="21"/>
      <c r="F237" s="22"/>
      <c r="G237" s="6"/>
    </row>
    <row r="238" spans="1:7" x14ac:dyDescent="0.35">
      <c r="A238" s="13" t="s">
        <v>254</v>
      </c>
      <c r="B238" s="8"/>
      <c r="C238" s="9"/>
      <c r="D238" s="10"/>
      <c r="E238" s="21"/>
      <c r="F238" s="22"/>
      <c r="G238" s="6"/>
    </row>
    <row r="239" spans="1:7" x14ac:dyDescent="0.35">
      <c r="A239" s="13" t="s">
        <v>255</v>
      </c>
      <c r="B239" s="8"/>
      <c r="C239" s="9"/>
      <c r="D239" s="10"/>
      <c r="E239" s="21"/>
      <c r="F239" s="22"/>
      <c r="G239" s="6"/>
    </row>
    <row r="240" spans="1:7" x14ac:dyDescent="0.35">
      <c r="A240" s="13" t="s">
        <v>256</v>
      </c>
      <c r="B240" s="8"/>
      <c r="C240" s="9"/>
      <c r="D240" s="10"/>
      <c r="E240" s="21"/>
      <c r="F240" s="22"/>
      <c r="G240" s="6"/>
    </row>
    <row r="241" spans="1:7" x14ac:dyDescent="0.35">
      <c r="A241" s="13" t="s">
        <v>257</v>
      </c>
      <c r="B241" s="8"/>
      <c r="C241" s="9"/>
      <c r="D241" s="10"/>
      <c r="E241" s="21"/>
      <c r="F241" s="22"/>
      <c r="G241" s="6"/>
    </row>
    <row r="242" spans="1:7" x14ac:dyDescent="0.35">
      <c r="A242" s="13" t="s">
        <v>258</v>
      </c>
      <c r="B242" s="8"/>
      <c r="C242" s="9"/>
      <c r="D242" s="10"/>
      <c r="E242" s="21"/>
      <c r="F242" s="22"/>
      <c r="G242" s="6"/>
    </row>
    <row r="243" spans="1:7" x14ac:dyDescent="0.35">
      <c r="A243" s="13" t="s">
        <v>259</v>
      </c>
      <c r="B243" s="8"/>
      <c r="C243" s="9"/>
      <c r="D243" s="10"/>
      <c r="E243" s="21"/>
      <c r="F243" s="22"/>
      <c r="G243" s="6"/>
    </row>
    <row r="244" spans="1:7" x14ac:dyDescent="0.35">
      <c r="A244" s="13" t="s">
        <v>260</v>
      </c>
      <c r="B244" s="8"/>
      <c r="C244" s="9"/>
      <c r="D244" s="10"/>
      <c r="E244" s="21"/>
      <c r="F244" s="22"/>
      <c r="G244" s="6"/>
    </row>
    <row r="245" spans="1:7" x14ac:dyDescent="0.35">
      <c r="A245" s="13" t="s">
        <v>261</v>
      </c>
      <c r="B245" s="8"/>
      <c r="C245" s="9"/>
      <c r="D245" s="10"/>
      <c r="E245" s="21"/>
      <c r="F245" s="22"/>
      <c r="G245" s="6"/>
    </row>
    <row r="246" spans="1:7" x14ac:dyDescent="0.35">
      <c r="A246" s="13" t="s">
        <v>262</v>
      </c>
      <c r="B246" s="8"/>
      <c r="C246" s="9"/>
      <c r="D246" s="10"/>
      <c r="E246" s="21"/>
      <c r="F246" s="22"/>
      <c r="G246" s="6"/>
    </row>
    <row r="247" spans="1:7" x14ac:dyDescent="0.35">
      <c r="A247" s="13" t="s">
        <v>263</v>
      </c>
      <c r="B247" s="8"/>
      <c r="C247" s="9"/>
      <c r="D247" s="10"/>
      <c r="E247" s="21"/>
      <c r="F247" s="22"/>
      <c r="G247" s="6"/>
    </row>
    <row r="248" spans="1:7" x14ac:dyDescent="0.35">
      <c r="A248" s="13" t="s">
        <v>264</v>
      </c>
      <c r="B248" s="8"/>
      <c r="C248" s="9"/>
      <c r="D248" s="10"/>
      <c r="E248" s="21"/>
      <c r="F248" s="22"/>
      <c r="G248" s="6"/>
    </row>
    <row r="249" spans="1:7" x14ac:dyDescent="0.35">
      <c r="A249" s="13" t="s">
        <v>265</v>
      </c>
      <c r="B249" s="8"/>
      <c r="C249" s="9"/>
      <c r="D249" s="10"/>
      <c r="E249" s="21"/>
      <c r="F249" s="22"/>
      <c r="G249" s="6"/>
    </row>
    <row r="250" spans="1:7" x14ac:dyDescent="0.35">
      <c r="A250" s="13" t="s">
        <v>266</v>
      </c>
      <c r="B250" s="8"/>
      <c r="C250" s="9"/>
      <c r="D250" s="10"/>
      <c r="E250" s="21"/>
      <c r="F250" s="22"/>
      <c r="G250" s="6"/>
    </row>
    <row r="251" spans="1:7" x14ac:dyDescent="0.35">
      <c r="A251" s="13" t="s">
        <v>267</v>
      </c>
      <c r="B251" s="8"/>
      <c r="C251" s="9"/>
      <c r="D251" s="10"/>
      <c r="E251" s="21"/>
      <c r="F251" s="22"/>
      <c r="G251" s="6"/>
    </row>
    <row r="252" spans="1:7" x14ac:dyDescent="0.35">
      <c r="A252" s="13" t="s">
        <v>268</v>
      </c>
      <c r="B252" s="8"/>
      <c r="C252" s="9"/>
      <c r="D252" s="10"/>
      <c r="E252" s="21"/>
      <c r="F252" s="22"/>
      <c r="G252" s="6"/>
    </row>
    <row r="253" spans="1:7" x14ac:dyDescent="0.35">
      <c r="A253" s="13" t="s">
        <v>269</v>
      </c>
      <c r="B253" s="8"/>
      <c r="C253" s="9"/>
      <c r="D253" s="10"/>
      <c r="E253" s="21"/>
      <c r="F253" s="22"/>
      <c r="G253" s="6"/>
    </row>
    <row r="254" spans="1:7" x14ac:dyDescent="0.35">
      <c r="A254" s="13" t="s">
        <v>270</v>
      </c>
      <c r="B254" s="8"/>
      <c r="C254" s="9"/>
      <c r="D254" s="10"/>
      <c r="E254" s="21"/>
      <c r="F254" s="22"/>
      <c r="G254" s="6"/>
    </row>
    <row r="255" spans="1:7" x14ac:dyDescent="0.35">
      <c r="A255" s="13" t="s">
        <v>271</v>
      </c>
      <c r="B255" s="8"/>
      <c r="C255" s="9"/>
      <c r="D255" s="10"/>
      <c r="E255" s="21"/>
      <c r="F255" s="22"/>
      <c r="G255" s="6"/>
    </row>
    <row r="256" spans="1:7" x14ac:dyDescent="0.35">
      <c r="A256" s="2"/>
      <c r="B256" s="2"/>
      <c r="C256" s="2"/>
      <c r="D256" s="2"/>
      <c r="E256" s="2"/>
      <c r="F256" s="2"/>
      <c r="G256" s="2"/>
    </row>
    <row r="257" spans="1:7" x14ac:dyDescent="0.35">
      <c r="A257" s="13" t="s">
        <v>14</v>
      </c>
      <c r="B257" s="15" t="s">
        <v>0</v>
      </c>
      <c r="C257" s="16" t="s">
        <v>1</v>
      </c>
      <c r="D257" s="17" t="s">
        <v>2</v>
      </c>
      <c r="E257" s="24" t="s">
        <v>3</v>
      </c>
      <c r="F257" s="23" t="s">
        <v>4</v>
      </c>
      <c r="G257" s="18" t="s">
        <v>5</v>
      </c>
    </row>
    <row r="258" spans="1:7" x14ac:dyDescent="0.35">
      <c r="A258" s="13" t="s">
        <v>242</v>
      </c>
      <c r="B258" s="8"/>
      <c r="C258" s="9"/>
      <c r="D258" s="10"/>
      <c r="E258" s="21"/>
      <c r="F258" s="22"/>
      <c r="G258" s="6"/>
    </row>
    <row r="259" spans="1:7" x14ac:dyDescent="0.35">
      <c r="A259" s="13" t="s">
        <v>243</v>
      </c>
      <c r="B259" s="8"/>
      <c r="C259" s="9"/>
      <c r="D259" s="10"/>
      <c r="E259" s="21"/>
      <c r="F259" s="22"/>
      <c r="G259" s="6"/>
    </row>
    <row r="260" spans="1:7" x14ac:dyDescent="0.35">
      <c r="A260" s="13" t="s">
        <v>244</v>
      </c>
      <c r="B260" s="8"/>
      <c r="C260" s="9"/>
      <c r="D260" s="10"/>
      <c r="E260" s="21"/>
      <c r="F260" s="22"/>
      <c r="G260" s="6"/>
    </row>
    <row r="261" spans="1:7" x14ac:dyDescent="0.35">
      <c r="A261" s="13" t="s">
        <v>245</v>
      </c>
      <c r="B261" s="8"/>
      <c r="C261" s="9"/>
      <c r="D261" s="10"/>
      <c r="E261" s="21"/>
      <c r="F261" s="22"/>
      <c r="G261" s="6"/>
    </row>
    <row r="262" spans="1:7" x14ac:dyDescent="0.35">
      <c r="A262" s="13" t="s">
        <v>246</v>
      </c>
      <c r="B262" s="8"/>
      <c r="C262" s="9"/>
      <c r="D262" s="10"/>
      <c r="E262" s="21"/>
      <c r="F262" s="22"/>
      <c r="G262" s="6"/>
    </row>
    <row r="263" spans="1:7" x14ac:dyDescent="0.35">
      <c r="A263" s="13" t="s">
        <v>247</v>
      </c>
      <c r="B263" s="8"/>
      <c r="C263" s="9"/>
      <c r="D263" s="10"/>
      <c r="E263" s="21"/>
      <c r="F263" s="22"/>
      <c r="G263" s="6"/>
    </row>
    <row r="264" spans="1:7" x14ac:dyDescent="0.35">
      <c r="A264" s="13" t="s">
        <v>248</v>
      </c>
      <c r="B264" s="8"/>
      <c r="C264" s="9"/>
      <c r="D264" s="10"/>
      <c r="E264" s="21"/>
      <c r="F264" s="22"/>
      <c r="G264" s="6"/>
    </row>
    <row r="265" spans="1:7" x14ac:dyDescent="0.35">
      <c r="A265" s="13" t="s">
        <v>249</v>
      </c>
      <c r="B265" s="8"/>
      <c r="C265" s="9"/>
      <c r="D265" s="10"/>
      <c r="E265" s="21"/>
      <c r="F265" s="22"/>
      <c r="G265" s="6"/>
    </row>
    <row r="266" spans="1:7" x14ac:dyDescent="0.35">
      <c r="A266" s="13" t="s">
        <v>250</v>
      </c>
      <c r="B266" s="8"/>
      <c r="C266" s="9"/>
      <c r="D266" s="10"/>
      <c r="E266" s="21"/>
      <c r="F266" s="22"/>
      <c r="G266" s="6"/>
    </row>
    <row r="267" spans="1:7" x14ac:dyDescent="0.35">
      <c r="A267" s="13" t="s">
        <v>251</v>
      </c>
      <c r="B267" s="8"/>
      <c r="C267" s="9"/>
      <c r="D267" s="10"/>
      <c r="E267" s="21"/>
      <c r="F267" s="22"/>
      <c r="G267" s="6"/>
    </row>
    <row r="268" spans="1:7" x14ac:dyDescent="0.35">
      <c r="A268" s="13" t="s">
        <v>252</v>
      </c>
      <c r="B268" s="8"/>
      <c r="C268" s="9"/>
      <c r="D268" s="10"/>
      <c r="E268" s="21"/>
      <c r="F268" s="22"/>
      <c r="G268" s="6"/>
    </row>
    <row r="269" spans="1:7" x14ac:dyDescent="0.35">
      <c r="A269" s="13" t="s">
        <v>253</v>
      </c>
      <c r="B269" s="8"/>
      <c r="C269" s="9"/>
      <c r="D269" s="10"/>
      <c r="E269" s="21"/>
      <c r="F269" s="22"/>
      <c r="G269" s="6"/>
    </row>
    <row r="270" spans="1:7" x14ac:dyDescent="0.35">
      <c r="A270" s="13" t="s">
        <v>254</v>
      </c>
      <c r="B270" s="8"/>
      <c r="C270" s="9"/>
      <c r="D270" s="10"/>
      <c r="E270" s="21"/>
      <c r="F270" s="22"/>
      <c r="G270" s="6"/>
    </row>
    <row r="271" spans="1:7" x14ac:dyDescent="0.35">
      <c r="A271" s="13" t="s">
        <v>255</v>
      </c>
      <c r="B271" s="8"/>
      <c r="C271" s="9"/>
      <c r="D271" s="10"/>
      <c r="E271" s="21"/>
      <c r="F271" s="22"/>
      <c r="G271" s="6"/>
    </row>
    <row r="272" spans="1:7" x14ac:dyDescent="0.35">
      <c r="A272" s="13" t="s">
        <v>256</v>
      </c>
      <c r="B272" s="8"/>
      <c r="C272" s="9"/>
      <c r="D272" s="10"/>
      <c r="E272" s="21"/>
      <c r="F272" s="22"/>
      <c r="G272" s="6"/>
    </row>
    <row r="273" spans="1:7" x14ac:dyDescent="0.35">
      <c r="A273" s="13" t="s">
        <v>257</v>
      </c>
      <c r="B273" s="8"/>
      <c r="C273" s="9"/>
      <c r="D273" s="10"/>
      <c r="E273" s="21"/>
      <c r="F273" s="22"/>
      <c r="G273" s="6"/>
    </row>
    <row r="274" spans="1:7" x14ac:dyDescent="0.35">
      <c r="A274" s="13" t="s">
        <v>258</v>
      </c>
      <c r="B274" s="8"/>
      <c r="C274" s="9"/>
      <c r="D274" s="10"/>
      <c r="E274" s="21"/>
      <c r="F274" s="22"/>
      <c r="G274" s="6"/>
    </row>
    <row r="275" spans="1:7" x14ac:dyDescent="0.35">
      <c r="A275" s="13" t="s">
        <v>259</v>
      </c>
      <c r="B275" s="8"/>
      <c r="C275" s="9"/>
      <c r="D275" s="10"/>
      <c r="E275" s="21"/>
      <c r="F275" s="22"/>
      <c r="G275" s="6"/>
    </row>
    <row r="276" spans="1:7" x14ac:dyDescent="0.35">
      <c r="A276" s="13" t="s">
        <v>260</v>
      </c>
      <c r="B276" s="8"/>
      <c r="C276" s="9"/>
      <c r="D276" s="10"/>
      <c r="E276" s="21"/>
      <c r="F276" s="22"/>
      <c r="G276" s="6"/>
    </row>
    <row r="277" spans="1:7" x14ac:dyDescent="0.35">
      <c r="A277" s="13" t="s">
        <v>261</v>
      </c>
      <c r="B277" s="8"/>
      <c r="C277" s="9"/>
      <c r="D277" s="10"/>
      <c r="E277" s="21"/>
      <c r="F277" s="22"/>
      <c r="G277" s="6"/>
    </row>
    <row r="278" spans="1:7" x14ac:dyDescent="0.35">
      <c r="A278" s="13" t="s">
        <v>262</v>
      </c>
      <c r="B278" s="8"/>
      <c r="C278" s="9"/>
      <c r="D278" s="10"/>
      <c r="E278" s="21"/>
      <c r="F278" s="22"/>
      <c r="G278" s="6"/>
    </row>
    <row r="279" spans="1:7" x14ac:dyDescent="0.35">
      <c r="A279" s="13" t="s">
        <v>263</v>
      </c>
      <c r="B279" s="8"/>
      <c r="C279" s="9"/>
      <c r="D279" s="10"/>
      <c r="E279" s="21"/>
      <c r="F279" s="22"/>
      <c r="G279" s="6"/>
    </row>
    <row r="280" spans="1:7" x14ac:dyDescent="0.35">
      <c r="A280" s="13" t="s">
        <v>264</v>
      </c>
      <c r="B280" s="8"/>
      <c r="C280" s="9"/>
      <c r="D280" s="10"/>
      <c r="E280" s="21"/>
      <c r="F280" s="22"/>
      <c r="G280" s="6"/>
    </row>
    <row r="281" spans="1:7" x14ac:dyDescent="0.35">
      <c r="A281" s="13" t="s">
        <v>265</v>
      </c>
      <c r="B281" s="8"/>
      <c r="C281" s="9"/>
      <c r="D281" s="10"/>
      <c r="E281" s="21"/>
      <c r="F281" s="22"/>
      <c r="G281" s="6"/>
    </row>
    <row r="282" spans="1:7" x14ac:dyDescent="0.35">
      <c r="A282" s="13" t="s">
        <v>266</v>
      </c>
      <c r="B282" s="8"/>
      <c r="C282" s="9"/>
      <c r="D282" s="10"/>
      <c r="E282" s="21"/>
      <c r="F282" s="22"/>
      <c r="G282" s="6"/>
    </row>
    <row r="283" spans="1:7" x14ac:dyDescent="0.35">
      <c r="A283" s="13" t="s">
        <v>267</v>
      </c>
      <c r="B283" s="8"/>
      <c r="C283" s="9"/>
      <c r="D283" s="10"/>
      <c r="E283" s="21"/>
      <c r="F283" s="22"/>
      <c r="G283" s="6"/>
    </row>
    <row r="284" spans="1:7" x14ac:dyDescent="0.35">
      <c r="A284" s="13" t="s">
        <v>268</v>
      </c>
      <c r="B284" s="8"/>
      <c r="C284" s="9"/>
      <c r="D284" s="10"/>
      <c r="E284" s="21"/>
      <c r="F284" s="22"/>
      <c r="G284" s="6"/>
    </row>
    <row r="285" spans="1:7" x14ac:dyDescent="0.35">
      <c r="A285" s="13" t="s">
        <v>269</v>
      </c>
      <c r="B285" s="8"/>
      <c r="C285" s="9"/>
      <c r="D285" s="10"/>
      <c r="E285" s="21"/>
      <c r="F285" s="22"/>
      <c r="G285" s="6"/>
    </row>
    <row r="286" spans="1:7" x14ac:dyDescent="0.35">
      <c r="A286" s="13" t="s">
        <v>270</v>
      </c>
      <c r="B286" s="8"/>
      <c r="C286" s="9"/>
      <c r="D286" s="10"/>
      <c r="E286" s="21"/>
      <c r="F286" s="22"/>
      <c r="G286" s="6"/>
    </row>
    <row r="287" spans="1:7" x14ac:dyDescent="0.35">
      <c r="A287" s="13" t="s">
        <v>271</v>
      </c>
      <c r="B287" s="8"/>
      <c r="C287" s="9"/>
      <c r="D287" s="10"/>
      <c r="E287" s="21"/>
      <c r="F287" s="22"/>
      <c r="G287" s="6"/>
    </row>
    <row r="288" spans="1:7" x14ac:dyDescent="0.35">
      <c r="A288" s="2"/>
      <c r="B288" s="2"/>
      <c r="C288" s="2"/>
      <c r="D288" s="2"/>
      <c r="E288" s="2"/>
      <c r="F288" s="2"/>
      <c r="G288" s="2"/>
    </row>
    <row r="289" spans="1:7" x14ac:dyDescent="0.35">
      <c r="A289" s="13" t="s">
        <v>15</v>
      </c>
      <c r="B289" s="15" t="s">
        <v>0</v>
      </c>
      <c r="C289" s="16" t="s">
        <v>1</v>
      </c>
      <c r="D289" s="17" t="s">
        <v>2</v>
      </c>
      <c r="E289" s="24" t="s">
        <v>3</v>
      </c>
      <c r="F289" s="23" t="s">
        <v>4</v>
      </c>
      <c r="G289" s="18" t="s">
        <v>5</v>
      </c>
    </row>
    <row r="290" spans="1:7" x14ac:dyDescent="0.35">
      <c r="A290" s="13" t="s">
        <v>242</v>
      </c>
      <c r="B290" s="8"/>
      <c r="C290" s="9"/>
      <c r="D290" s="10"/>
      <c r="E290" s="21"/>
      <c r="F290" s="22"/>
      <c r="G290" s="6"/>
    </row>
    <row r="291" spans="1:7" x14ac:dyDescent="0.35">
      <c r="A291" s="13" t="s">
        <v>243</v>
      </c>
      <c r="B291" s="8"/>
      <c r="C291" s="9"/>
      <c r="D291" s="10"/>
      <c r="E291" s="21"/>
      <c r="F291" s="22"/>
      <c r="G291" s="6"/>
    </row>
    <row r="292" spans="1:7" x14ac:dyDescent="0.35">
      <c r="A292" s="13" t="s">
        <v>244</v>
      </c>
      <c r="B292" s="8"/>
      <c r="C292" s="9"/>
      <c r="D292" s="10"/>
      <c r="E292" s="21"/>
      <c r="F292" s="22"/>
      <c r="G292" s="6"/>
    </row>
    <row r="293" spans="1:7" x14ac:dyDescent="0.35">
      <c r="A293" s="13" t="s">
        <v>245</v>
      </c>
      <c r="B293" s="8"/>
      <c r="C293" s="9"/>
      <c r="D293" s="10"/>
      <c r="E293" s="21"/>
      <c r="F293" s="22"/>
      <c r="G293" s="6"/>
    </row>
    <row r="294" spans="1:7" x14ac:dyDescent="0.35">
      <c r="A294" s="13" t="s">
        <v>246</v>
      </c>
      <c r="B294" s="8"/>
      <c r="C294" s="9"/>
      <c r="D294" s="10"/>
      <c r="E294" s="21"/>
      <c r="F294" s="22"/>
      <c r="G294" s="6"/>
    </row>
    <row r="295" spans="1:7" x14ac:dyDescent="0.35">
      <c r="A295" s="13" t="s">
        <v>247</v>
      </c>
      <c r="B295" s="8"/>
      <c r="C295" s="9"/>
      <c r="D295" s="10"/>
      <c r="E295" s="21"/>
      <c r="F295" s="22"/>
      <c r="G295" s="6"/>
    </row>
    <row r="296" spans="1:7" x14ac:dyDescent="0.35">
      <c r="A296" s="13" t="s">
        <v>248</v>
      </c>
      <c r="B296" s="8"/>
      <c r="C296" s="9"/>
      <c r="D296" s="10"/>
      <c r="E296" s="21"/>
      <c r="F296" s="22"/>
      <c r="G296" s="6"/>
    </row>
    <row r="297" spans="1:7" x14ac:dyDescent="0.35">
      <c r="A297" s="13" t="s">
        <v>249</v>
      </c>
      <c r="B297" s="8"/>
      <c r="C297" s="9"/>
      <c r="D297" s="10"/>
      <c r="E297" s="21"/>
      <c r="F297" s="22"/>
      <c r="G297" s="6"/>
    </row>
    <row r="298" spans="1:7" x14ac:dyDescent="0.35">
      <c r="A298" s="13" t="s">
        <v>250</v>
      </c>
      <c r="B298" s="8"/>
      <c r="C298" s="9"/>
      <c r="D298" s="10"/>
      <c r="E298" s="21"/>
      <c r="F298" s="22"/>
      <c r="G298" s="6"/>
    </row>
    <row r="299" spans="1:7" x14ac:dyDescent="0.35">
      <c r="A299" s="13" t="s">
        <v>251</v>
      </c>
      <c r="B299" s="8"/>
      <c r="C299" s="9"/>
      <c r="D299" s="10"/>
      <c r="E299" s="21"/>
      <c r="F299" s="22"/>
      <c r="G299" s="6"/>
    </row>
    <row r="300" spans="1:7" x14ac:dyDescent="0.35">
      <c r="A300" s="13" t="s">
        <v>252</v>
      </c>
      <c r="B300" s="8"/>
      <c r="C300" s="9"/>
      <c r="D300" s="10"/>
      <c r="E300" s="21"/>
      <c r="F300" s="22"/>
      <c r="G300" s="6"/>
    </row>
    <row r="301" spans="1:7" x14ac:dyDescent="0.35">
      <c r="A301" s="13" t="s">
        <v>253</v>
      </c>
      <c r="B301" s="8"/>
      <c r="C301" s="9"/>
      <c r="D301" s="10"/>
      <c r="E301" s="21"/>
      <c r="F301" s="22"/>
      <c r="G301" s="6"/>
    </row>
    <row r="302" spans="1:7" x14ac:dyDescent="0.35">
      <c r="A302" s="13" t="s">
        <v>254</v>
      </c>
      <c r="B302" s="8"/>
      <c r="C302" s="9"/>
      <c r="D302" s="10"/>
      <c r="E302" s="21"/>
      <c r="F302" s="22"/>
      <c r="G302" s="6"/>
    </row>
    <row r="303" spans="1:7" x14ac:dyDescent="0.35">
      <c r="A303" s="13" t="s">
        <v>255</v>
      </c>
      <c r="B303" s="8"/>
      <c r="C303" s="9"/>
      <c r="D303" s="10"/>
      <c r="E303" s="21"/>
      <c r="F303" s="22"/>
      <c r="G303" s="6"/>
    </row>
    <row r="304" spans="1:7" x14ac:dyDescent="0.35">
      <c r="A304" s="13" t="s">
        <v>256</v>
      </c>
      <c r="B304" s="8"/>
      <c r="C304" s="9"/>
      <c r="D304" s="10"/>
      <c r="E304" s="21"/>
      <c r="F304" s="22"/>
      <c r="G304" s="6"/>
    </row>
    <row r="305" spans="1:7" x14ac:dyDescent="0.35">
      <c r="A305" s="13" t="s">
        <v>257</v>
      </c>
      <c r="B305" s="8"/>
      <c r="C305" s="9"/>
      <c r="D305" s="10"/>
      <c r="E305" s="21"/>
      <c r="F305" s="22"/>
      <c r="G305" s="6"/>
    </row>
    <row r="306" spans="1:7" x14ac:dyDescent="0.35">
      <c r="A306" s="13" t="s">
        <v>258</v>
      </c>
      <c r="B306" s="8"/>
      <c r="C306" s="9"/>
      <c r="D306" s="10"/>
      <c r="E306" s="21"/>
      <c r="F306" s="22"/>
      <c r="G306" s="6"/>
    </row>
    <row r="307" spans="1:7" x14ac:dyDescent="0.35">
      <c r="A307" s="13" t="s">
        <v>259</v>
      </c>
      <c r="B307" s="8"/>
      <c r="C307" s="9"/>
      <c r="D307" s="10"/>
      <c r="E307" s="21"/>
      <c r="F307" s="22"/>
      <c r="G307" s="6"/>
    </row>
    <row r="308" spans="1:7" x14ac:dyDescent="0.35">
      <c r="A308" s="13" t="s">
        <v>260</v>
      </c>
      <c r="B308" s="8"/>
      <c r="C308" s="9"/>
      <c r="D308" s="10"/>
      <c r="E308" s="21"/>
      <c r="F308" s="22"/>
      <c r="G308" s="6"/>
    </row>
    <row r="309" spans="1:7" x14ac:dyDescent="0.35">
      <c r="A309" s="13" t="s">
        <v>261</v>
      </c>
      <c r="B309" s="8"/>
      <c r="C309" s="9"/>
      <c r="D309" s="10"/>
      <c r="E309" s="21"/>
      <c r="F309" s="22"/>
      <c r="G309" s="6"/>
    </row>
    <row r="310" spans="1:7" x14ac:dyDescent="0.35">
      <c r="A310" s="13" t="s">
        <v>262</v>
      </c>
      <c r="B310" s="8"/>
      <c r="C310" s="9"/>
      <c r="D310" s="10"/>
      <c r="E310" s="21"/>
      <c r="F310" s="22"/>
      <c r="G310" s="6"/>
    </row>
    <row r="311" spans="1:7" x14ac:dyDescent="0.35">
      <c r="A311" s="13" t="s">
        <v>263</v>
      </c>
      <c r="B311" s="8"/>
      <c r="C311" s="9"/>
      <c r="D311" s="10"/>
      <c r="E311" s="21"/>
      <c r="F311" s="22"/>
      <c r="G311" s="6"/>
    </row>
    <row r="312" spans="1:7" x14ac:dyDescent="0.35">
      <c r="A312" s="13" t="s">
        <v>264</v>
      </c>
      <c r="B312" s="8"/>
      <c r="C312" s="9"/>
      <c r="D312" s="10"/>
      <c r="E312" s="21"/>
      <c r="F312" s="22"/>
      <c r="G312" s="6"/>
    </row>
    <row r="313" spans="1:7" x14ac:dyDescent="0.35">
      <c r="A313" s="13" t="s">
        <v>265</v>
      </c>
      <c r="B313" s="8"/>
      <c r="C313" s="9"/>
      <c r="D313" s="10"/>
      <c r="E313" s="21"/>
      <c r="F313" s="22"/>
      <c r="G313" s="6"/>
    </row>
    <row r="314" spans="1:7" x14ac:dyDescent="0.35">
      <c r="A314" s="13" t="s">
        <v>266</v>
      </c>
      <c r="B314" s="8"/>
      <c r="C314" s="9"/>
      <c r="D314" s="10"/>
      <c r="E314" s="21"/>
      <c r="F314" s="22"/>
      <c r="G314" s="6"/>
    </row>
    <row r="315" spans="1:7" x14ac:dyDescent="0.35">
      <c r="A315" s="13" t="s">
        <v>267</v>
      </c>
      <c r="B315" s="8"/>
      <c r="C315" s="9"/>
      <c r="D315" s="10"/>
      <c r="E315" s="21"/>
      <c r="F315" s="22"/>
      <c r="G315" s="6"/>
    </row>
    <row r="316" spans="1:7" x14ac:dyDescent="0.35">
      <c r="A316" s="13" t="s">
        <v>268</v>
      </c>
      <c r="B316" s="8"/>
      <c r="C316" s="9"/>
      <c r="D316" s="10"/>
      <c r="E316" s="21"/>
      <c r="F316" s="22"/>
      <c r="G316" s="6"/>
    </row>
    <row r="317" spans="1:7" x14ac:dyDescent="0.35">
      <c r="A317" s="13" t="s">
        <v>269</v>
      </c>
      <c r="B317" s="8"/>
      <c r="C317" s="9"/>
      <c r="D317" s="10"/>
      <c r="E317" s="21"/>
      <c r="F317" s="22"/>
      <c r="G317" s="6"/>
    </row>
    <row r="318" spans="1:7" x14ac:dyDescent="0.35">
      <c r="A318" s="13" t="s">
        <v>270</v>
      </c>
      <c r="B318" s="8"/>
      <c r="C318" s="9"/>
      <c r="D318" s="10"/>
      <c r="E318" s="21"/>
      <c r="F318" s="22"/>
      <c r="G318" s="6"/>
    </row>
    <row r="319" spans="1:7" x14ac:dyDescent="0.35">
      <c r="A319" s="13" t="s">
        <v>271</v>
      </c>
      <c r="B319" s="8"/>
      <c r="C319" s="9"/>
      <c r="D319" s="10"/>
      <c r="E319" s="21"/>
      <c r="F319" s="22"/>
      <c r="G319" s="6"/>
    </row>
    <row r="320" spans="1:7" x14ac:dyDescent="0.35">
      <c r="A320" s="2"/>
      <c r="B320" s="2"/>
      <c r="C320" s="2"/>
      <c r="D320" s="2"/>
      <c r="E320" s="2"/>
      <c r="F320" s="2"/>
      <c r="G320" s="2"/>
    </row>
    <row r="321" spans="1:7" x14ac:dyDescent="0.35">
      <c r="A321" s="13" t="s">
        <v>16</v>
      </c>
      <c r="B321" s="15" t="s">
        <v>0</v>
      </c>
      <c r="C321" s="16" t="s">
        <v>1</v>
      </c>
      <c r="D321" s="17" t="s">
        <v>2</v>
      </c>
      <c r="E321" s="24" t="s">
        <v>3</v>
      </c>
      <c r="F321" s="23" t="s">
        <v>4</v>
      </c>
      <c r="G321" s="18" t="s">
        <v>5</v>
      </c>
    </row>
    <row r="322" spans="1:7" x14ac:dyDescent="0.35">
      <c r="A322" s="13" t="s">
        <v>242</v>
      </c>
      <c r="B322" s="8"/>
      <c r="C322" s="9"/>
      <c r="D322" s="10"/>
      <c r="E322" s="21"/>
      <c r="F322" s="22"/>
      <c r="G322" s="6"/>
    </row>
    <row r="323" spans="1:7" x14ac:dyDescent="0.35">
      <c r="A323" s="13" t="s">
        <v>243</v>
      </c>
      <c r="B323" s="8"/>
      <c r="C323" s="9"/>
      <c r="D323" s="10"/>
      <c r="E323" s="21"/>
      <c r="F323" s="22"/>
      <c r="G323" s="6"/>
    </row>
    <row r="324" spans="1:7" x14ac:dyDescent="0.35">
      <c r="A324" s="13" t="s">
        <v>244</v>
      </c>
      <c r="B324" s="8"/>
      <c r="C324" s="9"/>
      <c r="D324" s="10"/>
      <c r="E324" s="21"/>
      <c r="F324" s="22"/>
      <c r="G324" s="6"/>
    </row>
    <row r="325" spans="1:7" x14ac:dyDescent="0.35">
      <c r="A325" s="13" t="s">
        <v>245</v>
      </c>
      <c r="B325" s="8"/>
      <c r="C325" s="9"/>
      <c r="D325" s="10"/>
      <c r="E325" s="21"/>
      <c r="F325" s="22"/>
      <c r="G325" s="6"/>
    </row>
    <row r="326" spans="1:7" x14ac:dyDescent="0.35">
      <c r="A326" s="13" t="s">
        <v>246</v>
      </c>
      <c r="B326" s="8"/>
      <c r="C326" s="9"/>
      <c r="D326" s="10"/>
      <c r="E326" s="21"/>
      <c r="F326" s="22"/>
      <c r="G326" s="6"/>
    </row>
    <row r="327" spans="1:7" x14ac:dyDescent="0.35">
      <c r="A327" s="13" t="s">
        <v>247</v>
      </c>
      <c r="B327" s="8"/>
      <c r="C327" s="9"/>
      <c r="D327" s="10"/>
      <c r="E327" s="21"/>
      <c r="F327" s="22"/>
      <c r="G327" s="6"/>
    </row>
    <row r="328" spans="1:7" x14ac:dyDescent="0.35">
      <c r="A328" s="13" t="s">
        <v>248</v>
      </c>
      <c r="B328" s="8"/>
      <c r="C328" s="9"/>
      <c r="D328" s="10"/>
      <c r="E328" s="21"/>
      <c r="F328" s="22"/>
      <c r="G328" s="6"/>
    </row>
    <row r="329" spans="1:7" x14ac:dyDescent="0.35">
      <c r="A329" s="13" t="s">
        <v>249</v>
      </c>
      <c r="B329" s="8"/>
      <c r="C329" s="9"/>
      <c r="D329" s="10"/>
      <c r="E329" s="21"/>
      <c r="F329" s="22"/>
      <c r="G329" s="6"/>
    </row>
    <row r="330" spans="1:7" x14ac:dyDescent="0.35">
      <c r="A330" s="13" t="s">
        <v>250</v>
      </c>
      <c r="B330" s="8"/>
      <c r="C330" s="9"/>
      <c r="D330" s="10"/>
      <c r="E330" s="21"/>
      <c r="F330" s="22"/>
      <c r="G330" s="6"/>
    </row>
    <row r="331" spans="1:7" x14ac:dyDescent="0.35">
      <c r="A331" s="13" t="s">
        <v>251</v>
      </c>
      <c r="B331" s="8"/>
      <c r="C331" s="9"/>
      <c r="D331" s="10"/>
      <c r="E331" s="21"/>
      <c r="F331" s="22"/>
      <c r="G331" s="6"/>
    </row>
    <row r="332" spans="1:7" x14ac:dyDescent="0.35">
      <c r="A332" s="13" t="s">
        <v>252</v>
      </c>
      <c r="B332" s="8"/>
      <c r="C332" s="9"/>
      <c r="D332" s="10"/>
      <c r="E332" s="21"/>
      <c r="F332" s="22"/>
      <c r="G332" s="6"/>
    </row>
    <row r="333" spans="1:7" x14ac:dyDescent="0.35">
      <c r="A333" s="13" t="s">
        <v>253</v>
      </c>
      <c r="B333" s="8"/>
      <c r="C333" s="9"/>
      <c r="D333" s="10"/>
      <c r="E333" s="21"/>
      <c r="F333" s="22"/>
      <c r="G333" s="6"/>
    </row>
    <row r="334" spans="1:7" x14ac:dyDescent="0.35">
      <c r="A334" s="13" t="s">
        <v>254</v>
      </c>
      <c r="B334" s="8"/>
      <c r="C334" s="9"/>
      <c r="D334" s="10"/>
      <c r="E334" s="21"/>
      <c r="F334" s="22"/>
      <c r="G334" s="6"/>
    </row>
    <row r="335" spans="1:7" x14ac:dyDescent="0.35">
      <c r="A335" s="13" t="s">
        <v>255</v>
      </c>
      <c r="B335" s="8"/>
      <c r="C335" s="9"/>
      <c r="D335" s="10"/>
      <c r="E335" s="21"/>
      <c r="F335" s="22"/>
      <c r="G335" s="6"/>
    </row>
    <row r="336" spans="1:7" x14ac:dyDescent="0.35">
      <c r="A336" s="13" t="s">
        <v>256</v>
      </c>
      <c r="B336" s="8"/>
      <c r="C336" s="9"/>
      <c r="D336" s="10"/>
      <c r="E336" s="21"/>
      <c r="F336" s="22"/>
      <c r="G336" s="6"/>
    </row>
    <row r="337" spans="1:7" x14ac:dyDescent="0.35">
      <c r="A337" s="13" t="s">
        <v>257</v>
      </c>
      <c r="B337" s="8"/>
      <c r="C337" s="9"/>
      <c r="D337" s="10"/>
      <c r="E337" s="21"/>
      <c r="F337" s="22"/>
      <c r="G337" s="6"/>
    </row>
    <row r="338" spans="1:7" x14ac:dyDescent="0.35">
      <c r="A338" s="13" t="s">
        <v>258</v>
      </c>
      <c r="B338" s="8"/>
      <c r="C338" s="9"/>
      <c r="D338" s="10"/>
      <c r="E338" s="21"/>
      <c r="F338" s="22"/>
      <c r="G338" s="6"/>
    </row>
    <row r="339" spans="1:7" x14ac:dyDescent="0.35">
      <c r="A339" s="13" t="s">
        <v>259</v>
      </c>
      <c r="B339" s="8"/>
      <c r="C339" s="9"/>
      <c r="D339" s="10"/>
      <c r="E339" s="21"/>
      <c r="F339" s="22"/>
      <c r="G339" s="6"/>
    </row>
    <row r="340" spans="1:7" x14ac:dyDescent="0.35">
      <c r="A340" s="13" t="s">
        <v>260</v>
      </c>
      <c r="B340" s="8"/>
      <c r="C340" s="9"/>
      <c r="D340" s="10"/>
      <c r="E340" s="21"/>
      <c r="F340" s="22"/>
      <c r="G340" s="6"/>
    </row>
    <row r="341" spans="1:7" x14ac:dyDescent="0.35">
      <c r="A341" s="13" t="s">
        <v>261</v>
      </c>
      <c r="B341" s="8"/>
      <c r="C341" s="9"/>
      <c r="D341" s="10"/>
      <c r="E341" s="21"/>
      <c r="F341" s="22"/>
      <c r="G341" s="6"/>
    </row>
    <row r="342" spans="1:7" x14ac:dyDescent="0.35">
      <c r="A342" s="13" t="s">
        <v>262</v>
      </c>
      <c r="B342" s="8"/>
      <c r="C342" s="9"/>
      <c r="D342" s="10"/>
      <c r="E342" s="21"/>
      <c r="F342" s="22"/>
      <c r="G342" s="6"/>
    </row>
    <row r="343" spans="1:7" x14ac:dyDescent="0.35">
      <c r="A343" s="13" t="s">
        <v>263</v>
      </c>
      <c r="B343" s="8"/>
      <c r="C343" s="9"/>
      <c r="D343" s="10"/>
      <c r="E343" s="21"/>
      <c r="F343" s="22"/>
      <c r="G343" s="6"/>
    </row>
    <row r="344" spans="1:7" x14ac:dyDescent="0.35">
      <c r="A344" s="13" t="s">
        <v>264</v>
      </c>
      <c r="B344" s="8"/>
      <c r="C344" s="9"/>
      <c r="D344" s="10"/>
      <c r="E344" s="21"/>
      <c r="F344" s="22"/>
      <c r="G344" s="6"/>
    </row>
    <row r="345" spans="1:7" x14ac:dyDescent="0.35">
      <c r="A345" s="13" t="s">
        <v>265</v>
      </c>
      <c r="B345" s="8"/>
      <c r="C345" s="9"/>
      <c r="D345" s="10"/>
      <c r="E345" s="21"/>
      <c r="F345" s="22"/>
      <c r="G345" s="6"/>
    </row>
    <row r="346" spans="1:7" x14ac:dyDescent="0.35">
      <c r="A346" s="13" t="s">
        <v>266</v>
      </c>
      <c r="B346" s="8"/>
      <c r="C346" s="9"/>
      <c r="D346" s="10"/>
      <c r="E346" s="21"/>
      <c r="F346" s="22"/>
      <c r="G346" s="6"/>
    </row>
    <row r="347" spans="1:7" x14ac:dyDescent="0.35">
      <c r="A347" s="13" t="s">
        <v>267</v>
      </c>
      <c r="B347" s="8"/>
      <c r="C347" s="9"/>
      <c r="D347" s="10"/>
      <c r="E347" s="21"/>
      <c r="F347" s="22"/>
      <c r="G347" s="6"/>
    </row>
    <row r="348" spans="1:7" x14ac:dyDescent="0.35">
      <c r="A348" s="13" t="s">
        <v>268</v>
      </c>
      <c r="B348" s="8"/>
      <c r="C348" s="9"/>
      <c r="D348" s="10"/>
      <c r="E348" s="21"/>
      <c r="F348" s="22"/>
      <c r="G348" s="6"/>
    </row>
    <row r="349" spans="1:7" x14ac:dyDescent="0.35">
      <c r="A349" s="13" t="s">
        <v>269</v>
      </c>
      <c r="B349" s="8"/>
      <c r="C349" s="9"/>
      <c r="D349" s="10"/>
      <c r="E349" s="21"/>
      <c r="F349" s="22"/>
      <c r="G349" s="6"/>
    </row>
    <row r="350" spans="1:7" x14ac:dyDescent="0.35">
      <c r="A350" s="13" t="s">
        <v>270</v>
      </c>
      <c r="B350" s="8"/>
      <c r="C350" s="9"/>
      <c r="D350" s="10"/>
      <c r="E350" s="21"/>
      <c r="F350" s="22"/>
      <c r="G350" s="6"/>
    </row>
    <row r="351" spans="1:7" x14ac:dyDescent="0.35">
      <c r="A351" s="13" t="s">
        <v>271</v>
      </c>
      <c r="B351" s="8"/>
      <c r="C351" s="9"/>
      <c r="D351" s="10"/>
      <c r="E351" s="21"/>
      <c r="F351" s="22"/>
      <c r="G351" s="6"/>
    </row>
    <row r="352" spans="1:7" x14ac:dyDescent="0.35">
      <c r="A352" s="2"/>
      <c r="B352" s="2"/>
      <c r="C352" s="2"/>
      <c r="D352" s="2"/>
      <c r="E352" s="2"/>
      <c r="F352" s="2"/>
      <c r="G352" s="2"/>
    </row>
    <row r="353" spans="1:7" x14ac:dyDescent="0.35">
      <c r="A353" s="13" t="s">
        <v>17</v>
      </c>
      <c r="B353" s="15" t="s">
        <v>0</v>
      </c>
      <c r="C353" s="16" t="s">
        <v>1</v>
      </c>
      <c r="D353" s="17" t="s">
        <v>2</v>
      </c>
      <c r="E353" s="24" t="s">
        <v>3</v>
      </c>
      <c r="F353" s="23" t="s">
        <v>4</v>
      </c>
      <c r="G353" s="18" t="s">
        <v>5</v>
      </c>
    </row>
    <row r="354" spans="1:7" x14ac:dyDescent="0.35">
      <c r="A354" s="13" t="s">
        <v>242</v>
      </c>
      <c r="B354" s="8"/>
      <c r="C354" s="9"/>
      <c r="D354" s="10"/>
      <c r="E354" s="21"/>
      <c r="F354" s="22"/>
      <c r="G354" s="6"/>
    </row>
    <row r="355" spans="1:7" x14ac:dyDescent="0.35">
      <c r="A355" s="13" t="s">
        <v>243</v>
      </c>
      <c r="B355" s="8"/>
      <c r="C355" s="9"/>
      <c r="D355" s="10"/>
      <c r="E355" s="21"/>
      <c r="F355" s="22"/>
      <c r="G355" s="6"/>
    </row>
    <row r="356" spans="1:7" x14ac:dyDescent="0.35">
      <c r="A356" s="13" t="s">
        <v>244</v>
      </c>
      <c r="B356" s="8"/>
      <c r="C356" s="9"/>
      <c r="D356" s="10"/>
      <c r="E356" s="21"/>
      <c r="F356" s="22"/>
      <c r="G356" s="6"/>
    </row>
    <row r="357" spans="1:7" x14ac:dyDescent="0.35">
      <c r="A357" s="13" t="s">
        <v>245</v>
      </c>
      <c r="B357" s="8"/>
      <c r="C357" s="9"/>
      <c r="D357" s="10"/>
      <c r="E357" s="21"/>
      <c r="F357" s="22"/>
      <c r="G357" s="6"/>
    </row>
    <row r="358" spans="1:7" x14ac:dyDescent="0.35">
      <c r="A358" s="13" t="s">
        <v>246</v>
      </c>
      <c r="B358" s="8"/>
      <c r="C358" s="9"/>
      <c r="D358" s="10"/>
      <c r="E358" s="21"/>
      <c r="F358" s="22"/>
      <c r="G358" s="6"/>
    </row>
    <row r="359" spans="1:7" x14ac:dyDescent="0.35">
      <c r="A359" s="13" t="s">
        <v>247</v>
      </c>
      <c r="B359" s="8"/>
      <c r="C359" s="9"/>
      <c r="D359" s="10"/>
      <c r="E359" s="21"/>
      <c r="F359" s="22"/>
      <c r="G359" s="6"/>
    </row>
    <row r="360" spans="1:7" x14ac:dyDescent="0.35">
      <c r="A360" s="13" t="s">
        <v>248</v>
      </c>
      <c r="B360" s="8"/>
      <c r="C360" s="9"/>
      <c r="D360" s="10"/>
      <c r="E360" s="21"/>
      <c r="F360" s="22"/>
      <c r="G360" s="6"/>
    </row>
    <row r="361" spans="1:7" x14ac:dyDescent="0.35">
      <c r="A361" s="13" t="s">
        <v>249</v>
      </c>
      <c r="B361" s="8"/>
      <c r="C361" s="9"/>
      <c r="D361" s="10"/>
      <c r="E361" s="21"/>
      <c r="F361" s="22"/>
      <c r="G361" s="6"/>
    </row>
    <row r="362" spans="1:7" x14ac:dyDescent="0.35">
      <c r="A362" s="13" t="s">
        <v>250</v>
      </c>
      <c r="B362" s="8"/>
      <c r="C362" s="9"/>
      <c r="D362" s="10"/>
      <c r="E362" s="21"/>
      <c r="F362" s="22"/>
      <c r="G362" s="6"/>
    </row>
    <row r="363" spans="1:7" x14ac:dyDescent="0.35">
      <c r="A363" s="13" t="s">
        <v>251</v>
      </c>
      <c r="B363" s="8"/>
      <c r="C363" s="9"/>
      <c r="D363" s="10"/>
      <c r="E363" s="21"/>
      <c r="F363" s="22"/>
      <c r="G363" s="6"/>
    </row>
    <row r="364" spans="1:7" x14ac:dyDescent="0.35">
      <c r="A364" s="13" t="s">
        <v>252</v>
      </c>
      <c r="B364" s="8"/>
      <c r="C364" s="9"/>
      <c r="D364" s="10"/>
      <c r="E364" s="21"/>
      <c r="F364" s="22"/>
      <c r="G364" s="6"/>
    </row>
    <row r="365" spans="1:7" x14ac:dyDescent="0.35">
      <c r="A365" s="13" t="s">
        <v>253</v>
      </c>
      <c r="B365" s="8"/>
      <c r="C365" s="9"/>
      <c r="D365" s="10"/>
      <c r="E365" s="21"/>
      <c r="F365" s="22"/>
      <c r="G365" s="6"/>
    </row>
    <row r="366" spans="1:7" x14ac:dyDescent="0.35">
      <c r="A366" s="13" t="s">
        <v>254</v>
      </c>
      <c r="B366" s="8"/>
      <c r="C366" s="9"/>
      <c r="D366" s="10"/>
      <c r="E366" s="21"/>
      <c r="F366" s="22"/>
      <c r="G366" s="6"/>
    </row>
    <row r="367" spans="1:7" x14ac:dyDescent="0.35">
      <c r="A367" s="13" t="s">
        <v>255</v>
      </c>
      <c r="B367" s="8"/>
      <c r="C367" s="9"/>
      <c r="D367" s="10"/>
      <c r="E367" s="21"/>
      <c r="F367" s="22"/>
      <c r="G367" s="6"/>
    </row>
    <row r="368" spans="1:7" x14ac:dyDescent="0.35">
      <c r="A368" s="13" t="s">
        <v>256</v>
      </c>
      <c r="B368" s="8"/>
      <c r="C368" s="9"/>
      <c r="D368" s="10"/>
      <c r="E368" s="21"/>
      <c r="F368" s="22"/>
      <c r="G368" s="6"/>
    </row>
    <row r="369" spans="1:7" x14ac:dyDescent="0.35">
      <c r="A369" s="13" t="s">
        <v>257</v>
      </c>
      <c r="B369" s="8"/>
      <c r="C369" s="9"/>
      <c r="D369" s="10"/>
      <c r="E369" s="21"/>
      <c r="F369" s="22"/>
      <c r="G369" s="6"/>
    </row>
    <row r="370" spans="1:7" x14ac:dyDescent="0.35">
      <c r="A370" s="13" t="s">
        <v>258</v>
      </c>
      <c r="B370" s="8"/>
      <c r="C370" s="9"/>
      <c r="D370" s="10"/>
      <c r="E370" s="21"/>
      <c r="F370" s="22"/>
      <c r="G370" s="6"/>
    </row>
    <row r="371" spans="1:7" x14ac:dyDescent="0.35">
      <c r="A371" s="13" t="s">
        <v>259</v>
      </c>
      <c r="B371" s="8"/>
      <c r="C371" s="9"/>
      <c r="D371" s="10"/>
      <c r="E371" s="21"/>
      <c r="F371" s="22"/>
      <c r="G371" s="6"/>
    </row>
    <row r="372" spans="1:7" x14ac:dyDescent="0.35">
      <c r="A372" s="13" t="s">
        <v>260</v>
      </c>
      <c r="B372" s="8"/>
      <c r="C372" s="9"/>
      <c r="D372" s="10"/>
      <c r="E372" s="21"/>
      <c r="F372" s="22"/>
      <c r="G372" s="6"/>
    </row>
    <row r="373" spans="1:7" x14ac:dyDescent="0.35">
      <c r="A373" s="13" t="s">
        <v>261</v>
      </c>
      <c r="B373" s="8"/>
      <c r="C373" s="9"/>
      <c r="D373" s="10"/>
      <c r="E373" s="21"/>
      <c r="F373" s="22"/>
      <c r="G373" s="6"/>
    </row>
    <row r="374" spans="1:7" x14ac:dyDescent="0.35">
      <c r="A374" s="13" t="s">
        <v>262</v>
      </c>
      <c r="B374" s="8"/>
      <c r="C374" s="9"/>
      <c r="D374" s="10"/>
      <c r="E374" s="21"/>
      <c r="F374" s="22"/>
      <c r="G374" s="6"/>
    </row>
    <row r="375" spans="1:7" x14ac:dyDescent="0.35">
      <c r="A375" s="13" t="s">
        <v>263</v>
      </c>
      <c r="B375" s="8"/>
      <c r="C375" s="9"/>
      <c r="D375" s="10"/>
      <c r="E375" s="21"/>
      <c r="F375" s="22"/>
      <c r="G375" s="6"/>
    </row>
    <row r="376" spans="1:7" x14ac:dyDescent="0.35">
      <c r="A376" s="13" t="s">
        <v>264</v>
      </c>
      <c r="B376" s="8"/>
      <c r="C376" s="9"/>
      <c r="D376" s="10"/>
      <c r="E376" s="21"/>
      <c r="F376" s="22"/>
      <c r="G376" s="6"/>
    </row>
    <row r="377" spans="1:7" x14ac:dyDescent="0.35">
      <c r="A377" s="13" t="s">
        <v>265</v>
      </c>
      <c r="B377" s="8"/>
      <c r="C377" s="9"/>
      <c r="D377" s="10"/>
      <c r="E377" s="21"/>
      <c r="F377" s="22"/>
      <c r="G377" s="6"/>
    </row>
    <row r="378" spans="1:7" x14ac:dyDescent="0.35">
      <c r="A378" s="13" t="s">
        <v>266</v>
      </c>
      <c r="B378" s="8"/>
      <c r="C378" s="9"/>
      <c r="D378" s="10"/>
      <c r="E378" s="21"/>
      <c r="F378" s="22"/>
      <c r="G378" s="6"/>
    </row>
    <row r="379" spans="1:7" x14ac:dyDescent="0.35">
      <c r="A379" s="13" t="s">
        <v>267</v>
      </c>
      <c r="B379" s="8"/>
      <c r="C379" s="9"/>
      <c r="D379" s="10"/>
      <c r="E379" s="21"/>
      <c r="F379" s="22"/>
      <c r="G379" s="6"/>
    </row>
    <row r="380" spans="1:7" x14ac:dyDescent="0.35">
      <c r="A380" s="13" t="s">
        <v>268</v>
      </c>
      <c r="B380" s="8"/>
      <c r="C380" s="9"/>
      <c r="D380" s="10"/>
      <c r="E380" s="21"/>
      <c r="F380" s="22"/>
      <c r="G380" s="6"/>
    </row>
    <row r="381" spans="1:7" x14ac:dyDescent="0.35">
      <c r="A381" s="13" t="s">
        <v>269</v>
      </c>
      <c r="B381" s="8"/>
      <c r="C381" s="9"/>
      <c r="D381" s="10"/>
      <c r="E381" s="21"/>
      <c r="F381" s="22"/>
      <c r="G381" s="6"/>
    </row>
    <row r="382" spans="1:7" x14ac:dyDescent="0.35">
      <c r="A382" s="13" t="s">
        <v>270</v>
      </c>
      <c r="B382" s="8"/>
      <c r="C382" s="9"/>
      <c r="D382" s="10"/>
      <c r="E382" s="21"/>
      <c r="F382" s="22"/>
      <c r="G382" s="6"/>
    </row>
    <row r="383" spans="1:7" x14ac:dyDescent="0.35">
      <c r="A383" s="13" t="s">
        <v>271</v>
      </c>
      <c r="B383" s="8"/>
      <c r="C383" s="9"/>
      <c r="D383" s="10"/>
      <c r="E383" s="21"/>
      <c r="F383" s="22"/>
      <c r="G383" s="6"/>
    </row>
    <row r="384" spans="1:7" x14ac:dyDescent="0.35">
      <c r="A384" s="2"/>
      <c r="B384" s="2"/>
      <c r="C384" s="2"/>
      <c r="D384" s="2"/>
      <c r="E384" s="2"/>
      <c r="F384" s="2"/>
      <c r="G384" s="2"/>
    </row>
    <row r="385" spans="1:7" x14ac:dyDescent="0.35">
      <c r="A385" s="13" t="s">
        <v>18</v>
      </c>
      <c r="B385" s="15" t="s">
        <v>0</v>
      </c>
      <c r="C385" s="16" t="s">
        <v>1</v>
      </c>
      <c r="D385" s="17" t="s">
        <v>2</v>
      </c>
      <c r="E385" s="24" t="s">
        <v>3</v>
      </c>
      <c r="F385" s="23" t="s">
        <v>4</v>
      </c>
      <c r="G385" s="18" t="s">
        <v>5</v>
      </c>
    </row>
    <row r="386" spans="1:7" x14ac:dyDescent="0.35">
      <c r="A386" s="13" t="s">
        <v>242</v>
      </c>
      <c r="B386" s="8"/>
      <c r="C386" s="9"/>
      <c r="D386" s="10"/>
      <c r="E386" s="21"/>
      <c r="F386" s="22"/>
      <c r="G386" s="6"/>
    </row>
    <row r="387" spans="1:7" x14ac:dyDescent="0.35">
      <c r="A387" s="13" t="s">
        <v>243</v>
      </c>
      <c r="B387" s="8"/>
      <c r="C387" s="9"/>
      <c r="D387" s="10"/>
      <c r="E387" s="21"/>
      <c r="F387" s="22"/>
      <c r="G387" s="6"/>
    </row>
    <row r="388" spans="1:7" x14ac:dyDescent="0.35">
      <c r="A388" s="13" t="s">
        <v>244</v>
      </c>
      <c r="B388" s="8"/>
      <c r="C388" s="9"/>
      <c r="D388" s="10"/>
      <c r="E388" s="21"/>
      <c r="F388" s="22"/>
      <c r="G388" s="6"/>
    </row>
    <row r="389" spans="1:7" x14ac:dyDescent="0.35">
      <c r="A389" s="13" t="s">
        <v>245</v>
      </c>
      <c r="B389" s="8"/>
      <c r="C389" s="9"/>
      <c r="D389" s="10"/>
      <c r="E389" s="21"/>
      <c r="F389" s="22"/>
      <c r="G389" s="6"/>
    </row>
    <row r="390" spans="1:7" x14ac:dyDescent="0.35">
      <c r="A390" s="13" t="s">
        <v>246</v>
      </c>
      <c r="B390" s="8"/>
      <c r="C390" s="9"/>
      <c r="D390" s="10"/>
      <c r="E390" s="21"/>
      <c r="F390" s="22"/>
      <c r="G390" s="6"/>
    </row>
    <row r="391" spans="1:7" x14ac:dyDescent="0.35">
      <c r="A391" s="13" t="s">
        <v>247</v>
      </c>
      <c r="B391" s="8"/>
      <c r="C391" s="9"/>
      <c r="D391" s="10"/>
      <c r="E391" s="21"/>
      <c r="F391" s="22"/>
      <c r="G391" s="6"/>
    </row>
    <row r="392" spans="1:7" x14ac:dyDescent="0.35">
      <c r="A392" s="13" t="s">
        <v>248</v>
      </c>
      <c r="B392" s="8"/>
      <c r="C392" s="9"/>
      <c r="D392" s="10"/>
      <c r="E392" s="21"/>
      <c r="F392" s="22"/>
      <c r="G392" s="6"/>
    </row>
    <row r="393" spans="1:7" x14ac:dyDescent="0.35">
      <c r="A393" s="13" t="s">
        <v>249</v>
      </c>
      <c r="B393" s="8"/>
      <c r="C393" s="9"/>
      <c r="D393" s="10"/>
      <c r="E393" s="21"/>
      <c r="F393" s="22"/>
      <c r="G393" s="6"/>
    </row>
    <row r="394" spans="1:7" x14ac:dyDescent="0.35">
      <c r="A394" s="13" t="s">
        <v>250</v>
      </c>
      <c r="B394" s="8"/>
      <c r="C394" s="9"/>
      <c r="D394" s="10"/>
      <c r="E394" s="21"/>
      <c r="F394" s="22"/>
      <c r="G394" s="6"/>
    </row>
    <row r="395" spans="1:7" x14ac:dyDescent="0.35">
      <c r="A395" s="13" t="s">
        <v>251</v>
      </c>
      <c r="B395" s="8"/>
      <c r="C395" s="9"/>
      <c r="D395" s="10"/>
      <c r="E395" s="21"/>
      <c r="F395" s="22"/>
      <c r="G395" s="6"/>
    </row>
    <row r="396" spans="1:7" x14ac:dyDescent="0.35">
      <c r="A396" s="13" t="s">
        <v>252</v>
      </c>
      <c r="B396" s="8"/>
      <c r="C396" s="9"/>
      <c r="D396" s="10"/>
      <c r="E396" s="21"/>
      <c r="F396" s="22"/>
      <c r="G396" s="6"/>
    </row>
    <row r="397" spans="1:7" x14ac:dyDescent="0.35">
      <c r="A397" s="13" t="s">
        <v>253</v>
      </c>
      <c r="B397" s="8"/>
      <c r="C397" s="9"/>
      <c r="D397" s="10"/>
      <c r="E397" s="21"/>
      <c r="F397" s="22"/>
      <c r="G397" s="6"/>
    </row>
    <row r="398" spans="1:7" x14ac:dyDescent="0.35">
      <c r="A398" s="13" t="s">
        <v>254</v>
      </c>
      <c r="B398" s="8"/>
      <c r="C398" s="9"/>
      <c r="D398" s="10"/>
      <c r="E398" s="21"/>
      <c r="F398" s="22"/>
      <c r="G398" s="6"/>
    </row>
    <row r="399" spans="1:7" x14ac:dyDescent="0.35">
      <c r="A399" s="13" t="s">
        <v>255</v>
      </c>
      <c r="B399" s="8"/>
      <c r="C399" s="9"/>
      <c r="D399" s="10"/>
      <c r="E399" s="21"/>
      <c r="F399" s="22"/>
      <c r="G399" s="6"/>
    </row>
    <row r="400" spans="1:7" x14ac:dyDescent="0.35">
      <c r="A400" s="13" t="s">
        <v>256</v>
      </c>
      <c r="B400" s="8"/>
      <c r="C400" s="9"/>
      <c r="D400" s="10"/>
      <c r="E400" s="21"/>
      <c r="F400" s="22"/>
      <c r="G400" s="6"/>
    </row>
    <row r="401" spans="1:7" x14ac:dyDescent="0.35">
      <c r="A401" s="13" t="s">
        <v>257</v>
      </c>
      <c r="B401" s="8"/>
      <c r="C401" s="9"/>
      <c r="D401" s="10"/>
      <c r="E401" s="21"/>
      <c r="F401" s="22"/>
      <c r="G401" s="6"/>
    </row>
    <row r="402" spans="1:7" x14ac:dyDescent="0.35">
      <c r="A402" s="13" t="s">
        <v>258</v>
      </c>
      <c r="B402" s="8"/>
      <c r="C402" s="9"/>
      <c r="D402" s="10"/>
      <c r="E402" s="21"/>
      <c r="F402" s="22"/>
      <c r="G402" s="6"/>
    </row>
    <row r="403" spans="1:7" x14ac:dyDescent="0.35">
      <c r="A403" s="13" t="s">
        <v>259</v>
      </c>
      <c r="B403" s="8"/>
      <c r="C403" s="9"/>
      <c r="D403" s="10"/>
      <c r="E403" s="21"/>
      <c r="F403" s="22"/>
      <c r="G403" s="6"/>
    </row>
    <row r="404" spans="1:7" x14ac:dyDescent="0.35">
      <c r="A404" s="13" t="s">
        <v>260</v>
      </c>
      <c r="B404" s="8"/>
      <c r="C404" s="9"/>
      <c r="D404" s="10"/>
      <c r="E404" s="21"/>
      <c r="F404" s="22"/>
      <c r="G404" s="6"/>
    </row>
    <row r="405" spans="1:7" x14ac:dyDescent="0.35">
      <c r="A405" s="13" t="s">
        <v>261</v>
      </c>
      <c r="B405" s="8"/>
      <c r="C405" s="9"/>
      <c r="D405" s="10"/>
      <c r="E405" s="21"/>
      <c r="F405" s="22"/>
      <c r="G405" s="6"/>
    </row>
    <row r="406" spans="1:7" x14ac:dyDescent="0.35">
      <c r="A406" s="13" t="s">
        <v>262</v>
      </c>
      <c r="B406" s="8"/>
      <c r="C406" s="9"/>
      <c r="D406" s="10"/>
      <c r="E406" s="21"/>
      <c r="F406" s="22"/>
      <c r="G406" s="6"/>
    </row>
    <row r="407" spans="1:7" x14ac:dyDescent="0.35">
      <c r="A407" s="13" t="s">
        <v>263</v>
      </c>
      <c r="B407" s="8"/>
      <c r="C407" s="9"/>
      <c r="D407" s="10"/>
      <c r="E407" s="21"/>
      <c r="F407" s="22"/>
      <c r="G407" s="6"/>
    </row>
    <row r="408" spans="1:7" x14ac:dyDescent="0.35">
      <c r="A408" s="13" t="s">
        <v>264</v>
      </c>
      <c r="B408" s="8"/>
      <c r="C408" s="9"/>
      <c r="D408" s="10"/>
      <c r="E408" s="21"/>
      <c r="F408" s="22"/>
      <c r="G408" s="6"/>
    </row>
    <row r="409" spans="1:7" x14ac:dyDescent="0.35">
      <c r="A409" s="13" t="s">
        <v>265</v>
      </c>
      <c r="B409" s="8"/>
      <c r="C409" s="9"/>
      <c r="D409" s="10"/>
      <c r="E409" s="21"/>
      <c r="F409" s="22"/>
      <c r="G409" s="6"/>
    </row>
    <row r="410" spans="1:7" x14ac:dyDescent="0.35">
      <c r="A410" s="13" t="s">
        <v>266</v>
      </c>
      <c r="B410" s="8"/>
      <c r="C410" s="9"/>
      <c r="D410" s="10"/>
      <c r="E410" s="21"/>
      <c r="F410" s="22"/>
      <c r="G410" s="6"/>
    </row>
    <row r="411" spans="1:7" x14ac:dyDescent="0.35">
      <c r="A411" s="13" t="s">
        <v>267</v>
      </c>
      <c r="B411" s="8"/>
      <c r="C411" s="9"/>
      <c r="D411" s="10"/>
      <c r="E411" s="21"/>
      <c r="F411" s="22"/>
      <c r="G411" s="6"/>
    </row>
    <row r="412" spans="1:7" x14ac:dyDescent="0.35">
      <c r="A412" s="13" t="s">
        <v>268</v>
      </c>
      <c r="B412" s="8"/>
      <c r="C412" s="9"/>
      <c r="D412" s="10"/>
      <c r="E412" s="21"/>
      <c r="F412" s="22"/>
      <c r="G412" s="6"/>
    </row>
    <row r="413" spans="1:7" x14ac:dyDescent="0.35">
      <c r="A413" s="13" t="s">
        <v>269</v>
      </c>
      <c r="B413" s="8"/>
      <c r="C413" s="9"/>
      <c r="D413" s="10"/>
      <c r="E413" s="21"/>
      <c r="F413" s="22"/>
      <c r="G413" s="6"/>
    </row>
    <row r="414" spans="1:7" x14ac:dyDescent="0.35">
      <c r="A414" s="13" t="s">
        <v>270</v>
      </c>
      <c r="B414" s="8"/>
      <c r="C414" s="9"/>
      <c r="D414" s="10"/>
      <c r="E414" s="21"/>
      <c r="F414" s="22"/>
      <c r="G414" s="6"/>
    </row>
    <row r="415" spans="1:7" x14ac:dyDescent="0.35">
      <c r="A415" s="13" t="s">
        <v>271</v>
      </c>
      <c r="B415" s="8"/>
      <c r="C415" s="9"/>
      <c r="D415" s="10"/>
      <c r="E415" s="21"/>
      <c r="F415" s="22"/>
      <c r="G415" s="6"/>
    </row>
    <row r="416" spans="1:7" x14ac:dyDescent="0.35">
      <c r="A416" s="2"/>
      <c r="B416" s="2"/>
      <c r="C416" s="2"/>
      <c r="D416" s="2"/>
      <c r="E416" s="2"/>
      <c r="F416" s="2"/>
      <c r="G416" s="2"/>
    </row>
    <row r="417" spans="1:7" x14ac:dyDescent="0.35">
      <c r="A417" s="13" t="s">
        <v>19</v>
      </c>
      <c r="B417" s="15" t="s">
        <v>0</v>
      </c>
      <c r="C417" s="16" t="s">
        <v>1</v>
      </c>
      <c r="D417" s="17" t="s">
        <v>2</v>
      </c>
      <c r="E417" s="24" t="s">
        <v>3</v>
      </c>
      <c r="F417" s="23" t="s">
        <v>4</v>
      </c>
      <c r="G417" s="18" t="s">
        <v>5</v>
      </c>
    </row>
    <row r="418" spans="1:7" x14ac:dyDescent="0.35">
      <c r="A418" s="13" t="s">
        <v>242</v>
      </c>
      <c r="B418" s="8"/>
      <c r="C418" s="9"/>
      <c r="D418" s="10"/>
      <c r="E418" s="21"/>
      <c r="F418" s="22"/>
      <c r="G418" s="6"/>
    </row>
    <row r="419" spans="1:7" x14ac:dyDescent="0.35">
      <c r="A419" s="13" t="s">
        <v>243</v>
      </c>
      <c r="B419" s="8"/>
      <c r="C419" s="9"/>
      <c r="D419" s="10"/>
      <c r="E419" s="21"/>
      <c r="F419" s="22"/>
      <c r="G419" s="6"/>
    </row>
    <row r="420" spans="1:7" x14ac:dyDescent="0.35">
      <c r="A420" s="13" t="s">
        <v>244</v>
      </c>
      <c r="B420" s="8"/>
      <c r="C420" s="9"/>
      <c r="D420" s="10"/>
      <c r="E420" s="21"/>
      <c r="F420" s="22"/>
      <c r="G420" s="6"/>
    </row>
    <row r="421" spans="1:7" x14ac:dyDescent="0.35">
      <c r="A421" s="13" t="s">
        <v>245</v>
      </c>
      <c r="B421" s="8"/>
      <c r="C421" s="9"/>
      <c r="D421" s="10"/>
      <c r="E421" s="21"/>
      <c r="F421" s="22"/>
      <c r="G421" s="6"/>
    </row>
    <row r="422" spans="1:7" x14ac:dyDescent="0.35">
      <c r="A422" s="13" t="s">
        <v>246</v>
      </c>
      <c r="B422" s="8"/>
      <c r="C422" s="9"/>
      <c r="D422" s="10"/>
      <c r="E422" s="21"/>
      <c r="F422" s="22"/>
      <c r="G422" s="6"/>
    </row>
    <row r="423" spans="1:7" x14ac:dyDescent="0.35">
      <c r="A423" s="13" t="s">
        <v>247</v>
      </c>
      <c r="B423" s="8"/>
      <c r="C423" s="9"/>
      <c r="D423" s="10"/>
      <c r="E423" s="21"/>
      <c r="F423" s="22"/>
      <c r="G423" s="6"/>
    </row>
    <row r="424" spans="1:7" x14ac:dyDescent="0.35">
      <c r="A424" s="13" t="s">
        <v>248</v>
      </c>
      <c r="B424" s="8"/>
      <c r="C424" s="9"/>
      <c r="D424" s="10"/>
      <c r="E424" s="21"/>
      <c r="F424" s="22"/>
      <c r="G424" s="6"/>
    </row>
    <row r="425" spans="1:7" x14ac:dyDescent="0.35">
      <c r="A425" s="13" t="s">
        <v>249</v>
      </c>
      <c r="B425" s="8"/>
      <c r="C425" s="9"/>
      <c r="D425" s="10"/>
      <c r="E425" s="21"/>
      <c r="F425" s="22"/>
      <c r="G425" s="6"/>
    </row>
    <row r="426" spans="1:7" x14ac:dyDescent="0.35">
      <c r="A426" s="13" t="s">
        <v>250</v>
      </c>
      <c r="B426" s="8"/>
      <c r="C426" s="9"/>
      <c r="D426" s="10"/>
      <c r="E426" s="21"/>
      <c r="F426" s="22"/>
      <c r="G426" s="6"/>
    </row>
    <row r="427" spans="1:7" x14ac:dyDescent="0.35">
      <c r="A427" s="13" t="s">
        <v>251</v>
      </c>
      <c r="B427" s="8"/>
      <c r="C427" s="9"/>
      <c r="D427" s="10"/>
      <c r="E427" s="21"/>
      <c r="F427" s="22"/>
      <c r="G427" s="6"/>
    </row>
    <row r="428" spans="1:7" x14ac:dyDescent="0.35">
      <c r="A428" s="13" t="s">
        <v>252</v>
      </c>
      <c r="B428" s="8"/>
      <c r="C428" s="9"/>
      <c r="D428" s="10"/>
      <c r="E428" s="21"/>
      <c r="F428" s="22"/>
      <c r="G428" s="6"/>
    </row>
    <row r="429" spans="1:7" x14ac:dyDescent="0.35">
      <c r="A429" s="13" t="s">
        <v>253</v>
      </c>
      <c r="B429" s="8"/>
      <c r="C429" s="9"/>
      <c r="D429" s="10"/>
      <c r="E429" s="21"/>
      <c r="F429" s="22"/>
      <c r="G429" s="6"/>
    </row>
    <row r="430" spans="1:7" x14ac:dyDescent="0.35">
      <c r="A430" s="13" t="s">
        <v>254</v>
      </c>
      <c r="B430" s="8"/>
      <c r="C430" s="9"/>
      <c r="D430" s="10"/>
      <c r="E430" s="21"/>
      <c r="F430" s="22"/>
      <c r="G430" s="6"/>
    </row>
    <row r="431" spans="1:7" x14ac:dyDescent="0.35">
      <c r="A431" s="13" t="s">
        <v>255</v>
      </c>
      <c r="B431" s="8"/>
      <c r="C431" s="9"/>
      <c r="D431" s="10"/>
      <c r="E431" s="21"/>
      <c r="F431" s="22"/>
      <c r="G431" s="6"/>
    </row>
    <row r="432" spans="1:7" x14ac:dyDescent="0.35">
      <c r="A432" s="13" t="s">
        <v>256</v>
      </c>
      <c r="B432" s="8"/>
      <c r="C432" s="9"/>
      <c r="D432" s="10"/>
      <c r="E432" s="21"/>
      <c r="F432" s="22"/>
      <c r="G432" s="6"/>
    </row>
    <row r="433" spans="1:7" x14ac:dyDescent="0.35">
      <c r="A433" s="13" t="s">
        <v>257</v>
      </c>
      <c r="B433" s="8"/>
      <c r="C433" s="9"/>
      <c r="D433" s="10"/>
      <c r="E433" s="21"/>
      <c r="F433" s="22"/>
      <c r="G433" s="6"/>
    </row>
    <row r="434" spans="1:7" x14ac:dyDescent="0.35">
      <c r="A434" s="13" t="s">
        <v>258</v>
      </c>
      <c r="B434" s="8"/>
      <c r="C434" s="9"/>
      <c r="D434" s="10"/>
      <c r="E434" s="21"/>
      <c r="F434" s="22"/>
      <c r="G434" s="6"/>
    </row>
    <row r="435" spans="1:7" x14ac:dyDescent="0.35">
      <c r="A435" s="13" t="s">
        <v>259</v>
      </c>
      <c r="B435" s="8"/>
      <c r="C435" s="9"/>
      <c r="D435" s="10"/>
      <c r="E435" s="21"/>
      <c r="F435" s="22"/>
      <c r="G435" s="6"/>
    </row>
    <row r="436" spans="1:7" x14ac:dyDescent="0.35">
      <c r="A436" s="13" t="s">
        <v>260</v>
      </c>
      <c r="B436" s="8"/>
      <c r="C436" s="9"/>
      <c r="D436" s="10"/>
      <c r="E436" s="21"/>
      <c r="F436" s="22"/>
      <c r="G436" s="6"/>
    </row>
    <row r="437" spans="1:7" x14ac:dyDescent="0.35">
      <c r="A437" s="13" t="s">
        <v>261</v>
      </c>
      <c r="B437" s="8"/>
      <c r="C437" s="9"/>
      <c r="D437" s="10"/>
      <c r="E437" s="21"/>
      <c r="F437" s="22"/>
      <c r="G437" s="6"/>
    </row>
    <row r="438" spans="1:7" x14ac:dyDescent="0.35">
      <c r="A438" s="13" t="s">
        <v>262</v>
      </c>
      <c r="B438" s="8"/>
      <c r="C438" s="9"/>
      <c r="D438" s="10"/>
      <c r="E438" s="21"/>
      <c r="F438" s="22"/>
      <c r="G438" s="6"/>
    </row>
    <row r="439" spans="1:7" x14ac:dyDescent="0.35">
      <c r="A439" s="13" t="s">
        <v>263</v>
      </c>
      <c r="B439" s="8"/>
      <c r="C439" s="9"/>
      <c r="D439" s="10"/>
      <c r="E439" s="21"/>
      <c r="F439" s="22"/>
      <c r="G439" s="6"/>
    </row>
    <row r="440" spans="1:7" x14ac:dyDescent="0.35">
      <c r="A440" s="13" t="s">
        <v>264</v>
      </c>
      <c r="B440" s="8"/>
      <c r="C440" s="9"/>
      <c r="D440" s="10"/>
      <c r="E440" s="21"/>
      <c r="F440" s="22"/>
      <c r="G440" s="6"/>
    </row>
    <row r="441" spans="1:7" x14ac:dyDescent="0.35">
      <c r="A441" s="13" t="s">
        <v>265</v>
      </c>
      <c r="B441" s="8"/>
      <c r="C441" s="9"/>
      <c r="D441" s="10"/>
      <c r="E441" s="21"/>
      <c r="F441" s="22"/>
      <c r="G441" s="6"/>
    </row>
    <row r="442" spans="1:7" x14ac:dyDescent="0.35">
      <c r="A442" s="13" t="s">
        <v>266</v>
      </c>
      <c r="B442" s="8"/>
      <c r="C442" s="9"/>
      <c r="D442" s="10"/>
      <c r="E442" s="21"/>
      <c r="F442" s="22"/>
      <c r="G442" s="6"/>
    </row>
    <row r="443" spans="1:7" x14ac:dyDescent="0.35">
      <c r="A443" s="13" t="s">
        <v>267</v>
      </c>
      <c r="B443" s="8"/>
      <c r="C443" s="9"/>
      <c r="D443" s="10"/>
      <c r="E443" s="21"/>
      <c r="F443" s="22"/>
      <c r="G443" s="6"/>
    </row>
    <row r="444" spans="1:7" x14ac:dyDescent="0.35">
      <c r="A444" s="13" t="s">
        <v>268</v>
      </c>
      <c r="B444" s="8"/>
      <c r="C444" s="9"/>
      <c r="D444" s="10"/>
      <c r="E444" s="21"/>
      <c r="F444" s="22"/>
      <c r="G444" s="6"/>
    </row>
    <row r="445" spans="1:7" x14ac:dyDescent="0.35">
      <c r="A445" s="13" t="s">
        <v>269</v>
      </c>
      <c r="B445" s="8"/>
      <c r="C445" s="9"/>
      <c r="D445" s="10"/>
      <c r="E445" s="21"/>
      <c r="F445" s="22"/>
      <c r="G445" s="6"/>
    </row>
    <row r="446" spans="1:7" x14ac:dyDescent="0.35">
      <c r="A446" s="13" t="s">
        <v>270</v>
      </c>
      <c r="B446" s="8"/>
      <c r="C446" s="9"/>
      <c r="D446" s="10"/>
      <c r="E446" s="21"/>
      <c r="F446" s="22"/>
      <c r="G446" s="6"/>
    </row>
    <row r="447" spans="1:7" x14ac:dyDescent="0.35">
      <c r="A447" s="13" t="s">
        <v>271</v>
      </c>
      <c r="B447" s="8"/>
      <c r="C447" s="9"/>
      <c r="D447" s="10"/>
      <c r="E447" s="21"/>
      <c r="F447" s="22"/>
      <c r="G447" s="6"/>
    </row>
    <row r="448" spans="1:7" x14ac:dyDescent="0.35">
      <c r="A448" s="2"/>
      <c r="B448" s="2"/>
      <c r="C448" s="2"/>
      <c r="D448" s="2"/>
      <c r="E448" s="2"/>
      <c r="F448" s="2"/>
      <c r="G448" s="2"/>
    </row>
    <row r="449" spans="1:7" x14ac:dyDescent="0.35">
      <c r="A449" s="13" t="s">
        <v>20</v>
      </c>
      <c r="B449" s="15" t="s">
        <v>0</v>
      </c>
      <c r="C449" s="16" t="s">
        <v>1</v>
      </c>
      <c r="D449" s="17" t="s">
        <v>2</v>
      </c>
      <c r="E449" s="24" t="s">
        <v>3</v>
      </c>
      <c r="F449" s="23" t="s">
        <v>4</v>
      </c>
      <c r="G449" s="18" t="s">
        <v>5</v>
      </c>
    </row>
    <row r="450" spans="1:7" x14ac:dyDescent="0.35">
      <c r="A450" s="13" t="s">
        <v>242</v>
      </c>
      <c r="B450" s="8"/>
      <c r="C450" s="9"/>
      <c r="D450" s="10"/>
      <c r="E450" s="21"/>
      <c r="F450" s="22"/>
      <c r="G450" s="6"/>
    </row>
    <row r="451" spans="1:7" x14ac:dyDescent="0.35">
      <c r="A451" s="13" t="s">
        <v>243</v>
      </c>
      <c r="B451" s="8"/>
      <c r="C451" s="9"/>
      <c r="D451" s="10"/>
      <c r="E451" s="21"/>
      <c r="F451" s="22"/>
      <c r="G451" s="6"/>
    </row>
    <row r="452" spans="1:7" x14ac:dyDescent="0.35">
      <c r="A452" s="13" t="s">
        <v>244</v>
      </c>
      <c r="B452" s="8"/>
      <c r="C452" s="9"/>
      <c r="D452" s="10"/>
      <c r="E452" s="21"/>
      <c r="F452" s="22"/>
      <c r="G452" s="6"/>
    </row>
    <row r="453" spans="1:7" x14ac:dyDescent="0.35">
      <c r="A453" s="13" t="s">
        <v>245</v>
      </c>
      <c r="B453" s="8"/>
      <c r="C453" s="9"/>
      <c r="D453" s="10"/>
      <c r="E453" s="21"/>
      <c r="F453" s="22"/>
      <c r="G453" s="6"/>
    </row>
    <row r="454" spans="1:7" x14ac:dyDescent="0.35">
      <c r="A454" s="13" t="s">
        <v>246</v>
      </c>
      <c r="B454" s="8"/>
      <c r="C454" s="9"/>
      <c r="D454" s="10"/>
      <c r="E454" s="21"/>
      <c r="F454" s="22"/>
      <c r="G454" s="6"/>
    </row>
    <row r="455" spans="1:7" x14ac:dyDescent="0.35">
      <c r="A455" s="13" t="s">
        <v>247</v>
      </c>
      <c r="B455" s="8"/>
      <c r="C455" s="9"/>
      <c r="D455" s="10"/>
      <c r="E455" s="21"/>
      <c r="F455" s="22"/>
      <c r="G455" s="6"/>
    </row>
    <row r="456" spans="1:7" x14ac:dyDescent="0.35">
      <c r="A456" s="13" t="s">
        <v>248</v>
      </c>
      <c r="B456" s="8"/>
      <c r="C456" s="9"/>
      <c r="D456" s="10"/>
      <c r="E456" s="21"/>
      <c r="F456" s="22"/>
      <c r="G456" s="6"/>
    </row>
    <row r="457" spans="1:7" x14ac:dyDescent="0.35">
      <c r="A457" s="13" t="s">
        <v>249</v>
      </c>
      <c r="B457" s="8"/>
      <c r="C457" s="9"/>
      <c r="D457" s="10"/>
      <c r="E457" s="21"/>
      <c r="F457" s="22"/>
      <c r="G457" s="6"/>
    </row>
    <row r="458" spans="1:7" x14ac:dyDescent="0.35">
      <c r="A458" s="13" t="s">
        <v>250</v>
      </c>
      <c r="B458" s="8"/>
      <c r="C458" s="9"/>
      <c r="D458" s="10"/>
      <c r="E458" s="21"/>
      <c r="F458" s="22"/>
      <c r="G458" s="6"/>
    </row>
    <row r="459" spans="1:7" x14ac:dyDescent="0.35">
      <c r="A459" s="13" t="s">
        <v>251</v>
      </c>
      <c r="B459" s="8"/>
      <c r="C459" s="9"/>
      <c r="D459" s="10"/>
      <c r="E459" s="21"/>
      <c r="F459" s="22"/>
      <c r="G459" s="6"/>
    </row>
    <row r="460" spans="1:7" x14ac:dyDescent="0.35">
      <c r="A460" s="13" t="s">
        <v>252</v>
      </c>
      <c r="B460" s="8"/>
      <c r="C460" s="9"/>
      <c r="D460" s="10"/>
      <c r="E460" s="21"/>
      <c r="F460" s="22"/>
      <c r="G460" s="6"/>
    </row>
    <row r="461" spans="1:7" x14ac:dyDescent="0.35">
      <c r="A461" s="13" t="s">
        <v>253</v>
      </c>
      <c r="B461" s="8"/>
      <c r="C461" s="9"/>
      <c r="D461" s="10"/>
      <c r="E461" s="21"/>
      <c r="F461" s="22"/>
      <c r="G461" s="6"/>
    </row>
    <row r="462" spans="1:7" x14ac:dyDescent="0.35">
      <c r="A462" s="13" t="s">
        <v>254</v>
      </c>
      <c r="B462" s="8"/>
      <c r="C462" s="9"/>
      <c r="D462" s="10"/>
      <c r="E462" s="21"/>
      <c r="F462" s="22"/>
      <c r="G462" s="6"/>
    </row>
    <row r="463" spans="1:7" x14ac:dyDescent="0.35">
      <c r="A463" s="13" t="s">
        <v>255</v>
      </c>
      <c r="B463" s="8"/>
      <c r="C463" s="9"/>
      <c r="D463" s="10"/>
      <c r="E463" s="21"/>
      <c r="F463" s="22"/>
      <c r="G463" s="6"/>
    </row>
    <row r="464" spans="1:7" x14ac:dyDescent="0.35">
      <c r="A464" s="13" t="s">
        <v>256</v>
      </c>
      <c r="B464" s="8"/>
      <c r="C464" s="9"/>
      <c r="D464" s="10"/>
      <c r="E464" s="21"/>
      <c r="F464" s="22"/>
      <c r="G464" s="6"/>
    </row>
    <row r="465" spans="1:7" x14ac:dyDescent="0.35">
      <c r="A465" s="13" t="s">
        <v>257</v>
      </c>
      <c r="B465" s="8"/>
      <c r="C465" s="9"/>
      <c r="D465" s="10"/>
      <c r="E465" s="21"/>
      <c r="F465" s="22"/>
      <c r="G465" s="6"/>
    </row>
    <row r="466" spans="1:7" x14ac:dyDescent="0.35">
      <c r="A466" s="13" t="s">
        <v>258</v>
      </c>
      <c r="B466" s="8"/>
      <c r="C466" s="9"/>
      <c r="D466" s="10"/>
      <c r="E466" s="21"/>
      <c r="F466" s="22"/>
      <c r="G466" s="6"/>
    </row>
    <row r="467" spans="1:7" x14ac:dyDescent="0.35">
      <c r="A467" s="13" t="s">
        <v>259</v>
      </c>
      <c r="B467" s="8"/>
      <c r="C467" s="9"/>
      <c r="D467" s="10"/>
      <c r="E467" s="21"/>
      <c r="F467" s="22"/>
      <c r="G467" s="6"/>
    </row>
    <row r="468" spans="1:7" x14ac:dyDescent="0.35">
      <c r="A468" s="13" t="s">
        <v>260</v>
      </c>
      <c r="B468" s="8"/>
      <c r="C468" s="9"/>
      <c r="D468" s="10"/>
      <c r="E468" s="21"/>
      <c r="F468" s="22"/>
      <c r="G468" s="6"/>
    </row>
    <row r="469" spans="1:7" x14ac:dyDescent="0.35">
      <c r="A469" s="13" t="s">
        <v>261</v>
      </c>
      <c r="B469" s="8"/>
      <c r="C469" s="9"/>
      <c r="D469" s="10"/>
      <c r="E469" s="21"/>
      <c r="F469" s="22"/>
      <c r="G469" s="6"/>
    </row>
    <row r="470" spans="1:7" x14ac:dyDescent="0.35">
      <c r="A470" s="13" t="s">
        <v>262</v>
      </c>
      <c r="B470" s="8"/>
      <c r="C470" s="9"/>
      <c r="D470" s="10"/>
      <c r="E470" s="21"/>
      <c r="F470" s="22"/>
      <c r="G470" s="6"/>
    </row>
    <row r="471" spans="1:7" x14ac:dyDescent="0.35">
      <c r="A471" s="13" t="s">
        <v>263</v>
      </c>
      <c r="B471" s="8"/>
      <c r="C471" s="9"/>
      <c r="D471" s="10"/>
      <c r="E471" s="21"/>
      <c r="F471" s="22"/>
      <c r="G471" s="6"/>
    </row>
    <row r="472" spans="1:7" x14ac:dyDescent="0.35">
      <c r="A472" s="13" t="s">
        <v>264</v>
      </c>
      <c r="B472" s="8"/>
      <c r="C472" s="9"/>
      <c r="D472" s="10"/>
      <c r="E472" s="21"/>
      <c r="F472" s="22"/>
      <c r="G472" s="6"/>
    </row>
    <row r="473" spans="1:7" x14ac:dyDescent="0.35">
      <c r="A473" s="13" t="s">
        <v>265</v>
      </c>
      <c r="B473" s="8"/>
      <c r="C473" s="9"/>
      <c r="D473" s="10"/>
      <c r="E473" s="21"/>
      <c r="F473" s="22"/>
      <c r="G473" s="6"/>
    </row>
    <row r="474" spans="1:7" x14ac:dyDescent="0.35">
      <c r="A474" s="13" t="s">
        <v>266</v>
      </c>
      <c r="B474" s="8"/>
      <c r="C474" s="9"/>
      <c r="D474" s="10"/>
      <c r="E474" s="21"/>
      <c r="F474" s="22"/>
      <c r="G474" s="6"/>
    </row>
    <row r="475" spans="1:7" x14ac:dyDescent="0.35">
      <c r="A475" s="13" t="s">
        <v>267</v>
      </c>
      <c r="B475" s="8"/>
      <c r="C475" s="9"/>
      <c r="D475" s="10"/>
      <c r="E475" s="21"/>
      <c r="F475" s="22"/>
      <c r="G475" s="6"/>
    </row>
    <row r="476" spans="1:7" x14ac:dyDescent="0.35">
      <c r="A476" s="13" t="s">
        <v>268</v>
      </c>
      <c r="B476" s="8"/>
      <c r="C476" s="9"/>
      <c r="D476" s="10"/>
      <c r="E476" s="21"/>
      <c r="F476" s="22"/>
      <c r="G476" s="6"/>
    </row>
    <row r="477" spans="1:7" x14ac:dyDescent="0.35">
      <c r="A477" s="13" t="s">
        <v>269</v>
      </c>
      <c r="B477" s="8"/>
      <c r="C477" s="9"/>
      <c r="D477" s="10"/>
      <c r="E477" s="21"/>
      <c r="F477" s="22"/>
      <c r="G477" s="6"/>
    </row>
    <row r="478" spans="1:7" x14ac:dyDescent="0.35">
      <c r="A478" s="13" t="s">
        <v>270</v>
      </c>
      <c r="B478" s="8"/>
      <c r="C478" s="9"/>
      <c r="D478" s="10"/>
      <c r="E478" s="21"/>
      <c r="F478" s="22"/>
      <c r="G478" s="6"/>
    </row>
    <row r="479" spans="1:7" x14ac:dyDescent="0.35">
      <c r="A479" s="13" t="s">
        <v>271</v>
      </c>
      <c r="B479" s="8"/>
      <c r="C479" s="9"/>
      <c r="D479" s="10"/>
      <c r="E479" s="21"/>
      <c r="F479" s="22"/>
      <c r="G479" s="6"/>
    </row>
    <row r="480" spans="1:7" x14ac:dyDescent="0.35">
      <c r="A480" s="2"/>
      <c r="B480" s="2"/>
      <c r="C480" s="2"/>
      <c r="D480" s="2"/>
      <c r="E480" s="2"/>
      <c r="F480" s="2"/>
      <c r="G480" s="2"/>
    </row>
    <row r="481" spans="1:7" x14ac:dyDescent="0.35">
      <c r="A481" s="13" t="s">
        <v>21</v>
      </c>
      <c r="B481" s="15" t="s">
        <v>0</v>
      </c>
      <c r="C481" s="16" t="s">
        <v>1</v>
      </c>
      <c r="D481" s="17" t="s">
        <v>2</v>
      </c>
      <c r="E481" s="24" t="s">
        <v>3</v>
      </c>
      <c r="F481" s="23" t="s">
        <v>4</v>
      </c>
      <c r="G481" s="18" t="s">
        <v>5</v>
      </c>
    </row>
    <row r="482" spans="1:7" x14ac:dyDescent="0.35">
      <c r="A482" s="13" t="s">
        <v>242</v>
      </c>
      <c r="B482" s="8"/>
      <c r="C482" s="9"/>
      <c r="D482" s="10"/>
      <c r="E482" s="21"/>
      <c r="F482" s="22"/>
      <c r="G482" s="6"/>
    </row>
    <row r="483" spans="1:7" x14ac:dyDescent="0.35">
      <c r="A483" s="13" t="s">
        <v>243</v>
      </c>
      <c r="B483" s="8"/>
      <c r="C483" s="9"/>
      <c r="D483" s="10"/>
      <c r="E483" s="21"/>
      <c r="F483" s="22"/>
      <c r="G483" s="6"/>
    </row>
    <row r="484" spans="1:7" x14ac:dyDescent="0.35">
      <c r="A484" s="13" t="s">
        <v>244</v>
      </c>
      <c r="B484" s="8"/>
      <c r="C484" s="9"/>
      <c r="D484" s="10"/>
      <c r="E484" s="21"/>
      <c r="F484" s="22"/>
      <c r="G484" s="6"/>
    </row>
    <row r="485" spans="1:7" x14ac:dyDescent="0.35">
      <c r="A485" s="13" t="s">
        <v>245</v>
      </c>
      <c r="B485" s="8"/>
      <c r="C485" s="9"/>
      <c r="D485" s="10"/>
      <c r="E485" s="21"/>
      <c r="F485" s="22"/>
      <c r="G485" s="6"/>
    </row>
    <row r="486" spans="1:7" x14ac:dyDescent="0.35">
      <c r="A486" s="13" t="s">
        <v>246</v>
      </c>
      <c r="B486" s="8"/>
      <c r="C486" s="9"/>
      <c r="D486" s="10"/>
      <c r="E486" s="21"/>
      <c r="F486" s="22"/>
      <c r="G486" s="6"/>
    </row>
    <row r="487" spans="1:7" x14ac:dyDescent="0.35">
      <c r="A487" s="13" t="s">
        <v>247</v>
      </c>
      <c r="B487" s="8"/>
      <c r="C487" s="9"/>
      <c r="D487" s="10"/>
      <c r="E487" s="21"/>
      <c r="F487" s="22"/>
      <c r="G487" s="6"/>
    </row>
    <row r="488" spans="1:7" x14ac:dyDescent="0.35">
      <c r="A488" s="13" t="s">
        <v>248</v>
      </c>
      <c r="B488" s="8"/>
      <c r="C488" s="9"/>
      <c r="D488" s="10"/>
      <c r="E488" s="21"/>
      <c r="F488" s="22"/>
      <c r="G488" s="6"/>
    </row>
    <row r="489" spans="1:7" x14ac:dyDescent="0.35">
      <c r="A489" s="13" t="s">
        <v>249</v>
      </c>
      <c r="B489" s="8"/>
      <c r="C489" s="9"/>
      <c r="D489" s="10"/>
      <c r="E489" s="21"/>
      <c r="F489" s="22"/>
      <c r="G489" s="6"/>
    </row>
    <row r="490" spans="1:7" x14ac:dyDescent="0.35">
      <c r="A490" s="13" t="s">
        <v>250</v>
      </c>
      <c r="B490" s="8"/>
      <c r="C490" s="9"/>
      <c r="D490" s="10"/>
      <c r="E490" s="21"/>
      <c r="F490" s="22"/>
      <c r="G490" s="6"/>
    </row>
    <row r="491" spans="1:7" x14ac:dyDescent="0.35">
      <c r="A491" s="13" t="s">
        <v>251</v>
      </c>
      <c r="B491" s="8"/>
      <c r="C491" s="9"/>
      <c r="D491" s="10"/>
      <c r="E491" s="21"/>
      <c r="F491" s="22"/>
      <c r="G491" s="6"/>
    </row>
    <row r="492" spans="1:7" x14ac:dyDescent="0.35">
      <c r="A492" s="13" t="s">
        <v>252</v>
      </c>
      <c r="B492" s="8"/>
      <c r="C492" s="9"/>
      <c r="D492" s="10"/>
      <c r="E492" s="21"/>
      <c r="F492" s="22"/>
      <c r="G492" s="6"/>
    </row>
    <row r="493" spans="1:7" x14ac:dyDescent="0.35">
      <c r="A493" s="13" t="s">
        <v>253</v>
      </c>
      <c r="B493" s="8"/>
      <c r="C493" s="9"/>
      <c r="D493" s="10"/>
      <c r="E493" s="21"/>
      <c r="F493" s="22"/>
      <c r="G493" s="6"/>
    </row>
    <row r="494" spans="1:7" x14ac:dyDescent="0.35">
      <c r="A494" s="13" t="s">
        <v>254</v>
      </c>
      <c r="B494" s="8"/>
      <c r="C494" s="9"/>
      <c r="D494" s="10"/>
      <c r="E494" s="21"/>
      <c r="F494" s="22"/>
      <c r="G494" s="6"/>
    </row>
    <row r="495" spans="1:7" x14ac:dyDescent="0.35">
      <c r="A495" s="13" t="s">
        <v>255</v>
      </c>
      <c r="B495" s="8"/>
      <c r="C495" s="9"/>
      <c r="D495" s="10"/>
      <c r="E495" s="21"/>
      <c r="F495" s="22"/>
      <c r="G495" s="6"/>
    </row>
    <row r="496" spans="1:7" x14ac:dyDescent="0.35">
      <c r="A496" s="13" t="s">
        <v>256</v>
      </c>
      <c r="B496" s="8"/>
      <c r="C496" s="9"/>
      <c r="D496" s="10"/>
      <c r="E496" s="21"/>
      <c r="F496" s="22"/>
      <c r="G496" s="6"/>
    </row>
    <row r="497" spans="1:7" x14ac:dyDescent="0.35">
      <c r="A497" s="13" t="s">
        <v>257</v>
      </c>
      <c r="B497" s="8"/>
      <c r="C497" s="9"/>
      <c r="D497" s="10"/>
      <c r="E497" s="21"/>
      <c r="F497" s="22"/>
      <c r="G497" s="6"/>
    </row>
    <row r="498" spans="1:7" x14ac:dyDescent="0.35">
      <c r="A498" s="13" t="s">
        <v>258</v>
      </c>
      <c r="B498" s="8"/>
      <c r="C498" s="9"/>
      <c r="D498" s="10"/>
      <c r="E498" s="21"/>
      <c r="F498" s="22"/>
      <c r="G498" s="6"/>
    </row>
    <row r="499" spans="1:7" x14ac:dyDescent="0.35">
      <c r="A499" s="13" t="s">
        <v>259</v>
      </c>
      <c r="B499" s="8"/>
      <c r="C499" s="9"/>
      <c r="D499" s="10"/>
      <c r="E499" s="21"/>
      <c r="F499" s="22"/>
      <c r="G499" s="6"/>
    </row>
    <row r="500" spans="1:7" x14ac:dyDescent="0.35">
      <c r="A500" s="13" t="s">
        <v>260</v>
      </c>
      <c r="B500" s="8"/>
      <c r="C500" s="9"/>
      <c r="D500" s="10"/>
      <c r="E500" s="21"/>
      <c r="F500" s="22"/>
      <c r="G500" s="6"/>
    </row>
    <row r="501" spans="1:7" x14ac:dyDescent="0.35">
      <c r="A501" s="13" t="s">
        <v>261</v>
      </c>
      <c r="B501" s="8"/>
      <c r="C501" s="9"/>
      <c r="D501" s="10"/>
      <c r="E501" s="21"/>
      <c r="F501" s="22"/>
      <c r="G501" s="6"/>
    </row>
    <row r="502" spans="1:7" x14ac:dyDescent="0.35">
      <c r="A502" s="13" t="s">
        <v>262</v>
      </c>
      <c r="B502" s="8"/>
      <c r="C502" s="9"/>
      <c r="D502" s="10"/>
      <c r="E502" s="21"/>
      <c r="F502" s="22"/>
      <c r="G502" s="6"/>
    </row>
    <row r="503" spans="1:7" x14ac:dyDescent="0.35">
      <c r="A503" s="13" t="s">
        <v>263</v>
      </c>
      <c r="B503" s="8"/>
      <c r="C503" s="9"/>
      <c r="D503" s="10"/>
      <c r="E503" s="21"/>
      <c r="F503" s="22"/>
      <c r="G503" s="6"/>
    </row>
    <row r="504" spans="1:7" x14ac:dyDescent="0.35">
      <c r="A504" s="13" t="s">
        <v>264</v>
      </c>
      <c r="B504" s="8"/>
      <c r="C504" s="9"/>
      <c r="D504" s="10"/>
      <c r="E504" s="21"/>
      <c r="F504" s="22"/>
      <c r="G504" s="6"/>
    </row>
    <row r="505" spans="1:7" x14ac:dyDescent="0.35">
      <c r="A505" s="13" t="s">
        <v>265</v>
      </c>
      <c r="B505" s="8"/>
      <c r="C505" s="9"/>
      <c r="D505" s="10"/>
      <c r="E505" s="21"/>
      <c r="F505" s="22"/>
      <c r="G505" s="6"/>
    </row>
    <row r="506" spans="1:7" x14ac:dyDescent="0.35">
      <c r="A506" s="13" t="s">
        <v>266</v>
      </c>
      <c r="B506" s="8"/>
      <c r="C506" s="9"/>
      <c r="D506" s="10"/>
      <c r="E506" s="21"/>
      <c r="F506" s="22"/>
      <c r="G506" s="6"/>
    </row>
    <row r="507" spans="1:7" x14ac:dyDescent="0.35">
      <c r="A507" s="13" t="s">
        <v>267</v>
      </c>
      <c r="B507" s="8"/>
      <c r="C507" s="9"/>
      <c r="D507" s="10"/>
      <c r="E507" s="21"/>
      <c r="F507" s="22"/>
      <c r="G507" s="6"/>
    </row>
    <row r="508" spans="1:7" x14ac:dyDescent="0.35">
      <c r="A508" s="13" t="s">
        <v>268</v>
      </c>
      <c r="B508" s="8"/>
      <c r="C508" s="9"/>
      <c r="D508" s="10"/>
      <c r="E508" s="21"/>
      <c r="F508" s="22"/>
      <c r="G508" s="6"/>
    </row>
    <row r="509" spans="1:7" x14ac:dyDescent="0.35">
      <c r="A509" s="13" t="s">
        <v>269</v>
      </c>
      <c r="B509" s="8"/>
      <c r="C509" s="9"/>
      <c r="D509" s="10"/>
      <c r="E509" s="21"/>
      <c r="F509" s="22"/>
      <c r="G509" s="6"/>
    </row>
    <row r="510" spans="1:7" x14ac:dyDescent="0.35">
      <c r="A510" s="13" t="s">
        <v>270</v>
      </c>
      <c r="B510" s="8"/>
      <c r="C510" s="9"/>
      <c r="D510" s="10"/>
      <c r="E510" s="21"/>
      <c r="F510" s="22"/>
      <c r="G510" s="6"/>
    </row>
    <row r="511" spans="1:7" x14ac:dyDescent="0.35">
      <c r="A511" s="13" t="s">
        <v>271</v>
      </c>
      <c r="B511" s="8"/>
      <c r="C511" s="9"/>
      <c r="D511" s="10"/>
      <c r="E511" s="21"/>
      <c r="F511" s="22"/>
      <c r="G511" s="6"/>
    </row>
    <row r="512" spans="1:7" x14ac:dyDescent="0.35">
      <c r="A512" s="2"/>
      <c r="B512" s="2"/>
      <c r="C512" s="2"/>
      <c r="D512" s="2"/>
      <c r="E512" s="2"/>
      <c r="F512" s="2"/>
      <c r="G512" s="2"/>
    </row>
    <row r="513" spans="1:7" x14ac:dyDescent="0.35">
      <c r="A513" s="13" t="s">
        <v>22</v>
      </c>
      <c r="B513" s="15" t="s">
        <v>0</v>
      </c>
      <c r="C513" s="16" t="s">
        <v>1</v>
      </c>
      <c r="D513" s="17" t="s">
        <v>2</v>
      </c>
      <c r="E513" s="24" t="s">
        <v>3</v>
      </c>
      <c r="F513" s="23" t="s">
        <v>4</v>
      </c>
      <c r="G513" s="18" t="s">
        <v>5</v>
      </c>
    </row>
    <row r="514" spans="1:7" x14ac:dyDescent="0.35">
      <c r="A514" s="13" t="s">
        <v>242</v>
      </c>
      <c r="B514" s="8"/>
      <c r="C514" s="9"/>
      <c r="D514" s="10"/>
      <c r="E514" s="21"/>
      <c r="F514" s="22"/>
      <c r="G514" s="6"/>
    </row>
    <row r="515" spans="1:7" x14ac:dyDescent="0.35">
      <c r="A515" s="13" t="s">
        <v>243</v>
      </c>
      <c r="B515" s="8"/>
      <c r="C515" s="9"/>
      <c r="D515" s="10"/>
      <c r="E515" s="21"/>
      <c r="F515" s="22"/>
      <c r="G515" s="6"/>
    </row>
    <row r="516" spans="1:7" x14ac:dyDescent="0.35">
      <c r="A516" s="13" t="s">
        <v>244</v>
      </c>
      <c r="B516" s="8"/>
      <c r="C516" s="9"/>
      <c r="D516" s="10"/>
      <c r="E516" s="21"/>
      <c r="F516" s="22"/>
      <c r="G516" s="6"/>
    </row>
    <row r="517" spans="1:7" x14ac:dyDescent="0.35">
      <c r="A517" s="13" t="s">
        <v>245</v>
      </c>
      <c r="B517" s="8"/>
      <c r="C517" s="9"/>
      <c r="D517" s="10"/>
      <c r="E517" s="21"/>
      <c r="F517" s="22"/>
      <c r="G517" s="6"/>
    </row>
    <row r="518" spans="1:7" x14ac:dyDescent="0.35">
      <c r="A518" s="13" t="s">
        <v>246</v>
      </c>
      <c r="B518" s="8"/>
      <c r="C518" s="9"/>
      <c r="D518" s="10"/>
      <c r="E518" s="21"/>
      <c r="F518" s="22"/>
      <c r="G518" s="6"/>
    </row>
    <row r="519" spans="1:7" x14ac:dyDescent="0.35">
      <c r="A519" s="13" t="s">
        <v>247</v>
      </c>
      <c r="B519" s="8"/>
      <c r="C519" s="9"/>
      <c r="D519" s="10"/>
      <c r="E519" s="21"/>
      <c r="F519" s="22"/>
      <c r="G519" s="6"/>
    </row>
    <row r="520" spans="1:7" x14ac:dyDescent="0.35">
      <c r="A520" s="13" t="s">
        <v>248</v>
      </c>
      <c r="B520" s="8"/>
      <c r="C520" s="9"/>
      <c r="D520" s="10"/>
      <c r="E520" s="21"/>
      <c r="F520" s="22"/>
      <c r="G520" s="6"/>
    </row>
    <row r="521" spans="1:7" x14ac:dyDescent="0.35">
      <c r="A521" s="13" t="s">
        <v>249</v>
      </c>
      <c r="B521" s="8"/>
      <c r="C521" s="9"/>
      <c r="D521" s="10"/>
      <c r="E521" s="21"/>
      <c r="F521" s="22"/>
      <c r="G521" s="6"/>
    </row>
    <row r="522" spans="1:7" x14ac:dyDescent="0.35">
      <c r="A522" s="13" t="s">
        <v>250</v>
      </c>
      <c r="B522" s="8"/>
      <c r="C522" s="9"/>
      <c r="D522" s="10"/>
      <c r="E522" s="21"/>
      <c r="F522" s="22"/>
      <c r="G522" s="6"/>
    </row>
    <row r="523" spans="1:7" x14ac:dyDescent="0.35">
      <c r="A523" s="13" t="s">
        <v>251</v>
      </c>
      <c r="B523" s="8"/>
      <c r="C523" s="9"/>
      <c r="D523" s="10"/>
      <c r="E523" s="21"/>
      <c r="F523" s="22"/>
      <c r="G523" s="6"/>
    </row>
    <row r="524" spans="1:7" x14ac:dyDescent="0.35">
      <c r="A524" s="13" t="s">
        <v>252</v>
      </c>
      <c r="B524" s="8"/>
      <c r="C524" s="9"/>
      <c r="D524" s="10"/>
      <c r="E524" s="21"/>
      <c r="F524" s="22"/>
      <c r="G524" s="6"/>
    </row>
    <row r="525" spans="1:7" x14ac:dyDescent="0.35">
      <c r="A525" s="13" t="s">
        <v>253</v>
      </c>
      <c r="B525" s="8"/>
      <c r="C525" s="9"/>
      <c r="D525" s="10"/>
      <c r="E525" s="21"/>
      <c r="F525" s="22"/>
      <c r="G525" s="6"/>
    </row>
    <row r="526" spans="1:7" x14ac:dyDescent="0.35">
      <c r="A526" s="13" t="s">
        <v>254</v>
      </c>
      <c r="B526" s="8"/>
      <c r="C526" s="9"/>
      <c r="D526" s="10"/>
      <c r="E526" s="21"/>
      <c r="F526" s="22"/>
      <c r="G526" s="6"/>
    </row>
    <row r="527" spans="1:7" x14ac:dyDescent="0.35">
      <c r="A527" s="13" t="s">
        <v>255</v>
      </c>
      <c r="B527" s="8"/>
      <c r="C527" s="9"/>
      <c r="D527" s="10"/>
      <c r="E527" s="21"/>
      <c r="F527" s="22"/>
      <c r="G527" s="6"/>
    </row>
    <row r="528" spans="1:7" x14ac:dyDescent="0.35">
      <c r="A528" s="13" t="s">
        <v>256</v>
      </c>
      <c r="B528" s="8"/>
      <c r="C528" s="9"/>
      <c r="D528" s="10"/>
      <c r="E528" s="21"/>
      <c r="F528" s="22"/>
      <c r="G528" s="6"/>
    </row>
    <row r="529" spans="1:7" x14ac:dyDescent="0.35">
      <c r="A529" s="13" t="s">
        <v>257</v>
      </c>
      <c r="B529" s="8"/>
      <c r="C529" s="9"/>
      <c r="D529" s="10"/>
      <c r="E529" s="21"/>
      <c r="F529" s="22"/>
      <c r="G529" s="6"/>
    </row>
    <row r="530" spans="1:7" x14ac:dyDescent="0.35">
      <c r="A530" s="13" t="s">
        <v>258</v>
      </c>
      <c r="B530" s="8"/>
      <c r="C530" s="9"/>
      <c r="D530" s="10"/>
      <c r="E530" s="21"/>
      <c r="F530" s="22"/>
      <c r="G530" s="6"/>
    </row>
    <row r="531" spans="1:7" x14ac:dyDescent="0.35">
      <c r="A531" s="13" t="s">
        <v>259</v>
      </c>
      <c r="B531" s="8"/>
      <c r="C531" s="9"/>
      <c r="D531" s="10"/>
      <c r="E531" s="21"/>
      <c r="F531" s="22"/>
      <c r="G531" s="6"/>
    </row>
    <row r="532" spans="1:7" x14ac:dyDescent="0.35">
      <c r="A532" s="13" t="s">
        <v>260</v>
      </c>
      <c r="B532" s="8"/>
      <c r="C532" s="9"/>
      <c r="D532" s="10"/>
      <c r="E532" s="21"/>
      <c r="F532" s="22"/>
      <c r="G532" s="6"/>
    </row>
    <row r="533" spans="1:7" x14ac:dyDescent="0.35">
      <c r="A533" s="13" t="s">
        <v>261</v>
      </c>
      <c r="B533" s="8"/>
      <c r="C533" s="9"/>
      <c r="D533" s="10"/>
      <c r="E533" s="21"/>
      <c r="F533" s="22"/>
      <c r="G533" s="6"/>
    </row>
    <row r="534" spans="1:7" x14ac:dyDescent="0.35">
      <c r="A534" s="13" t="s">
        <v>262</v>
      </c>
      <c r="B534" s="8"/>
      <c r="C534" s="9"/>
      <c r="D534" s="10"/>
      <c r="E534" s="21"/>
      <c r="F534" s="22"/>
      <c r="G534" s="6"/>
    </row>
    <row r="535" spans="1:7" x14ac:dyDescent="0.35">
      <c r="A535" s="13" t="s">
        <v>263</v>
      </c>
      <c r="B535" s="8"/>
      <c r="C535" s="9"/>
      <c r="D535" s="10"/>
      <c r="E535" s="21"/>
      <c r="F535" s="22"/>
      <c r="G535" s="6"/>
    </row>
    <row r="536" spans="1:7" x14ac:dyDescent="0.35">
      <c r="A536" s="13" t="s">
        <v>264</v>
      </c>
      <c r="B536" s="8"/>
      <c r="C536" s="9"/>
      <c r="D536" s="10"/>
      <c r="E536" s="21"/>
      <c r="F536" s="22"/>
      <c r="G536" s="6"/>
    </row>
    <row r="537" spans="1:7" x14ac:dyDescent="0.35">
      <c r="A537" s="13" t="s">
        <v>265</v>
      </c>
      <c r="B537" s="8"/>
      <c r="C537" s="9"/>
      <c r="D537" s="10"/>
      <c r="E537" s="21"/>
      <c r="F537" s="22"/>
      <c r="G537" s="6"/>
    </row>
    <row r="538" spans="1:7" x14ac:dyDescent="0.35">
      <c r="A538" s="13" t="s">
        <v>266</v>
      </c>
      <c r="B538" s="8"/>
      <c r="C538" s="9"/>
      <c r="D538" s="10"/>
      <c r="E538" s="21"/>
      <c r="F538" s="22"/>
      <c r="G538" s="6"/>
    </row>
    <row r="539" spans="1:7" x14ac:dyDescent="0.35">
      <c r="A539" s="13" t="s">
        <v>267</v>
      </c>
      <c r="B539" s="8"/>
      <c r="C539" s="9"/>
      <c r="D539" s="10"/>
      <c r="E539" s="21"/>
      <c r="F539" s="22"/>
      <c r="G539" s="6"/>
    </row>
    <row r="540" spans="1:7" x14ac:dyDescent="0.35">
      <c r="A540" s="13" t="s">
        <v>268</v>
      </c>
      <c r="B540" s="8"/>
      <c r="C540" s="9"/>
      <c r="D540" s="10"/>
      <c r="E540" s="21"/>
      <c r="F540" s="22"/>
      <c r="G540" s="6"/>
    </row>
    <row r="541" spans="1:7" x14ac:dyDescent="0.35">
      <c r="A541" s="13" t="s">
        <v>269</v>
      </c>
      <c r="B541" s="8"/>
      <c r="C541" s="9"/>
      <c r="D541" s="10"/>
      <c r="E541" s="21"/>
      <c r="F541" s="22"/>
      <c r="G541" s="6"/>
    </row>
    <row r="542" spans="1:7" x14ac:dyDescent="0.35">
      <c r="A542" s="13" t="s">
        <v>270</v>
      </c>
      <c r="B542" s="8"/>
      <c r="C542" s="9"/>
      <c r="D542" s="10"/>
      <c r="E542" s="21"/>
      <c r="F542" s="22"/>
      <c r="G542" s="6"/>
    </row>
    <row r="543" spans="1:7" x14ac:dyDescent="0.35">
      <c r="A543" s="13" t="s">
        <v>271</v>
      </c>
      <c r="B543" s="8"/>
      <c r="C543" s="9"/>
      <c r="D543" s="10"/>
      <c r="E543" s="21"/>
      <c r="F543" s="22"/>
      <c r="G543" s="6"/>
    </row>
    <row r="544" spans="1:7" x14ac:dyDescent="0.35">
      <c r="A544" s="2"/>
      <c r="B544" s="2"/>
      <c r="C544" s="2"/>
      <c r="D544" s="2"/>
      <c r="E544" s="2"/>
      <c r="F544" s="2"/>
      <c r="G544" s="2"/>
    </row>
    <row r="545" spans="1:7" x14ac:dyDescent="0.35">
      <c r="A545" s="13" t="s">
        <v>23</v>
      </c>
      <c r="B545" s="15" t="s">
        <v>0</v>
      </c>
      <c r="C545" s="16" t="s">
        <v>1</v>
      </c>
      <c r="D545" s="17" t="s">
        <v>2</v>
      </c>
      <c r="E545" s="24" t="s">
        <v>3</v>
      </c>
      <c r="F545" s="23" t="s">
        <v>4</v>
      </c>
      <c r="G545" s="18" t="s">
        <v>5</v>
      </c>
    </row>
    <row r="546" spans="1:7" x14ac:dyDescent="0.35">
      <c r="A546" s="13" t="s">
        <v>242</v>
      </c>
      <c r="B546" s="8"/>
      <c r="C546" s="9"/>
      <c r="D546" s="10"/>
      <c r="E546" s="21"/>
      <c r="F546" s="22"/>
      <c r="G546" s="6"/>
    </row>
    <row r="547" spans="1:7" x14ac:dyDescent="0.35">
      <c r="A547" s="13" t="s">
        <v>243</v>
      </c>
      <c r="B547" s="8"/>
      <c r="C547" s="9"/>
      <c r="D547" s="10"/>
      <c r="E547" s="21"/>
      <c r="F547" s="22"/>
      <c r="G547" s="6"/>
    </row>
    <row r="548" spans="1:7" x14ac:dyDescent="0.35">
      <c r="A548" s="13" t="s">
        <v>244</v>
      </c>
      <c r="B548" s="8"/>
      <c r="C548" s="9"/>
      <c r="D548" s="10"/>
      <c r="E548" s="21"/>
      <c r="F548" s="22"/>
      <c r="G548" s="6"/>
    </row>
    <row r="549" spans="1:7" x14ac:dyDescent="0.35">
      <c r="A549" s="13" t="s">
        <v>245</v>
      </c>
      <c r="B549" s="8"/>
      <c r="C549" s="9"/>
      <c r="D549" s="10"/>
      <c r="E549" s="21"/>
      <c r="F549" s="22"/>
      <c r="G549" s="6"/>
    </row>
    <row r="550" spans="1:7" x14ac:dyDescent="0.35">
      <c r="A550" s="13" t="s">
        <v>246</v>
      </c>
      <c r="B550" s="8"/>
      <c r="C550" s="9"/>
      <c r="D550" s="10"/>
      <c r="E550" s="21"/>
      <c r="F550" s="22"/>
      <c r="G550" s="6"/>
    </row>
    <row r="551" spans="1:7" x14ac:dyDescent="0.35">
      <c r="A551" s="13" t="s">
        <v>247</v>
      </c>
      <c r="B551" s="8"/>
      <c r="C551" s="9"/>
      <c r="D551" s="10"/>
      <c r="E551" s="21"/>
      <c r="F551" s="22"/>
      <c r="G551" s="6"/>
    </row>
    <row r="552" spans="1:7" x14ac:dyDescent="0.35">
      <c r="A552" s="13" t="s">
        <v>248</v>
      </c>
      <c r="B552" s="8"/>
      <c r="C552" s="9"/>
      <c r="D552" s="10"/>
      <c r="E552" s="21"/>
      <c r="F552" s="22"/>
      <c r="G552" s="6"/>
    </row>
    <row r="553" spans="1:7" x14ac:dyDescent="0.35">
      <c r="A553" s="13" t="s">
        <v>249</v>
      </c>
      <c r="B553" s="8"/>
      <c r="C553" s="9"/>
      <c r="D553" s="10"/>
      <c r="E553" s="21"/>
      <c r="F553" s="22"/>
      <c r="G553" s="6"/>
    </row>
    <row r="554" spans="1:7" x14ac:dyDescent="0.35">
      <c r="A554" s="13" t="s">
        <v>250</v>
      </c>
      <c r="B554" s="8"/>
      <c r="C554" s="9"/>
      <c r="D554" s="10"/>
      <c r="E554" s="21"/>
      <c r="F554" s="22"/>
      <c r="G554" s="6"/>
    </row>
    <row r="555" spans="1:7" x14ac:dyDescent="0.35">
      <c r="A555" s="13" t="s">
        <v>251</v>
      </c>
      <c r="B555" s="8"/>
      <c r="C555" s="9"/>
      <c r="D555" s="10"/>
      <c r="E555" s="21"/>
      <c r="F555" s="22"/>
      <c r="G555" s="6"/>
    </row>
    <row r="556" spans="1:7" x14ac:dyDescent="0.35">
      <c r="A556" s="13" t="s">
        <v>252</v>
      </c>
      <c r="B556" s="8"/>
      <c r="C556" s="9"/>
      <c r="D556" s="10"/>
      <c r="E556" s="21"/>
      <c r="F556" s="22"/>
      <c r="G556" s="6"/>
    </row>
    <row r="557" spans="1:7" x14ac:dyDescent="0.35">
      <c r="A557" s="13" t="s">
        <v>253</v>
      </c>
      <c r="B557" s="8"/>
      <c r="C557" s="9"/>
      <c r="D557" s="10"/>
      <c r="E557" s="21"/>
      <c r="F557" s="22"/>
      <c r="G557" s="6"/>
    </row>
    <row r="558" spans="1:7" x14ac:dyDescent="0.35">
      <c r="A558" s="13" t="s">
        <v>254</v>
      </c>
      <c r="B558" s="8"/>
      <c r="C558" s="9"/>
      <c r="D558" s="10"/>
      <c r="E558" s="21"/>
      <c r="F558" s="22"/>
      <c r="G558" s="6"/>
    </row>
    <row r="559" spans="1:7" x14ac:dyDescent="0.35">
      <c r="A559" s="13" t="s">
        <v>255</v>
      </c>
      <c r="B559" s="8"/>
      <c r="C559" s="9"/>
      <c r="D559" s="10"/>
      <c r="E559" s="21"/>
      <c r="F559" s="22"/>
      <c r="G559" s="6"/>
    </row>
    <row r="560" spans="1:7" x14ac:dyDescent="0.35">
      <c r="A560" s="13" t="s">
        <v>256</v>
      </c>
      <c r="B560" s="8"/>
      <c r="C560" s="9"/>
      <c r="D560" s="10"/>
      <c r="E560" s="21"/>
      <c r="F560" s="22"/>
      <c r="G560" s="6"/>
    </row>
    <row r="561" spans="1:7" x14ac:dyDescent="0.35">
      <c r="A561" s="13" t="s">
        <v>257</v>
      </c>
      <c r="B561" s="8"/>
      <c r="C561" s="9"/>
      <c r="D561" s="10"/>
      <c r="E561" s="21"/>
      <c r="F561" s="22"/>
      <c r="G561" s="6"/>
    </row>
    <row r="562" spans="1:7" x14ac:dyDescent="0.35">
      <c r="A562" s="13" t="s">
        <v>258</v>
      </c>
      <c r="B562" s="8"/>
      <c r="C562" s="9"/>
      <c r="D562" s="10"/>
      <c r="E562" s="21"/>
      <c r="F562" s="22"/>
      <c r="G562" s="6"/>
    </row>
    <row r="563" spans="1:7" x14ac:dyDescent="0.35">
      <c r="A563" s="13" t="s">
        <v>259</v>
      </c>
      <c r="B563" s="8"/>
      <c r="C563" s="9"/>
      <c r="D563" s="10"/>
      <c r="E563" s="21"/>
      <c r="F563" s="22"/>
      <c r="G563" s="6"/>
    </row>
    <row r="564" spans="1:7" x14ac:dyDescent="0.35">
      <c r="A564" s="13" t="s">
        <v>260</v>
      </c>
      <c r="B564" s="8"/>
      <c r="C564" s="9"/>
      <c r="D564" s="10"/>
      <c r="E564" s="21"/>
      <c r="F564" s="22"/>
      <c r="G564" s="6"/>
    </row>
    <row r="565" spans="1:7" x14ac:dyDescent="0.35">
      <c r="A565" s="13" t="s">
        <v>261</v>
      </c>
      <c r="B565" s="8"/>
      <c r="C565" s="9"/>
      <c r="D565" s="10"/>
      <c r="E565" s="21"/>
      <c r="F565" s="22"/>
      <c r="G565" s="6"/>
    </row>
    <row r="566" spans="1:7" x14ac:dyDescent="0.35">
      <c r="A566" s="13" t="s">
        <v>262</v>
      </c>
      <c r="B566" s="8"/>
      <c r="C566" s="9"/>
      <c r="D566" s="10"/>
      <c r="E566" s="21"/>
      <c r="F566" s="22"/>
      <c r="G566" s="6"/>
    </row>
    <row r="567" spans="1:7" x14ac:dyDescent="0.35">
      <c r="A567" s="13" t="s">
        <v>263</v>
      </c>
      <c r="B567" s="8"/>
      <c r="C567" s="9"/>
      <c r="D567" s="10"/>
      <c r="E567" s="21"/>
      <c r="F567" s="22"/>
      <c r="G567" s="6"/>
    </row>
    <row r="568" spans="1:7" x14ac:dyDescent="0.35">
      <c r="A568" s="13" t="s">
        <v>264</v>
      </c>
      <c r="B568" s="8"/>
      <c r="C568" s="9"/>
      <c r="D568" s="10"/>
      <c r="E568" s="21"/>
      <c r="F568" s="22"/>
      <c r="G568" s="6"/>
    </row>
    <row r="569" spans="1:7" x14ac:dyDescent="0.35">
      <c r="A569" s="13" t="s">
        <v>265</v>
      </c>
      <c r="B569" s="8"/>
      <c r="C569" s="9"/>
      <c r="D569" s="10"/>
      <c r="E569" s="21"/>
      <c r="F569" s="22"/>
      <c r="G569" s="6"/>
    </row>
    <row r="570" spans="1:7" x14ac:dyDescent="0.35">
      <c r="A570" s="13" t="s">
        <v>266</v>
      </c>
      <c r="B570" s="8"/>
      <c r="C570" s="9"/>
      <c r="D570" s="10"/>
      <c r="E570" s="21"/>
      <c r="F570" s="22"/>
      <c r="G570" s="6"/>
    </row>
    <row r="571" spans="1:7" x14ac:dyDescent="0.35">
      <c r="A571" s="13" t="s">
        <v>267</v>
      </c>
      <c r="B571" s="8"/>
      <c r="C571" s="9"/>
      <c r="D571" s="10"/>
      <c r="E571" s="21"/>
      <c r="F571" s="22"/>
      <c r="G571" s="6"/>
    </row>
    <row r="572" spans="1:7" x14ac:dyDescent="0.35">
      <c r="A572" s="13" t="s">
        <v>268</v>
      </c>
      <c r="B572" s="8"/>
      <c r="C572" s="9"/>
      <c r="D572" s="10"/>
      <c r="E572" s="21"/>
      <c r="F572" s="22"/>
      <c r="G572" s="6"/>
    </row>
    <row r="573" spans="1:7" x14ac:dyDescent="0.35">
      <c r="A573" s="13" t="s">
        <v>269</v>
      </c>
      <c r="B573" s="8"/>
      <c r="C573" s="9"/>
      <c r="D573" s="10"/>
      <c r="E573" s="21"/>
      <c r="F573" s="22"/>
      <c r="G573" s="6"/>
    </row>
    <row r="574" spans="1:7" x14ac:dyDescent="0.35">
      <c r="A574" s="13" t="s">
        <v>270</v>
      </c>
      <c r="B574" s="8"/>
      <c r="C574" s="9"/>
      <c r="D574" s="10"/>
      <c r="E574" s="21"/>
      <c r="F574" s="22"/>
      <c r="G574" s="6"/>
    </row>
    <row r="575" spans="1:7" x14ac:dyDescent="0.35">
      <c r="A575" s="13" t="s">
        <v>271</v>
      </c>
      <c r="B575" s="8"/>
      <c r="C575" s="9"/>
      <c r="D575" s="10"/>
      <c r="E575" s="21"/>
      <c r="F575" s="22"/>
      <c r="G575" s="6"/>
    </row>
    <row r="576" spans="1:7" x14ac:dyDescent="0.35">
      <c r="A576" s="2"/>
      <c r="B576" s="2"/>
      <c r="C576" s="2"/>
      <c r="D576" s="2"/>
      <c r="E576" s="2"/>
      <c r="F576" s="2"/>
      <c r="G576" s="2"/>
    </row>
    <row r="577" spans="1:7" x14ac:dyDescent="0.35">
      <c r="A577" s="13" t="s">
        <v>24</v>
      </c>
      <c r="B577" s="15" t="s">
        <v>0</v>
      </c>
      <c r="C577" s="16" t="s">
        <v>1</v>
      </c>
      <c r="D577" s="17" t="s">
        <v>2</v>
      </c>
      <c r="E577" s="24" t="s">
        <v>3</v>
      </c>
      <c r="F577" s="23" t="s">
        <v>4</v>
      </c>
      <c r="G577" s="18" t="s">
        <v>5</v>
      </c>
    </row>
    <row r="578" spans="1:7" x14ac:dyDescent="0.35">
      <c r="A578" s="13" t="s">
        <v>242</v>
      </c>
      <c r="B578" s="8"/>
      <c r="C578" s="9"/>
      <c r="D578" s="10"/>
      <c r="E578" s="21"/>
      <c r="F578" s="22"/>
      <c r="G578" s="6"/>
    </row>
    <row r="579" spans="1:7" x14ac:dyDescent="0.35">
      <c r="A579" s="13" t="s">
        <v>243</v>
      </c>
      <c r="B579" s="8"/>
      <c r="C579" s="9"/>
      <c r="D579" s="10"/>
      <c r="E579" s="21"/>
      <c r="F579" s="22"/>
      <c r="G579" s="6"/>
    </row>
    <row r="580" spans="1:7" x14ac:dyDescent="0.35">
      <c r="A580" s="13" t="s">
        <v>244</v>
      </c>
      <c r="B580" s="8"/>
      <c r="C580" s="9"/>
      <c r="D580" s="10"/>
      <c r="E580" s="21"/>
      <c r="F580" s="22"/>
      <c r="G580" s="6"/>
    </row>
    <row r="581" spans="1:7" x14ac:dyDescent="0.35">
      <c r="A581" s="13" t="s">
        <v>245</v>
      </c>
      <c r="B581" s="8"/>
      <c r="C581" s="9"/>
      <c r="D581" s="10"/>
      <c r="E581" s="21"/>
      <c r="F581" s="22"/>
      <c r="G581" s="6"/>
    </row>
    <row r="582" spans="1:7" x14ac:dyDescent="0.35">
      <c r="A582" s="13" t="s">
        <v>246</v>
      </c>
      <c r="B582" s="8"/>
      <c r="C582" s="9"/>
      <c r="D582" s="10"/>
      <c r="E582" s="21"/>
      <c r="F582" s="22"/>
      <c r="G582" s="6"/>
    </row>
    <row r="583" spans="1:7" x14ac:dyDescent="0.35">
      <c r="A583" s="13" t="s">
        <v>247</v>
      </c>
      <c r="B583" s="8"/>
      <c r="C583" s="9"/>
      <c r="D583" s="10"/>
      <c r="E583" s="21"/>
      <c r="F583" s="22"/>
      <c r="G583" s="6"/>
    </row>
    <row r="584" spans="1:7" x14ac:dyDescent="0.35">
      <c r="A584" s="13" t="s">
        <v>248</v>
      </c>
      <c r="B584" s="8"/>
      <c r="C584" s="9"/>
      <c r="D584" s="10"/>
      <c r="E584" s="21"/>
      <c r="F584" s="22"/>
      <c r="G584" s="6"/>
    </row>
    <row r="585" spans="1:7" x14ac:dyDescent="0.35">
      <c r="A585" s="13" t="s">
        <v>249</v>
      </c>
      <c r="B585" s="8"/>
      <c r="C585" s="9"/>
      <c r="D585" s="10"/>
      <c r="E585" s="21"/>
      <c r="F585" s="22"/>
      <c r="G585" s="6"/>
    </row>
    <row r="586" spans="1:7" x14ac:dyDescent="0.35">
      <c r="A586" s="13" t="s">
        <v>250</v>
      </c>
      <c r="B586" s="8"/>
      <c r="C586" s="9"/>
      <c r="D586" s="10"/>
      <c r="E586" s="21"/>
      <c r="F586" s="22"/>
      <c r="G586" s="6"/>
    </row>
    <row r="587" spans="1:7" x14ac:dyDescent="0.35">
      <c r="A587" s="13" t="s">
        <v>251</v>
      </c>
      <c r="B587" s="8"/>
      <c r="C587" s="9"/>
      <c r="D587" s="10"/>
      <c r="E587" s="21"/>
      <c r="F587" s="22"/>
      <c r="G587" s="6"/>
    </row>
    <row r="588" spans="1:7" x14ac:dyDescent="0.35">
      <c r="A588" s="13" t="s">
        <v>252</v>
      </c>
      <c r="B588" s="8"/>
      <c r="C588" s="9"/>
      <c r="D588" s="10"/>
      <c r="E588" s="21"/>
      <c r="F588" s="22"/>
      <c r="G588" s="6"/>
    </row>
    <row r="589" spans="1:7" x14ac:dyDescent="0.35">
      <c r="A589" s="13" t="s">
        <v>253</v>
      </c>
      <c r="B589" s="8"/>
      <c r="C589" s="9"/>
      <c r="D589" s="10"/>
      <c r="E589" s="21"/>
      <c r="F589" s="22"/>
      <c r="G589" s="6"/>
    </row>
    <row r="590" spans="1:7" x14ac:dyDescent="0.35">
      <c r="A590" s="13" t="s">
        <v>254</v>
      </c>
      <c r="B590" s="8"/>
      <c r="C590" s="9"/>
      <c r="D590" s="10"/>
      <c r="E590" s="21"/>
      <c r="F590" s="22"/>
      <c r="G590" s="6"/>
    </row>
    <row r="591" spans="1:7" x14ac:dyDescent="0.35">
      <c r="A591" s="13" t="s">
        <v>255</v>
      </c>
      <c r="B591" s="8"/>
      <c r="C591" s="9"/>
      <c r="D591" s="10"/>
      <c r="E591" s="21"/>
      <c r="F591" s="22"/>
      <c r="G591" s="6"/>
    </row>
    <row r="592" spans="1:7" x14ac:dyDescent="0.35">
      <c r="A592" s="13" t="s">
        <v>256</v>
      </c>
      <c r="B592" s="8"/>
      <c r="C592" s="9"/>
      <c r="D592" s="10"/>
      <c r="E592" s="21"/>
      <c r="F592" s="22"/>
      <c r="G592" s="6"/>
    </row>
    <row r="593" spans="1:7" x14ac:dyDescent="0.35">
      <c r="A593" s="13" t="s">
        <v>257</v>
      </c>
      <c r="B593" s="8"/>
      <c r="C593" s="9"/>
      <c r="D593" s="10"/>
      <c r="E593" s="21"/>
      <c r="F593" s="22"/>
      <c r="G593" s="6"/>
    </row>
    <row r="594" spans="1:7" x14ac:dyDescent="0.35">
      <c r="A594" s="13" t="s">
        <v>258</v>
      </c>
      <c r="B594" s="8"/>
      <c r="C594" s="9"/>
      <c r="D594" s="10"/>
      <c r="E594" s="21"/>
      <c r="F594" s="22"/>
      <c r="G594" s="6"/>
    </row>
    <row r="595" spans="1:7" x14ac:dyDescent="0.35">
      <c r="A595" s="13" t="s">
        <v>259</v>
      </c>
      <c r="B595" s="8"/>
      <c r="C595" s="9"/>
      <c r="D595" s="10"/>
      <c r="E595" s="21"/>
      <c r="F595" s="22"/>
      <c r="G595" s="6"/>
    </row>
    <row r="596" spans="1:7" x14ac:dyDescent="0.35">
      <c r="A596" s="13" t="s">
        <v>260</v>
      </c>
      <c r="B596" s="8"/>
      <c r="C596" s="9"/>
      <c r="D596" s="10"/>
      <c r="E596" s="21"/>
      <c r="F596" s="22"/>
      <c r="G596" s="6"/>
    </row>
    <row r="597" spans="1:7" x14ac:dyDescent="0.35">
      <c r="A597" s="13" t="s">
        <v>261</v>
      </c>
      <c r="B597" s="8"/>
      <c r="C597" s="9"/>
      <c r="D597" s="10"/>
      <c r="E597" s="21"/>
      <c r="F597" s="22"/>
      <c r="G597" s="6"/>
    </row>
    <row r="598" spans="1:7" x14ac:dyDescent="0.35">
      <c r="A598" s="13" t="s">
        <v>262</v>
      </c>
      <c r="B598" s="8"/>
      <c r="C598" s="9"/>
      <c r="D598" s="10"/>
      <c r="E598" s="21"/>
      <c r="F598" s="22"/>
      <c r="G598" s="6"/>
    </row>
    <row r="599" spans="1:7" x14ac:dyDescent="0.35">
      <c r="A599" s="13" t="s">
        <v>263</v>
      </c>
      <c r="B599" s="8"/>
      <c r="C599" s="9"/>
      <c r="D599" s="10"/>
      <c r="E599" s="21"/>
      <c r="F599" s="22"/>
      <c r="G599" s="6"/>
    </row>
    <row r="600" spans="1:7" x14ac:dyDescent="0.35">
      <c r="A600" s="13" t="s">
        <v>264</v>
      </c>
      <c r="B600" s="8"/>
      <c r="C600" s="9"/>
      <c r="D600" s="10"/>
      <c r="E600" s="21"/>
      <c r="F600" s="22"/>
      <c r="G600" s="6"/>
    </row>
    <row r="601" spans="1:7" x14ac:dyDescent="0.35">
      <c r="A601" s="13" t="s">
        <v>265</v>
      </c>
      <c r="B601" s="8"/>
      <c r="C601" s="9"/>
      <c r="D601" s="10"/>
      <c r="E601" s="21"/>
      <c r="F601" s="22"/>
      <c r="G601" s="6"/>
    </row>
    <row r="602" spans="1:7" x14ac:dyDescent="0.35">
      <c r="A602" s="13" t="s">
        <v>266</v>
      </c>
      <c r="B602" s="8"/>
      <c r="C602" s="9"/>
      <c r="D602" s="10"/>
      <c r="E602" s="21"/>
      <c r="F602" s="22"/>
      <c r="G602" s="6"/>
    </row>
    <row r="603" spans="1:7" x14ac:dyDescent="0.35">
      <c r="A603" s="13" t="s">
        <v>267</v>
      </c>
      <c r="B603" s="8"/>
      <c r="C603" s="9"/>
      <c r="D603" s="10"/>
      <c r="E603" s="21"/>
      <c r="F603" s="22"/>
      <c r="G603" s="6"/>
    </row>
    <row r="604" spans="1:7" x14ac:dyDescent="0.35">
      <c r="A604" s="13" t="s">
        <v>268</v>
      </c>
      <c r="B604" s="8"/>
      <c r="C604" s="9"/>
      <c r="D604" s="10"/>
      <c r="E604" s="21"/>
      <c r="F604" s="22"/>
      <c r="G604" s="6"/>
    </row>
    <row r="605" spans="1:7" x14ac:dyDescent="0.35">
      <c r="A605" s="13" t="s">
        <v>269</v>
      </c>
      <c r="B605" s="8"/>
      <c r="C605" s="9"/>
      <c r="D605" s="10"/>
      <c r="E605" s="21"/>
      <c r="F605" s="22"/>
      <c r="G605" s="6"/>
    </row>
    <row r="606" spans="1:7" x14ac:dyDescent="0.35">
      <c r="A606" s="13" t="s">
        <v>270</v>
      </c>
      <c r="B606" s="8"/>
      <c r="C606" s="9"/>
      <c r="D606" s="10"/>
      <c r="E606" s="21"/>
      <c r="F606" s="22"/>
      <c r="G606" s="6"/>
    </row>
    <row r="607" spans="1:7" x14ac:dyDescent="0.35">
      <c r="A607" s="13" t="s">
        <v>271</v>
      </c>
      <c r="B607" s="8"/>
      <c r="C607" s="9"/>
      <c r="D607" s="10"/>
      <c r="E607" s="21"/>
      <c r="F607" s="22"/>
      <c r="G607" s="6"/>
    </row>
    <row r="608" spans="1:7" x14ac:dyDescent="0.35">
      <c r="A608" s="2"/>
      <c r="B608" s="2"/>
      <c r="C608" s="2"/>
      <c r="D608" s="2"/>
      <c r="E608" s="2"/>
      <c r="F608" s="2"/>
      <c r="G608" s="2"/>
    </row>
    <row r="609" spans="1:7" x14ac:dyDescent="0.35">
      <c r="A609" s="13" t="s">
        <v>25</v>
      </c>
      <c r="B609" s="15" t="s">
        <v>0</v>
      </c>
      <c r="C609" s="16" t="s">
        <v>1</v>
      </c>
      <c r="D609" s="17" t="s">
        <v>2</v>
      </c>
      <c r="E609" s="24" t="s">
        <v>3</v>
      </c>
      <c r="F609" s="23" t="s">
        <v>4</v>
      </c>
      <c r="G609" s="18" t="s">
        <v>5</v>
      </c>
    </row>
    <row r="610" spans="1:7" x14ac:dyDescent="0.35">
      <c r="A610" s="13" t="s">
        <v>242</v>
      </c>
      <c r="B610" s="8"/>
      <c r="C610" s="9"/>
      <c r="D610" s="10"/>
      <c r="E610" s="21"/>
      <c r="F610" s="22"/>
      <c r="G610" s="6"/>
    </row>
    <row r="611" spans="1:7" x14ac:dyDescent="0.35">
      <c r="A611" s="13" t="s">
        <v>243</v>
      </c>
      <c r="B611" s="8"/>
      <c r="C611" s="9"/>
      <c r="D611" s="10"/>
      <c r="E611" s="21"/>
      <c r="F611" s="22"/>
      <c r="G611" s="6"/>
    </row>
    <row r="612" spans="1:7" x14ac:dyDescent="0.35">
      <c r="A612" s="13" t="s">
        <v>244</v>
      </c>
      <c r="B612" s="8"/>
      <c r="C612" s="9"/>
      <c r="D612" s="10"/>
      <c r="E612" s="21"/>
      <c r="F612" s="22"/>
      <c r="G612" s="6"/>
    </row>
    <row r="613" spans="1:7" x14ac:dyDescent="0.35">
      <c r="A613" s="13" t="s">
        <v>245</v>
      </c>
      <c r="B613" s="8"/>
      <c r="C613" s="9"/>
      <c r="D613" s="10"/>
      <c r="E613" s="21"/>
      <c r="F613" s="22"/>
      <c r="G613" s="6"/>
    </row>
    <row r="614" spans="1:7" x14ac:dyDescent="0.35">
      <c r="A614" s="13" t="s">
        <v>246</v>
      </c>
      <c r="B614" s="8"/>
      <c r="C614" s="9"/>
      <c r="D614" s="10"/>
      <c r="E614" s="21"/>
      <c r="F614" s="22"/>
      <c r="G614" s="6"/>
    </row>
    <row r="615" spans="1:7" x14ac:dyDescent="0.35">
      <c r="A615" s="13" t="s">
        <v>247</v>
      </c>
      <c r="B615" s="8"/>
      <c r="C615" s="9"/>
      <c r="D615" s="10"/>
      <c r="E615" s="21"/>
      <c r="F615" s="22"/>
      <c r="G615" s="6"/>
    </row>
    <row r="616" spans="1:7" x14ac:dyDescent="0.35">
      <c r="A616" s="13" t="s">
        <v>248</v>
      </c>
      <c r="B616" s="8"/>
      <c r="C616" s="9"/>
      <c r="D616" s="10"/>
      <c r="E616" s="21"/>
      <c r="F616" s="22"/>
      <c r="G616" s="6"/>
    </row>
    <row r="617" spans="1:7" x14ac:dyDescent="0.35">
      <c r="A617" s="13" t="s">
        <v>249</v>
      </c>
      <c r="B617" s="8"/>
      <c r="C617" s="9"/>
      <c r="D617" s="10"/>
      <c r="E617" s="21"/>
      <c r="F617" s="22"/>
      <c r="G617" s="6"/>
    </row>
    <row r="618" spans="1:7" x14ac:dyDescent="0.35">
      <c r="A618" s="13" t="s">
        <v>250</v>
      </c>
      <c r="B618" s="8"/>
      <c r="C618" s="9"/>
      <c r="D618" s="10"/>
      <c r="E618" s="21"/>
      <c r="F618" s="22"/>
      <c r="G618" s="6"/>
    </row>
    <row r="619" spans="1:7" x14ac:dyDescent="0.35">
      <c r="A619" s="13" t="s">
        <v>251</v>
      </c>
      <c r="B619" s="8"/>
      <c r="C619" s="9"/>
      <c r="D619" s="10"/>
      <c r="E619" s="21"/>
      <c r="F619" s="22"/>
      <c r="G619" s="6"/>
    </row>
    <row r="620" spans="1:7" x14ac:dyDescent="0.35">
      <c r="A620" s="13" t="s">
        <v>252</v>
      </c>
      <c r="B620" s="8"/>
      <c r="C620" s="9"/>
      <c r="D620" s="10"/>
      <c r="E620" s="21"/>
      <c r="F620" s="22"/>
      <c r="G620" s="6"/>
    </row>
    <row r="621" spans="1:7" x14ac:dyDescent="0.35">
      <c r="A621" s="13" t="s">
        <v>253</v>
      </c>
      <c r="B621" s="8"/>
      <c r="C621" s="9"/>
      <c r="D621" s="10"/>
      <c r="E621" s="21"/>
      <c r="F621" s="22"/>
      <c r="G621" s="6"/>
    </row>
    <row r="622" spans="1:7" x14ac:dyDescent="0.35">
      <c r="A622" s="13" t="s">
        <v>254</v>
      </c>
      <c r="B622" s="8"/>
      <c r="C622" s="9"/>
      <c r="D622" s="10"/>
      <c r="E622" s="21"/>
      <c r="F622" s="22"/>
      <c r="G622" s="6"/>
    </row>
    <row r="623" spans="1:7" x14ac:dyDescent="0.35">
      <c r="A623" s="13" t="s">
        <v>255</v>
      </c>
      <c r="B623" s="8"/>
      <c r="C623" s="9"/>
      <c r="D623" s="10"/>
      <c r="E623" s="21"/>
      <c r="F623" s="22"/>
      <c r="G623" s="6"/>
    </row>
    <row r="624" spans="1:7" x14ac:dyDescent="0.35">
      <c r="A624" s="13" t="s">
        <v>256</v>
      </c>
      <c r="B624" s="8"/>
      <c r="C624" s="9"/>
      <c r="D624" s="10"/>
      <c r="E624" s="21"/>
      <c r="F624" s="22"/>
      <c r="G624" s="6"/>
    </row>
    <row r="625" spans="1:7" x14ac:dyDescent="0.35">
      <c r="A625" s="13" t="s">
        <v>257</v>
      </c>
      <c r="B625" s="8"/>
      <c r="C625" s="9"/>
      <c r="D625" s="10"/>
      <c r="E625" s="21"/>
      <c r="F625" s="22"/>
      <c r="G625" s="6"/>
    </row>
    <row r="626" spans="1:7" x14ac:dyDescent="0.35">
      <c r="A626" s="13" t="s">
        <v>258</v>
      </c>
      <c r="B626" s="8"/>
      <c r="C626" s="9"/>
      <c r="D626" s="10"/>
      <c r="E626" s="21"/>
      <c r="F626" s="22"/>
      <c r="G626" s="6"/>
    </row>
    <row r="627" spans="1:7" x14ac:dyDescent="0.35">
      <c r="A627" s="13" t="s">
        <v>259</v>
      </c>
      <c r="B627" s="8"/>
      <c r="C627" s="9"/>
      <c r="D627" s="10"/>
      <c r="E627" s="21"/>
      <c r="F627" s="22"/>
      <c r="G627" s="6"/>
    </row>
    <row r="628" spans="1:7" x14ac:dyDescent="0.35">
      <c r="A628" s="13" t="s">
        <v>260</v>
      </c>
      <c r="B628" s="8"/>
      <c r="C628" s="9"/>
      <c r="D628" s="10"/>
      <c r="E628" s="21"/>
      <c r="F628" s="22"/>
      <c r="G628" s="6"/>
    </row>
    <row r="629" spans="1:7" x14ac:dyDescent="0.35">
      <c r="A629" s="13" t="s">
        <v>261</v>
      </c>
      <c r="B629" s="8"/>
      <c r="C629" s="9"/>
      <c r="D629" s="10"/>
      <c r="E629" s="21"/>
      <c r="F629" s="22"/>
      <c r="G629" s="6"/>
    </row>
    <row r="630" spans="1:7" x14ac:dyDescent="0.35">
      <c r="A630" s="13" t="s">
        <v>262</v>
      </c>
      <c r="B630" s="8"/>
      <c r="C630" s="9"/>
      <c r="D630" s="10"/>
      <c r="E630" s="21"/>
      <c r="F630" s="22"/>
      <c r="G630" s="6"/>
    </row>
    <row r="631" spans="1:7" x14ac:dyDescent="0.35">
      <c r="A631" s="13" t="s">
        <v>263</v>
      </c>
      <c r="B631" s="8"/>
      <c r="C631" s="9"/>
      <c r="D631" s="10"/>
      <c r="E631" s="21"/>
      <c r="F631" s="22"/>
      <c r="G631" s="6"/>
    </row>
    <row r="632" spans="1:7" x14ac:dyDescent="0.35">
      <c r="A632" s="13" t="s">
        <v>264</v>
      </c>
      <c r="B632" s="8"/>
      <c r="C632" s="9"/>
      <c r="D632" s="10"/>
      <c r="E632" s="21"/>
      <c r="F632" s="22"/>
      <c r="G632" s="6"/>
    </row>
    <row r="633" spans="1:7" x14ac:dyDescent="0.35">
      <c r="A633" s="13" t="s">
        <v>265</v>
      </c>
      <c r="B633" s="8"/>
      <c r="C633" s="9"/>
      <c r="D633" s="10"/>
      <c r="E633" s="21"/>
      <c r="F633" s="22"/>
      <c r="G633" s="6"/>
    </row>
    <row r="634" spans="1:7" x14ac:dyDescent="0.35">
      <c r="A634" s="13" t="s">
        <v>266</v>
      </c>
      <c r="B634" s="8"/>
      <c r="C634" s="9"/>
      <c r="D634" s="10"/>
      <c r="E634" s="21"/>
      <c r="F634" s="22"/>
      <c r="G634" s="6"/>
    </row>
    <row r="635" spans="1:7" x14ac:dyDescent="0.35">
      <c r="A635" s="13" t="s">
        <v>267</v>
      </c>
      <c r="B635" s="8"/>
      <c r="C635" s="9"/>
      <c r="D635" s="10"/>
      <c r="E635" s="21"/>
      <c r="F635" s="22"/>
      <c r="G635" s="6"/>
    </row>
    <row r="636" spans="1:7" x14ac:dyDescent="0.35">
      <c r="A636" s="13" t="s">
        <v>268</v>
      </c>
      <c r="B636" s="8"/>
      <c r="C636" s="9"/>
      <c r="D636" s="10"/>
      <c r="E636" s="21"/>
      <c r="F636" s="22"/>
      <c r="G636" s="6"/>
    </row>
    <row r="637" spans="1:7" x14ac:dyDescent="0.35">
      <c r="A637" s="13" t="s">
        <v>269</v>
      </c>
      <c r="B637" s="8"/>
      <c r="C637" s="9"/>
      <c r="D637" s="10"/>
      <c r="E637" s="21"/>
      <c r="F637" s="22"/>
      <c r="G637" s="6"/>
    </row>
    <row r="638" spans="1:7" x14ac:dyDescent="0.35">
      <c r="A638" s="13" t="s">
        <v>270</v>
      </c>
      <c r="B638" s="8"/>
      <c r="C638" s="9"/>
      <c r="D638" s="10"/>
      <c r="E638" s="21"/>
      <c r="F638" s="22"/>
      <c r="G638" s="6"/>
    </row>
    <row r="639" spans="1:7" x14ac:dyDescent="0.35">
      <c r="A639" s="13" t="s">
        <v>271</v>
      </c>
      <c r="B639" s="8"/>
      <c r="C639" s="9"/>
      <c r="D639" s="10"/>
      <c r="E639" s="21"/>
      <c r="F639" s="22"/>
      <c r="G639" s="6"/>
    </row>
    <row r="640" spans="1:7" x14ac:dyDescent="0.35">
      <c r="A640" s="2"/>
      <c r="B640" s="2"/>
      <c r="C640" s="2"/>
      <c r="D640" s="2"/>
      <c r="E640" s="2"/>
      <c r="F640" s="2"/>
      <c r="G640" s="2"/>
    </row>
    <row r="641" spans="1:7" x14ac:dyDescent="0.35">
      <c r="A641" s="13" t="s">
        <v>26</v>
      </c>
      <c r="B641" s="15" t="s">
        <v>0</v>
      </c>
      <c r="C641" s="16" t="s">
        <v>1</v>
      </c>
      <c r="D641" s="17" t="s">
        <v>2</v>
      </c>
      <c r="E641" s="24" t="s">
        <v>3</v>
      </c>
      <c r="F641" s="23" t="s">
        <v>4</v>
      </c>
      <c r="G641" s="18" t="s">
        <v>5</v>
      </c>
    </row>
    <row r="642" spans="1:7" x14ac:dyDescent="0.35">
      <c r="A642" s="13" t="s">
        <v>242</v>
      </c>
      <c r="B642" s="8"/>
      <c r="C642" s="9"/>
      <c r="D642" s="10"/>
      <c r="E642" s="21"/>
      <c r="F642" s="22"/>
      <c r="G642" s="6"/>
    </row>
    <row r="643" spans="1:7" x14ac:dyDescent="0.35">
      <c r="A643" s="13" t="s">
        <v>243</v>
      </c>
      <c r="B643" s="8"/>
      <c r="C643" s="9"/>
      <c r="D643" s="10"/>
      <c r="E643" s="21"/>
      <c r="F643" s="22"/>
      <c r="G643" s="6"/>
    </row>
    <row r="644" spans="1:7" x14ac:dyDescent="0.35">
      <c r="A644" s="13" t="s">
        <v>244</v>
      </c>
      <c r="B644" s="8"/>
      <c r="C644" s="9"/>
      <c r="D644" s="10"/>
      <c r="E644" s="21"/>
      <c r="F644" s="22"/>
      <c r="G644" s="6"/>
    </row>
    <row r="645" spans="1:7" x14ac:dyDescent="0.35">
      <c r="A645" s="13" t="s">
        <v>245</v>
      </c>
      <c r="B645" s="8"/>
      <c r="C645" s="9"/>
      <c r="D645" s="10"/>
      <c r="E645" s="21"/>
      <c r="F645" s="22"/>
      <c r="G645" s="6"/>
    </row>
    <row r="646" spans="1:7" x14ac:dyDescent="0.35">
      <c r="A646" s="13" t="s">
        <v>246</v>
      </c>
      <c r="B646" s="8"/>
      <c r="C646" s="9"/>
      <c r="D646" s="10"/>
      <c r="E646" s="21"/>
      <c r="F646" s="22"/>
      <c r="G646" s="6"/>
    </row>
    <row r="647" spans="1:7" x14ac:dyDescent="0.35">
      <c r="A647" s="13" t="s">
        <v>247</v>
      </c>
      <c r="B647" s="8"/>
      <c r="C647" s="9"/>
      <c r="D647" s="10"/>
      <c r="E647" s="21"/>
      <c r="F647" s="22"/>
      <c r="G647" s="6"/>
    </row>
    <row r="648" spans="1:7" x14ac:dyDescent="0.35">
      <c r="A648" s="13" t="s">
        <v>248</v>
      </c>
      <c r="B648" s="8"/>
      <c r="C648" s="9"/>
      <c r="D648" s="10"/>
      <c r="E648" s="21"/>
      <c r="F648" s="22"/>
      <c r="G648" s="6"/>
    </row>
    <row r="649" spans="1:7" x14ac:dyDescent="0.35">
      <c r="A649" s="13" t="s">
        <v>249</v>
      </c>
      <c r="B649" s="8"/>
      <c r="C649" s="9"/>
      <c r="D649" s="10"/>
      <c r="E649" s="21"/>
      <c r="F649" s="22"/>
      <c r="G649" s="6"/>
    </row>
    <row r="650" spans="1:7" x14ac:dyDescent="0.35">
      <c r="A650" s="13" t="s">
        <v>250</v>
      </c>
      <c r="B650" s="8"/>
      <c r="C650" s="9"/>
      <c r="D650" s="10"/>
      <c r="E650" s="21"/>
      <c r="F650" s="22"/>
      <c r="G650" s="6"/>
    </row>
    <row r="651" spans="1:7" x14ac:dyDescent="0.35">
      <c r="A651" s="13" t="s">
        <v>251</v>
      </c>
      <c r="B651" s="8"/>
      <c r="C651" s="9"/>
      <c r="D651" s="10"/>
      <c r="E651" s="21"/>
      <c r="F651" s="22"/>
      <c r="G651" s="6"/>
    </row>
    <row r="652" spans="1:7" x14ac:dyDescent="0.35">
      <c r="A652" s="13" t="s">
        <v>252</v>
      </c>
      <c r="B652" s="8"/>
      <c r="C652" s="9"/>
      <c r="D652" s="10"/>
      <c r="E652" s="21"/>
      <c r="F652" s="22"/>
      <c r="G652" s="6"/>
    </row>
    <row r="653" spans="1:7" x14ac:dyDescent="0.35">
      <c r="A653" s="13" t="s">
        <v>253</v>
      </c>
      <c r="B653" s="8"/>
      <c r="C653" s="9"/>
      <c r="D653" s="10"/>
      <c r="E653" s="21"/>
      <c r="F653" s="22"/>
      <c r="G653" s="6"/>
    </row>
    <row r="654" spans="1:7" x14ac:dyDescent="0.35">
      <c r="A654" s="13" t="s">
        <v>254</v>
      </c>
      <c r="B654" s="8"/>
      <c r="C654" s="9"/>
      <c r="D654" s="10"/>
      <c r="E654" s="21"/>
      <c r="F654" s="22"/>
      <c r="G654" s="6"/>
    </row>
    <row r="655" spans="1:7" x14ac:dyDescent="0.35">
      <c r="A655" s="13" t="s">
        <v>255</v>
      </c>
      <c r="B655" s="8"/>
      <c r="C655" s="9"/>
      <c r="D655" s="10"/>
      <c r="E655" s="21"/>
      <c r="F655" s="22"/>
      <c r="G655" s="6"/>
    </row>
    <row r="656" spans="1:7" x14ac:dyDescent="0.35">
      <c r="A656" s="13" t="s">
        <v>256</v>
      </c>
      <c r="B656" s="8"/>
      <c r="C656" s="9"/>
      <c r="D656" s="10"/>
      <c r="E656" s="21"/>
      <c r="F656" s="22"/>
      <c r="G656" s="6"/>
    </row>
    <row r="657" spans="1:7" x14ac:dyDescent="0.35">
      <c r="A657" s="13" t="s">
        <v>257</v>
      </c>
      <c r="B657" s="8"/>
      <c r="C657" s="9"/>
      <c r="D657" s="10"/>
      <c r="E657" s="21"/>
      <c r="F657" s="22"/>
      <c r="G657" s="6"/>
    </row>
    <row r="658" spans="1:7" x14ac:dyDescent="0.35">
      <c r="A658" s="13" t="s">
        <v>258</v>
      </c>
      <c r="B658" s="8"/>
      <c r="C658" s="9"/>
      <c r="D658" s="10"/>
      <c r="E658" s="21"/>
      <c r="F658" s="22"/>
      <c r="G658" s="6"/>
    </row>
    <row r="659" spans="1:7" x14ac:dyDescent="0.35">
      <c r="A659" s="13" t="s">
        <v>259</v>
      </c>
      <c r="B659" s="8"/>
      <c r="C659" s="9"/>
      <c r="D659" s="10"/>
      <c r="E659" s="21"/>
      <c r="F659" s="22"/>
      <c r="G659" s="6"/>
    </row>
    <row r="660" spans="1:7" x14ac:dyDescent="0.35">
      <c r="A660" s="13" t="s">
        <v>260</v>
      </c>
      <c r="B660" s="8"/>
      <c r="C660" s="9"/>
      <c r="D660" s="10"/>
      <c r="E660" s="21"/>
      <c r="F660" s="22"/>
      <c r="G660" s="6"/>
    </row>
    <row r="661" spans="1:7" x14ac:dyDescent="0.35">
      <c r="A661" s="13" t="s">
        <v>261</v>
      </c>
      <c r="B661" s="8"/>
      <c r="C661" s="9"/>
      <c r="D661" s="10"/>
      <c r="E661" s="21"/>
      <c r="F661" s="22"/>
      <c r="G661" s="6"/>
    </row>
    <row r="662" spans="1:7" x14ac:dyDescent="0.35">
      <c r="A662" s="13" t="s">
        <v>262</v>
      </c>
      <c r="B662" s="8"/>
      <c r="C662" s="9"/>
      <c r="D662" s="10"/>
      <c r="E662" s="21"/>
      <c r="F662" s="22"/>
      <c r="G662" s="6"/>
    </row>
    <row r="663" spans="1:7" x14ac:dyDescent="0.35">
      <c r="A663" s="13" t="s">
        <v>263</v>
      </c>
      <c r="B663" s="8"/>
      <c r="C663" s="9"/>
      <c r="D663" s="10"/>
      <c r="E663" s="21"/>
      <c r="F663" s="22"/>
      <c r="G663" s="6"/>
    </row>
    <row r="664" spans="1:7" x14ac:dyDescent="0.35">
      <c r="A664" s="13" t="s">
        <v>264</v>
      </c>
      <c r="B664" s="8"/>
      <c r="C664" s="9"/>
      <c r="D664" s="10"/>
      <c r="E664" s="21"/>
      <c r="F664" s="22"/>
      <c r="G664" s="6"/>
    </row>
    <row r="665" spans="1:7" x14ac:dyDescent="0.35">
      <c r="A665" s="13" t="s">
        <v>265</v>
      </c>
      <c r="B665" s="8"/>
      <c r="C665" s="9"/>
      <c r="D665" s="10"/>
      <c r="E665" s="21"/>
      <c r="F665" s="22"/>
      <c r="G665" s="6"/>
    </row>
    <row r="666" spans="1:7" x14ac:dyDescent="0.35">
      <c r="A666" s="13" t="s">
        <v>266</v>
      </c>
      <c r="B666" s="8"/>
      <c r="C666" s="9"/>
      <c r="D666" s="10"/>
      <c r="E666" s="21"/>
      <c r="F666" s="22"/>
      <c r="G666" s="6"/>
    </row>
    <row r="667" spans="1:7" x14ac:dyDescent="0.35">
      <c r="A667" s="13" t="s">
        <v>267</v>
      </c>
      <c r="B667" s="8"/>
      <c r="C667" s="9"/>
      <c r="D667" s="10"/>
      <c r="E667" s="21"/>
      <c r="F667" s="22"/>
      <c r="G667" s="6"/>
    </row>
    <row r="668" spans="1:7" x14ac:dyDescent="0.35">
      <c r="A668" s="13" t="s">
        <v>268</v>
      </c>
      <c r="B668" s="8"/>
      <c r="C668" s="9"/>
      <c r="D668" s="10"/>
      <c r="E668" s="21"/>
      <c r="F668" s="22"/>
      <c r="G668" s="6"/>
    </row>
    <row r="669" spans="1:7" x14ac:dyDescent="0.35">
      <c r="A669" s="13" t="s">
        <v>269</v>
      </c>
      <c r="B669" s="8"/>
      <c r="C669" s="9"/>
      <c r="D669" s="10"/>
      <c r="E669" s="21"/>
      <c r="F669" s="22"/>
      <c r="G669" s="6"/>
    </row>
    <row r="670" spans="1:7" x14ac:dyDescent="0.35">
      <c r="A670" s="13" t="s">
        <v>270</v>
      </c>
      <c r="B670" s="8"/>
      <c r="C670" s="9"/>
      <c r="D670" s="10"/>
      <c r="E670" s="21"/>
      <c r="F670" s="22"/>
      <c r="G670" s="6"/>
    </row>
    <row r="671" spans="1:7" x14ac:dyDescent="0.35">
      <c r="A671" s="13" t="s">
        <v>271</v>
      </c>
      <c r="B671" s="8"/>
      <c r="C671" s="9"/>
      <c r="D671" s="10"/>
      <c r="E671" s="21"/>
      <c r="F671" s="22"/>
      <c r="G671" s="6"/>
    </row>
    <row r="672" spans="1:7" x14ac:dyDescent="0.35">
      <c r="A672" s="2"/>
      <c r="B672" s="2"/>
      <c r="C672" s="2"/>
      <c r="D672" s="2"/>
      <c r="E672" s="2"/>
      <c r="F672" s="2"/>
      <c r="G672" s="2"/>
    </row>
    <row r="673" spans="1:7" x14ac:dyDescent="0.35">
      <c r="A673" s="13" t="s">
        <v>27</v>
      </c>
      <c r="B673" s="15" t="s">
        <v>0</v>
      </c>
      <c r="C673" s="16" t="s">
        <v>1</v>
      </c>
      <c r="D673" s="17" t="s">
        <v>2</v>
      </c>
      <c r="E673" s="24" t="s">
        <v>3</v>
      </c>
      <c r="F673" s="23" t="s">
        <v>4</v>
      </c>
      <c r="G673" s="18" t="s">
        <v>5</v>
      </c>
    </row>
    <row r="674" spans="1:7" x14ac:dyDescent="0.35">
      <c r="A674" s="13" t="s">
        <v>242</v>
      </c>
      <c r="B674" s="8"/>
      <c r="C674" s="9"/>
      <c r="D674" s="10"/>
      <c r="E674" s="21"/>
      <c r="F674" s="22"/>
      <c r="G674" s="6"/>
    </row>
    <row r="675" spans="1:7" x14ac:dyDescent="0.35">
      <c r="A675" s="13" t="s">
        <v>243</v>
      </c>
      <c r="B675" s="8"/>
      <c r="C675" s="9"/>
      <c r="D675" s="10"/>
      <c r="E675" s="21"/>
      <c r="F675" s="22"/>
      <c r="G675" s="6"/>
    </row>
    <row r="676" spans="1:7" x14ac:dyDescent="0.35">
      <c r="A676" s="13" t="s">
        <v>244</v>
      </c>
      <c r="B676" s="8"/>
      <c r="C676" s="9"/>
      <c r="D676" s="10"/>
      <c r="E676" s="21"/>
      <c r="F676" s="22"/>
      <c r="G676" s="6"/>
    </row>
    <row r="677" spans="1:7" x14ac:dyDescent="0.35">
      <c r="A677" s="13" t="s">
        <v>245</v>
      </c>
      <c r="B677" s="8"/>
      <c r="C677" s="9"/>
      <c r="D677" s="10"/>
      <c r="E677" s="21"/>
      <c r="F677" s="22"/>
      <c r="G677" s="6"/>
    </row>
    <row r="678" spans="1:7" x14ac:dyDescent="0.35">
      <c r="A678" s="13" t="s">
        <v>246</v>
      </c>
      <c r="B678" s="8"/>
      <c r="C678" s="9"/>
      <c r="D678" s="10"/>
      <c r="E678" s="21"/>
      <c r="F678" s="22"/>
      <c r="G678" s="6"/>
    </row>
    <row r="679" spans="1:7" x14ac:dyDescent="0.35">
      <c r="A679" s="13" t="s">
        <v>247</v>
      </c>
      <c r="B679" s="8"/>
      <c r="C679" s="9"/>
      <c r="D679" s="10"/>
      <c r="E679" s="21"/>
      <c r="F679" s="22"/>
      <c r="G679" s="6"/>
    </row>
    <row r="680" spans="1:7" x14ac:dyDescent="0.35">
      <c r="A680" s="13" t="s">
        <v>248</v>
      </c>
      <c r="B680" s="8"/>
      <c r="C680" s="9"/>
      <c r="D680" s="10"/>
      <c r="E680" s="21"/>
      <c r="F680" s="22"/>
      <c r="G680" s="6"/>
    </row>
    <row r="681" spans="1:7" x14ac:dyDescent="0.35">
      <c r="A681" s="13" t="s">
        <v>249</v>
      </c>
      <c r="B681" s="8"/>
      <c r="C681" s="9"/>
      <c r="D681" s="10"/>
      <c r="E681" s="21"/>
      <c r="F681" s="22"/>
      <c r="G681" s="6"/>
    </row>
    <row r="682" spans="1:7" x14ac:dyDescent="0.35">
      <c r="A682" s="13" t="s">
        <v>250</v>
      </c>
      <c r="B682" s="8"/>
      <c r="C682" s="9"/>
      <c r="D682" s="10"/>
      <c r="E682" s="21"/>
      <c r="F682" s="22"/>
      <c r="G682" s="6"/>
    </row>
    <row r="683" spans="1:7" x14ac:dyDescent="0.35">
      <c r="A683" s="13" t="s">
        <v>251</v>
      </c>
      <c r="B683" s="8"/>
      <c r="C683" s="9"/>
      <c r="D683" s="10"/>
      <c r="E683" s="21"/>
      <c r="F683" s="22"/>
      <c r="G683" s="6"/>
    </row>
    <row r="684" spans="1:7" x14ac:dyDescent="0.35">
      <c r="A684" s="13" t="s">
        <v>252</v>
      </c>
      <c r="B684" s="8"/>
      <c r="C684" s="9"/>
      <c r="D684" s="10"/>
      <c r="E684" s="21"/>
      <c r="F684" s="22"/>
      <c r="G684" s="6"/>
    </row>
    <row r="685" spans="1:7" x14ac:dyDescent="0.35">
      <c r="A685" s="13" t="s">
        <v>253</v>
      </c>
      <c r="B685" s="8"/>
      <c r="C685" s="9"/>
      <c r="D685" s="10"/>
      <c r="E685" s="21"/>
      <c r="F685" s="22"/>
      <c r="G685" s="6"/>
    </row>
    <row r="686" spans="1:7" x14ac:dyDescent="0.35">
      <c r="A686" s="13" t="s">
        <v>254</v>
      </c>
      <c r="B686" s="8"/>
      <c r="C686" s="9"/>
      <c r="D686" s="10"/>
      <c r="E686" s="21"/>
      <c r="F686" s="22"/>
      <c r="G686" s="6"/>
    </row>
    <row r="687" spans="1:7" x14ac:dyDescent="0.35">
      <c r="A687" s="13" t="s">
        <v>255</v>
      </c>
      <c r="B687" s="8"/>
      <c r="C687" s="9"/>
      <c r="D687" s="10"/>
      <c r="E687" s="21"/>
      <c r="F687" s="22"/>
      <c r="G687" s="6"/>
    </row>
    <row r="688" spans="1:7" x14ac:dyDescent="0.35">
      <c r="A688" s="13" t="s">
        <v>256</v>
      </c>
      <c r="B688" s="8"/>
      <c r="C688" s="9"/>
      <c r="D688" s="10"/>
      <c r="E688" s="21"/>
      <c r="F688" s="22"/>
      <c r="G688" s="6"/>
    </row>
    <row r="689" spans="1:7" x14ac:dyDescent="0.35">
      <c r="A689" s="13" t="s">
        <v>257</v>
      </c>
      <c r="B689" s="8"/>
      <c r="C689" s="9"/>
      <c r="D689" s="10"/>
      <c r="E689" s="21"/>
      <c r="F689" s="22"/>
      <c r="G689" s="6"/>
    </row>
    <row r="690" spans="1:7" x14ac:dyDescent="0.35">
      <c r="A690" s="13" t="s">
        <v>258</v>
      </c>
      <c r="B690" s="8"/>
      <c r="C690" s="9"/>
      <c r="D690" s="10"/>
      <c r="E690" s="21"/>
      <c r="F690" s="22"/>
      <c r="G690" s="6"/>
    </row>
    <row r="691" spans="1:7" x14ac:dyDescent="0.35">
      <c r="A691" s="13" t="s">
        <v>259</v>
      </c>
      <c r="B691" s="8"/>
      <c r="C691" s="9"/>
      <c r="D691" s="10"/>
      <c r="E691" s="21"/>
      <c r="F691" s="22"/>
      <c r="G691" s="6"/>
    </row>
    <row r="692" spans="1:7" x14ac:dyDescent="0.35">
      <c r="A692" s="13" t="s">
        <v>260</v>
      </c>
      <c r="B692" s="8"/>
      <c r="C692" s="9"/>
      <c r="D692" s="10"/>
      <c r="E692" s="21"/>
      <c r="F692" s="22"/>
      <c r="G692" s="6"/>
    </row>
    <row r="693" spans="1:7" x14ac:dyDescent="0.35">
      <c r="A693" s="13" t="s">
        <v>261</v>
      </c>
      <c r="B693" s="8"/>
      <c r="C693" s="9"/>
      <c r="D693" s="10"/>
      <c r="E693" s="21"/>
      <c r="F693" s="22"/>
      <c r="G693" s="6"/>
    </row>
    <row r="694" spans="1:7" x14ac:dyDescent="0.35">
      <c r="A694" s="13" t="s">
        <v>262</v>
      </c>
      <c r="B694" s="8"/>
      <c r="C694" s="9"/>
      <c r="D694" s="10"/>
      <c r="E694" s="21"/>
      <c r="F694" s="22"/>
      <c r="G694" s="6"/>
    </row>
    <row r="695" spans="1:7" x14ac:dyDescent="0.35">
      <c r="A695" s="13" t="s">
        <v>263</v>
      </c>
      <c r="B695" s="8"/>
      <c r="C695" s="9"/>
      <c r="D695" s="10"/>
      <c r="E695" s="21"/>
      <c r="F695" s="22"/>
      <c r="G695" s="6"/>
    </row>
    <row r="696" spans="1:7" x14ac:dyDescent="0.35">
      <c r="A696" s="13" t="s">
        <v>264</v>
      </c>
      <c r="B696" s="8"/>
      <c r="C696" s="9"/>
      <c r="D696" s="10"/>
      <c r="E696" s="21"/>
      <c r="F696" s="22"/>
      <c r="G696" s="6"/>
    </row>
    <row r="697" spans="1:7" x14ac:dyDescent="0.35">
      <c r="A697" s="13" t="s">
        <v>265</v>
      </c>
      <c r="B697" s="8"/>
      <c r="C697" s="9"/>
      <c r="D697" s="10"/>
      <c r="E697" s="21"/>
      <c r="F697" s="22"/>
      <c r="G697" s="6"/>
    </row>
    <row r="698" spans="1:7" x14ac:dyDescent="0.35">
      <c r="A698" s="13" t="s">
        <v>266</v>
      </c>
      <c r="B698" s="8"/>
      <c r="C698" s="9"/>
      <c r="D698" s="10"/>
      <c r="E698" s="21"/>
      <c r="F698" s="22"/>
      <c r="G698" s="6"/>
    </row>
    <row r="699" spans="1:7" x14ac:dyDescent="0.35">
      <c r="A699" s="13" t="s">
        <v>267</v>
      </c>
      <c r="B699" s="8"/>
      <c r="C699" s="9"/>
      <c r="D699" s="10"/>
      <c r="E699" s="21"/>
      <c r="F699" s="22"/>
      <c r="G699" s="6"/>
    </row>
    <row r="700" spans="1:7" x14ac:dyDescent="0.35">
      <c r="A700" s="13" t="s">
        <v>268</v>
      </c>
      <c r="B700" s="8"/>
      <c r="C700" s="9"/>
      <c r="D700" s="10"/>
      <c r="E700" s="21"/>
      <c r="F700" s="22"/>
      <c r="G700" s="6"/>
    </row>
    <row r="701" spans="1:7" x14ac:dyDescent="0.35">
      <c r="A701" s="13" t="s">
        <v>269</v>
      </c>
      <c r="B701" s="8"/>
      <c r="C701" s="9"/>
      <c r="D701" s="10"/>
      <c r="E701" s="21"/>
      <c r="F701" s="22"/>
      <c r="G701" s="6"/>
    </row>
    <row r="702" spans="1:7" x14ac:dyDescent="0.35">
      <c r="A702" s="13" t="s">
        <v>270</v>
      </c>
      <c r="B702" s="8"/>
      <c r="C702" s="9"/>
      <c r="D702" s="10"/>
      <c r="E702" s="21"/>
      <c r="F702" s="22"/>
      <c r="G702" s="6"/>
    </row>
    <row r="703" spans="1:7" x14ac:dyDescent="0.35">
      <c r="A703" s="13" t="s">
        <v>271</v>
      </c>
      <c r="B703" s="8"/>
      <c r="C703" s="9"/>
      <c r="D703" s="10"/>
      <c r="E703" s="21"/>
      <c r="F703" s="22"/>
      <c r="G703" s="6"/>
    </row>
    <row r="704" spans="1:7" x14ac:dyDescent="0.35">
      <c r="A704" s="2"/>
      <c r="B704" s="2"/>
      <c r="C704" s="2"/>
      <c r="D704" s="2"/>
      <c r="E704" s="2"/>
      <c r="F704" s="2"/>
      <c r="G704" s="2"/>
    </row>
    <row r="705" spans="1:7" x14ac:dyDescent="0.35">
      <c r="A705" s="13" t="s">
        <v>28</v>
      </c>
      <c r="B705" s="15" t="s">
        <v>0</v>
      </c>
      <c r="C705" s="16" t="s">
        <v>1</v>
      </c>
      <c r="D705" s="17" t="s">
        <v>2</v>
      </c>
      <c r="E705" s="24" t="s">
        <v>3</v>
      </c>
      <c r="F705" s="23" t="s">
        <v>4</v>
      </c>
      <c r="G705" s="18" t="s">
        <v>5</v>
      </c>
    </row>
    <row r="706" spans="1:7" x14ac:dyDescent="0.35">
      <c r="A706" s="13" t="s">
        <v>242</v>
      </c>
      <c r="B706" s="8"/>
      <c r="C706" s="9"/>
      <c r="D706" s="10"/>
      <c r="E706" s="21"/>
      <c r="F706" s="22"/>
      <c r="G706" s="6"/>
    </row>
    <row r="707" spans="1:7" x14ac:dyDescent="0.35">
      <c r="A707" s="13" t="s">
        <v>243</v>
      </c>
      <c r="B707" s="8"/>
      <c r="C707" s="9"/>
      <c r="D707" s="10"/>
      <c r="E707" s="21"/>
      <c r="F707" s="22"/>
      <c r="G707" s="6"/>
    </row>
    <row r="708" spans="1:7" x14ac:dyDescent="0.35">
      <c r="A708" s="13" t="s">
        <v>244</v>
      </c>
      <c r="B708" s="8"/>
      <c r="C708" s="9"/>
      <c r="D708" s="10"/>
      <c r="E708" s="21"/>
      <c r="F708" s="22"/>
      <c r="G708" s="6"/>
    </row>
    <row r="709" spans="1:7" x14ac:dyDescent="0.35">
      <c r="A709" s="13" t="s">
        <v>245</v>
      </c>
      <c r="B709" s="8"/>
      <c r="C709" s="9"/>
      <c r="D709" s="10"/>
      <c r="E709" s="21"/>
      <c r="F709" s="22"/>
      <c r="G709" s="6"/>
    </row>
    <row r="710" spans="1:7" x14ac:dyDescent="0.35">
      <c r="A710" s="13" t="s">
        <v>246</v>
      </c>
      <c r="B710" s="8"/>
      <c r="C710" s="9"/>
      <c r="D710" s="10"/>
      <c r="E710" s="21"/>
      <c r="F710" s="22"/>
      <c r="G710" s="6"/>
    </row>
    <row r="711" spans="1:7" x14ac:dyDescent="0.35">
      <c r="A711" s="13" t="s">
        <v>247</v>
      </c>
      <c r="B711" s="8"/>
      <c r="C711" s="9"/>
      <c r="D711" s="10"/>
      <c r="E711" s="21"/>
      <c r="F711" s="22"/>
      <c r="G711" s="6"/>
    </row>
    <row r="712" spans="1:7" x14ac:dyDescent="0.35">
      <c r="A712" s="13" t="s">
        <v>248</v>
      </c>
      <c r="B712" s="8"/>
      <c r="C712" s="9"/>
      <c r="D712" s="10"/>
      <c r="E712" s="21"/>
      <c r="F712" s="22"/>
      <c r="G712" s="6"/>
    </row>
    <row r="713" spans="1:7" x14ac:dyDescent="0.35">
      <c r="A713" s="13" t="s">
        <v>249</v>
      </c>
      <c r="B713" s="8"/>
      <c r="C713" s="9"/>
      <c r="D713" s="10"/>
      <c r="E713" s="21"/>
      <c r="F713" s="22"/>
      <c r="G713" s="6"/>
    </row>
    <row r="714" spans="1:7" x14ac:dyDescent="0.35">
      <c r="A714" s="13" t="s">
        <v>250</v>
      </c>
      <c r="B714" s="8"/>
      <c r="C714" s="9"/>
      <c r="D714" s="10"/>
      <c r="E714" s="21"/>
      <c r="F714" s="22"/>
      <c r="G714" s="6"/>
    </row>
    <row r="715" spans="1:7" x14ac:dyDescent="0.35">
      <c r="A715" s="13" t="s">
        <v>251</v>
      </c>
      <c r="B715" s="8"/>
      <c r="C715" s="9"/>
      <c r="D715" s="10"/>
      <c r="E715" s="21"/>
      <c r="F715" s="22"/>
      <c r="G715" s="6"/>
    </row>
    <row r="716" spans="1:7" x14ac:dyDescent="0.35">
      <c r="A716" s="13" t="s">
        <v>252</v>
      </c>
      <c r="B716" s="8"/>
      <c r="C716" s="9"/>
      <c r="D716" s="10"/>
      <c r="E716" s="21"/>
      <c r="F716" s="22"/>
      <c r="G716" s="6"/>
    </row>
    <row r="717" spans="1:7" x14ac:dyDescent="0.35">
      <c r="A717" s="13" t="s">
        <v>253</v>
      </c>
      <c r="B717" s="8"/>
      <c r="C717" s="9"/>
      <c r="D717" s="10"/>
      <c r="E717" s="21"/>
      <c r="F717" s="22"/>
      <c r="G717" s="6"/>
    </row>
    <row r="718" spans="1:7" x14ac:dyDescent="0.35">
      <c r="A718" s="13" t="s">
        <v>254</v>
      </c>
      <c r="B718" s="8"/>
      <c r="C718" s="9"/>
      <c r="D718" s="10"/>
      <c r="E718" s="21"/>
      <c r="F718" s="22"/>
      <c r="G718" s="6"/>
    </row>
    <row r="719" spans="1:7" x14ac:dyDescent="0.35">
      <c r="A719" s="13" t="s">
        <v>255</v>
      </c>
      <c r="B719" s="8"/>
      <c r="C719" s="9"/>
      <c r="D719" s="10"/>
      <c r="E719" s="21"/>
      <c r="F719" s="22"/>
      <c r="G719" s="6"/>
    </row>
    <row r="720" spans="1:7" x14ac:dyDescent="0.35">
      <c r="A720" s="13" t="s">
        <v>256</v>
      </c>
      <c r="B720" s="8"/>
      <c r="C720" s="9"/>
      <c r="D720" s="10"/>
      <c r="E720" s="21"/>
      <c r="F720" s="22"/>
      <c r="G720" s="6"/>
    </row>
    <row r="721" spans="1:7" x14ac:dyDescent="0.35">
      <c r="A721" s="13" t="s">
        <v>257</v>
      </c>
      <c r="B721" s="8"/>
      <c r="C721" s="9"/>
      <c r="D721" s="10"/>
      <c r="E721" s="21"/>
      <c r="F721" s="22"/>
      <c r="G721" s="6"/>
    </row>
    <row r="722" spans="1:7" x14ac:dyDescent="0.35">
      <c r="A722" s="13" t="s">
        <v>258</v>
      </c>
      <c r="B722" s="8"/>
      <c r="C722" s="9"/>
      <c r="D722" s="10"/>
      <c r="E722" s="21"/>
      <c r="F722" s="22"/>
      <c r="G722" s="6"/>
    </row>
    <row r="723" spans="1:7" x14ac:dyDescent="0.35">
      <c r="A723" s="13" t="s">
        <v>259</v>
      </c>
      <c r="B723" s="8"/>
      <c r="C723" s="9"/>
      <c r="D723" s="10"/>
      <c r="E723" s="21"/>
      <c r="F723" s="22"/>
      <c r="G723" s="6"/>
    </row>
    <row r="724" spans="1:7" x14ac:dyDescent="0.35">
      <c r="A724" s="13" t="s">
        <v>260</v>
      </c>
      <c r="B724" s="8"/>
      <c r="C724" s="9"/>
      <c r="D724" s="10"/>
      <c r="E724" s="21"/>
      <c r="F724" s="22"/>
      <c r="G724" s="6"/>
    </row>
    <row r="725" spans="1:7" x14ac:dyDescent="0.35">
      <c r="A725" s="13" t="s">
        <v>261</v>
      </c>
      <c r="B725" s="8"/>
      <c r="C725" s="9"/>
      <c r="D725" s="10"/>
      <c r="E725" s="21"/>
      <c r="F725" s="22"/>
      <c r="G725" s="6"/>
    </row>
    <row r="726" spans="1:7" x14ac:dyDescent="0.35">
      <c r="A726" s="13" t="s">
        <v>262</v>
      </c>
      <c r="B726" s="8"/>
      <c r="C726" s="9"/>
      <c r="D726" s="10"/>
      <c r="E726" s="21"/>
      <c r="F726" s="22"/>
      <c r="G726" s="6"/>
    </row>
    <row r="727" spans="1:7" x14ac:dyDescent="0.35">
      <c r="A727" s="13" t="s">
        <v>263</v>
      </c>
      <c r="B727" s="8"/>
      <c r="C727" s="9"/>
      <c r="D727" s="10"/>
      <c r="E727" s="21"/>
      <c r="F727" s="22"/>
      <c r="G727" s="6"/>
    </row>
    <row r="728" spans="1:7" x14ac:dyDescent="0.35">
      <c r="A728" s="13" t="s">
        <v>264</v>
      </c>
      <c r="B728" s="8"/>
      <c r="C728" s="9"/>
      <c r="D728" s="10"/>
      <c r="E728" s="21"/>
      <c r="F728" s="22"/>
      <c r="G728" s="6"/>
    </row>
    <row r="729" spans="1:7" x14ac:dyDescent="0.35">
      <c r="A729" s="13" t="s">
        <v>265</v>
      </c>
      <c r="B729" s="8"/>
      <c r="C729" s="9"/>
      <c r="D729" s="10"/>
      <c r="E729" s="21"/>
      <c r="F729" s="22"/>
      <c r="G729" s="6"/>
    </row>
    <row r="730" spans="1:7" x14ac:dyDescent="0.35">
      <c r="A730" s="13" t="s">
        <v>266</v>
      </c>
      <c r="B730" s="8"/>
      <c r="C730" s="9"/>
      <c r="D730" s="10"/>
      <c r="E730" s="21"/>
      <c r="F730" s="22"/>
      <c r="G730" s="6"/>
    </row>
    <row r="731" spans="1:7" x14ac:dyDescent="0.35">
      <c r="A731" s="13" t="s">
        <v>267</v>
      </c>
      <c r="B731" s="8"/>
      <c r="C731" s="9"/>
      <c r="D731" s="10"/>
      <c r="E731" s="21"/>
      <c r="F731" s="22"/>
      <c r="G731" s="6"/>
    </row>
    <row r="732" spans="1:7" x14ac:dyDescent="0.35">
      <c r="A732" s="13" t="s">
        <v>268</v>
      </c>
      <c r="B732" s="8"/>
      <c r="C732" s="9"/>
      <c r="D732" s="10"/>
      <c r="E732" s="21"/>
      <c r="F732" s="22"/>
      <c r="G732" s="6"/>
    </row>
    <row r="733" spans="1:7" x14ac:dyDescent="0.35">
      <c r="A733" s="13" t="s">
        <v>269</v>
      </c>
      <c r="B733" s="8"/>
      <c r="C733" s="9"/>
      <c r="D733" s="10"/>
      <c r="E733" s="21"/>
      <c r="F733" s="22"/>
      <c r="G733" s="6"/>
    </row>
    <row r="734" spans="1:7" x14ac:dyDescent="0.35">
      <c r="A734" s="13" t="s">
        <v>270</v>
      </c>
      <c r="B734" s="8"/>
      <c r="C734" s="9"/>
      <c r="D734" s="10"/>
      <c r="E734" s="21"/>
      <c r="F734" s="22"/>
      <c r="G734" s="6"/>
    </row>
    <row r="735" spans="1:7" x14ac:dyDescent="0.35">
      <c r="A735" s="13" t="s">
        <v>271</v>
      </c>
      <c r="B735" s="8"/>
      <c r="C735" s="9"/>
      <c r="D735" s="10"/>
      <c r="E735" s="21"/>
      <c r="F735" s="22"/>
      <c r="G735" s="6"/>
    </row>
    <row r="736" spans="1:7" x14ac:dyDescent="0.35">
      <c r="A736" s="2"/>
      <c r="B736" s="2"/>
      <c r="C736" s="2"/>
      <c r="D736" s="2"/>
      <c r="E736" s="2"/>
      <c r="F736" s="2"/>
      <c r="G736" s="2"/>
    </row>
    <row r="737" spans="1:7" x14ac:dyDescent="0.35">
      <c r="A737" s="13" t="s">
        <v>29</v>
      </c>
      <c r="B737" s="15" t="s">
        <v>0</v>
      </c>
      <c r="C737" s="16" t="s">
        <v>1</v>
      </c>
      <c r="D737" s="17" t="s">
        <v>2</v>
      </c>
      <c r="E737" s="24" t="s">
        <v>3</v>
      </c>
      <c r="F737" s="23" t="s">
        <v>4</v>
      </c>
      <c r="G737" s="18" t="s">
        <v>5</v>
      </c>
    </row>
    <row r="738" spans="1:7" x14ac:dyDescent="0.35">
      <c r="A738" s="13" t="s">
        <v>242</v>
      </c>
      <c r="B738" s="8"/>
      <c r="C738" s="9"/>
      <c r="D738" s="10"/>
      <c r="E738" s="21"/>
      <c r="F738" s="22"/>
      <c r="G738" s="6"/>
    </row>
    <row r="739" spans="1:7" x14ac:dyDescent="0.35">
      <c r="A739" s="13" t="s">
        <v>243</v>
      </c>
      <c r="B739" s="8"/>
      <c r="C739" s="9"/>
      <c r="D739" s="10"/>
      <c r="E739" s="21"/>
      <c r="F739" s="22"/>
      <c r="G739" s="6"/>
    </row>
    <row r="740" spans="1:7" x14ac:dyDescent="0.35">
      <c r="A740" s="13" t="s">
        <v>244</v>
      </c>
      <c r="B740" s="8"/>
      <c r="C740" s="9"/>
      <c r="D740" s="10"/>
      <c r="E740" s="21"/>
      <c r="F740" s="22"/>
      <c r="G740" s="6"/>
    </row>
    <row r="741" spans="1:7" x14ac:dyDescent="0.35">
      <c r="A741" s="13" t="s">
        <v>245</v>
      </c>
      <c r="B741" s="8"/>
      <c r="C741" s="9"/>
      <c r="D741" s="10"/>
      <c r="E741" s="21"/>
      <c r="F741" s="22"/>
      <c r="G741" s="6"/>
    </row>
    <row r="742" spans="1:7" x14ac:dyDescent="0.35">
      <c r="A742" s="13" t="s">
        <v>246</v>
      </c>
      <c r="B742" s="8"/>
      <c r="C742" s="9"/>
      <c r="D742" s="10"/>
      <c r="E742" s="21"/>
      <c r="F742" s="22"/>
      <c r="G742" s="6"/>
    </row>
    <row r="743" spans="1:7" x14ac:dyDescent="0.35">
      <c r="A743" s="13" t="s">
        <v>247</v>
      </c>
      <c r="B743" s="8"/>
      <c r="C743" s="9"/>
      <c r="D743" s="10"/>
      <c r="E743" s="21"/>
      <c r="F743" s="22"/>
      <c r="G743" s="6"/>
    </row>
    <row r="744" spans="1:7" x14ac:dyDescent="0.35">
      <c r="A744" s="13" t="s">
        <v>248</v>
      </c>
      <c r="B744" s="8"/>
      <c r="C744" s="9"/>
      <c r="D744" s="10"/>
      <c r="E744" s="21"/>
      <c r="F744" s="22"/>
      <c r="G744" s="6"/>
    </row>
    <row r="745" spans="1:7" x14ac:dyDescent="0.35">
      <c r="A745" s="13" t="s">
        <v>249</v>
      </c>
      <c r="B745" s="8"/>
      <c r="C745" s="9"/>
      <c r="D745" s="10"/>
      <c r="E745" s="21"/>
      <c r="F745" s="22"/>
      <c r="G745" s="6"/>
    </row>
    <row r="746" spans="1:7" x14ac:dyDescent="0.35">
      <c r="A746" s="13" t="s">
        <v>250</v>
      </c>
      <c r="B746" s="8"/>
      <c r="C746" s="9"/>
      <c r="D746" s="10"/>
      <c r="E746" s="21"/>
      <c r="F746" s="22"/>
      <c r="G746" s="6"/>
    </row>
    <row r="747" spans="1:7" x14ac:dyDescent="0.35">
      <c r="A747" s="13" t="s">
        <v>251</v>
      </c>
      <c r="B747" s="8"/>
      <c r="C747" s="9"/>
      <c r="D747" s="10"/>
      <c r="E747" s="21"/>
      <c r="F747" s="22"/>
      <c r="G747" s="6"/>
    </row>
    <row r="748" spans="1:7" x14ac:dyDescent="0.35">
      <c r="A748" s="13" t="s">
        <v>252</v>
      </c>
      <c r="B748" s="8"/>
      <c r="C748" s="9"/>
      <c r="D748" s="10"/>
      <c r="E748" s="21"/>
      <c r="F748" s="22"/>
      <c r="G748" s="6"/>
    </row>
    <row r="749" spans="1:7" x14ac:dyDescent="0.35">
      <c r="A749" s="13" t="s">
        <v>253</v>
      </c>
      <c r="B749" s="8"/>
      <c r="C749" s="9"/>
      <c r="D749" s="10"/>
      <c r="E749" s="21"/>
      <c r="F749" s="22"/>
      <c r="G749" s="6"/>
    </row>
    <row r="750" spans="1:7" x14ac:dyDescent="0.35">
      <c r="A750" s="13" t="s">
        <v>254</v>
      </c>
      <c r="B750" s="8"/>
      <c r="C750" s="9"/>
      <c r="D750" s="10"/>
      <c r="E750" s="21"/>
      <c r="F750" s="22"/>
      <c r="G750" s="6"/>
    </row>
    <row r="751" spans="1:7" x14ac:dyDescent="0.35">
      <c r="A751" s="13" t="s">
        <v>255</v>
      </c>
      <c r="B751" s="8"/>
      <c r="C751" s="9"/>
      <c r="D751" s="10"/>
      <c r="E751" s="21"/>
      <c r="F751" s="22"/>
      <c r="G751" s="6"/>
    </row>
    <row r="752" spans="1:7" x14ac:dyDescent="0.35">
      <c r="A752" s="13" t="s">
        <v>256</v>
      </c>
      <c r="B752" s="8"/>
      <c r="C752" s="9"/>
      <c r="D752" s="10"/>
      <c r="E752" s="21"/>
      <c r="F752" s="22"/>
      <c r="G752" s="6"/>
    </row>
    <row r="753" spans="1:7" x14ac:dyDescent="0.35">
      <c r="A753" s="13" t="s">
        <v>257</v>
      </c>
      <c r="B753" s="8"/>
      <c r="C753" s="9"/>
      <c r="D753" s="10"/>
      <c r="E753" s="21"/>
      <c r="F753" s="22"/>
      <c r="G753" s="6"/>
    </row>
    <row r="754" spans="1:7" x14ac:dyDescent="0.35">
      <c r="A754" s="13" t="s">
        <v>258</v>
      </c>
      <c r="B754" s="8"/>
      <c r="C754" s="9"/>
      <c r="D754" s="10"/>
      <c r="E754" s="21"/>
      <c r="F754" s="22"/>
      <c r="G754" s="6"/>
    </row>
    <row r="755" spans="1:7" x14ac:dyDescent="0.35">
      <c r="A755" s="13" t="s">
        <v>259</v>
      </c>
      <c r="B755" s="8"/>
      <c r="C755" s="9"/>
      <c r="D755" s="10"/>
      <c r="E755" s="21"/>
      <c r="F755" s="22"/>
      <c r="G755" s="6"/>
    </row>
    <row r="756" spans="1:7" x14ac:dyDescent="0.35">
      <c r="A756" s="13" t="s">
        <v>260</v>
      </c>
      <c r="B756" s="8"/>
      <c r="C756" s="9"/>
      <c r="D756" s="10"/>
      <c r="E756" s="21"/>
      <c r="F756" s="22"/>
      <c r="G756" s="6"/>
    </row>
    <row r="757" spans="1:7" x14ac:dyDescent="0.35">
      <c r="A757" s="13" t="s">
        <v>261</v>
      </c>
      <c r="B757" s="8"/>
      <c r="C757" s="9"/>
      <c r="D757" s="10"/>
      <c r="E757" s="21"/>
      <c r="F757" s="22"/>
      <c r="G757" s="6"/>
    </row>
    <row r="758" spans="1:7" x14ac:dyDescent="0.35">
      <c r="A758" s="13" t="s">
        <v>262</v>
      </c>
      <c r="B758" s="8"/>
      <c r="C758" s="9"/>
      <c r="D758" s="10"/>
      <c r="E758" s="21"/>
      <c r="F758" s="22"/>
      <c r="G758" s="6"/>
    </row>
    <row r="759" spans="1:7" x14ac:dyDescent="0.35">
      <c r="A759" s="13" t="s">
        <v>263</v>
      </c>
      <c r="B759" s="8"/>
      <c r="C759" s="9"/>
      <c r="D759" s="10"/>
      <c r="E759" s="21"/>
      <c r="F759" s="22"/>
      <c r="G759" s="6"/>
    </row>
    <row r="760" spans="1:7" x14ac:dyDescent="0.35">
      <c r="A760" s="13" t="s">
        <v>264</v>
      </c>
      <c r="B760" s="8"/>
      <c r="C760" s="9"/>
      <c r="D760" s="10"/>
      <c r="E760" s="21"/>
      <c r="F760" s="22"/>
      <c r="G760" s="6"/>
    </row>
    <row r="761" spans="1:7" x14ac:dyDescent="0.35">
      <c r="A761" s="13" t="s">
        <v>265</v>
      </c>
      <c r="B761" s="8"/>
      <c r="C761" s="9"/>
      <c r="D761" s="10"/>
      <c r="E761" s="21"/>
      <c r="F761" s="22"/>
      <c r="G761" s="6"/>
    </row>
    <row r="762" spans="1:7" x14ac:dyDescent="0.35">
      <c r="A762" s="13" t="s">
        <v>266</v>
      </c>
      <c r="B762" s="8"/>
      <c r="C762" s="9"/>
      <c r="D762" s="10"/>
      <c r="E762" s="21"/>
      <c r="F762" s="22"/>
      <c r="G762" s="6"/>
    </row>
    <row r="763" spans="1:7" x14ac:dyDescent="0.35">
      <c r="A763" s="13" t="s">
        <v>267</v>
      </c>
      <c r="B763" s="8"/>
      <c r="C763" s="9"/>
      <c r="D763" s="10"/>
      <c r="E763" s="21"/>
      <c r="F763" s="22"/>
      <c r="G763" s="6"/>
    </row>
    <row r="764" spans="1:7" x14ac:dyDescent="0.35">
      <c r="A764" s="13" t="s">
        <v>268</v>
      </c>
      <c r="B764" s="8"/>
      <c r="C764" s="9"/>
      <c r="D764" s="10"/>
      <c r="E764" s="21"/>
      <c r="F764" s="22"/>
      <c r="G764" s="6"/>
    </row>
    <row r="765" spans="1:7" x14ac:dyDescent="0.35">
      <c r="A765" s="13" t="s">
        <v>269</v>
      </c>
      <c r="B765" s="8"/>
      <c r="C765" s="9"/>
      <c r="D765" s="10"/>
      <c r="E765" s="21"/>
      <c r="F765" s="22"/>
      <c r="G765" s="6"/>
    </row>
    <row r="766" spans="1:7" x14ac:dyDescent="0.35">
      <c r="A766" s="13" t="s">
        <v>270</v>
      </c>
      <c r="B766" s="8"/>
      <c r="C766" s="9"/>
      <c r="D766" s="10"/>
      <c r="E766" s="21"/>
      <c r="F766" s="22"/>
      <c r="G766" s="6"/>
    </row>
    <row r="767" spans="1:7" x14ac:dyDescent="0.35">
      <c r="A767" s="13" t="s">
        <v>271</v>
      </c>
      <c r="B767" s="8"/>
      <c r="C767" s="9"/>
      <c r="D767" s="10"/>
      <c r="E767" s="21"/>
      <c r="F767" s="22"/>
      <c r="G767" s="6"/>
    </row>
    <row r="768" spans="1:7" x14ac:dyDescent="0.35">
      <c r="A768" s="2"/>
      <c r="B768" s="2"/>
      <c r="C768" s="2"/>
      <c r="D768" s="2"/>
      <c r="E768" s="2"/>
      <c r="F768" s="2"/>
      <c r="G768" s="2"/>
    </row>
    <row r="769" spans="1:7" x14ac:dyDescent="0.35">
      <c r="A769" s="13" t="s">
        <v>30</v>
      </c>
      <c r="B769" s="15" t="s">
        <v>0</v>
      </c>
      <c r="C769" s="16" t="s">
        <v>1</v>
      </c>
      <c r="D769" s="17" t="s">
        <v>2</v>
      </c>
      <c r="E769" s="24" t="s">
        <v>3</v>
      </c>
      <c r="F769" s="23" t="s">
        <v>4</v>
      </c>
      <c r="G769" s="18" t="s">
        <v>5</v>
      </c>
    </row>
    <row r="770" spans="1:7" x14ac:dyDescent="0.35">
      <c r="A770" s="13" t="s">
        <v>242</v>
      </c>
      <c r="B770" s="8"/>
      <c r="C770" s="9"/>
      <c r="D770" s="10"/>
      <c r="E770" s="21"/>
      <c r="F770" s="22"/>
      <c r="G770" s="6"/>
    </row>
    <row r="771" spans="1:7" x14ac:dyDescent="0.35">
      <c r="A771" s="13" t="s">
        <v>243</v>
      </c>
      <c r="B771" s="8"/>
      <c r="C771" s="9"/>
      <c r="D771" s="10"/>
      <c r="E771" s="21"/>
      <c r="F771" s="22"/>
      <c r="G771" s="6"/>
    </row>
    <row r="772" spans="1:7" x14ac:dyDescent="0.35">
      <c r="A772" s="13" t="s">
        <v>244</v>
      </c>
      <c r="B772" s="8"/>
      <c r="C772" s="9"/>
      <c r="D772" s="10"/>
      <c r="E772" s="21"/>
      <c r="F772" s="22"/>
      <c r="G772" s="6"/>
    </row>
    <row r="773" spans="1:7" x14ac:dyDescent="0.35">
      <c r="A773" s="13" t="s">
        <v>245</v>
      </c>
      <c r="B773" s="8"/>
      <c r="C773" s="9"/>
      <c r="D773" s="10"/>
      <c r="E773" s="21"/>
      <c r="F773" s="22"/>
      <c r="G773" s="6"/>
    </row>
    <row r="774" spans="1:7" x14ac:dyDescent="0.35">
      <c r="A774" s="13" t="s">
        <v>246</v>
      </c>
      <c r="B774" s="8"/>
      <c r="C774" s="9"/>
      <c r="D774" s="10"/>
      <c r="E774" s="21"/>
      <c r="F774" s="22"/>
      <c r="G774" s="6"/>
    </row>
    <row r="775" spans="1:7" x14ac:dyDescent="0.35">
      <c r="A775" s="13" t="s">
        <v>247</v>
      </c>
      <c r="B775" s="8"/>
      <c r="C775" s="9"/>
      <c r="D775" s="10"/>
      <c r="E775" s="21"/>
      <c r="F775" s="22"/>
      <c r="G775" s="6"/>
    </row>
    <row r="776" spans="1:7" x14ac:dyDescent="0.35">
      <c r="A776" s="13" t="s">
        <v>248</v>
      </c>
      <c r="B776" s="8"/>
      <c r="C776" s="9"/>
      <c r="D776" s="10"/>
      <c r="E776" s="21"/>
      <c r="F776" s="22"/>
      <c r="G776" s="6"/>
    </row>
    <row r="777" spans="1:7" x14ac:dyDescent="0.35">
      <c r="A777" s="13" t="s">
        <v>249</v>
      </c>
      <c r="B777" s="8"/>
      <c r="C777" s="9"/>
      <c r="D777" s="10"/>
      <c r="E777" s="21"/>
      <c r="F777" s="22"/>
      <c r="G777" s="6"/>
    </row>
    <row r="778" spans="1:7" x14ac:dyDescent="0.35">
      <c r="A778" s="13" t="s">
        <v>250</v>
      </c>
      <c r="B778" s="8"/>
      <c r="C778" s="9"/>
      <c r="D778" s="10"/>
      <c r="E778" s="21"/>
      <c r="F778" s="22"/>
      <c r="G778" s="6"/>
    </row>
    <row r="779" spans="1:7" x14ac:dyDescent="0.35">
      <c r="A779" s="13" t="s">
        <v>251</v>
      </c>
      <c r="B779" s="8"/>
      <c r="C779" s="9"/>
      <c r="D779" s="10"/>
      <c r="E779" s="21"/>
      <c r="F779" s="22"/>
      <c r="G779" s="6"/>
    </row>
    <row r="780" spans="1:7" x14ac:dyDescent="0.35">
      <c r="A780" s="13" t="s">
        <v>252</v>
      </c>
      <c r="B780" s="8"/>
      <c r="C780" s="9"/>
      <c r="D780" s="10"/>
      <c r="E780" s="21"/>
      <c r="F780" s="22"/>
      <c r="G780" s="6"/>
    </row>
    <row r="781" spans="1:7" x14ac:dyDescent="0.35">
      <c r="A781" s="13" t="s">
        <v>253</v>
      </c>
      <c r="B781" s="8"/>
      <c r="C781" s="9"/>
      <c r="D781" s="10"/>
      <c r="E781" s="21"/>
      <c r="F781" s="22"/>
      <c r="G781" s="6"/>
    </row>
    <row r="782" spans="1:7" x14ac:dyDescent="0.35">
      <c r="A782" s="13" t="s">
        <v>254</v>
      </c>
      <c r="B782" s="8"/>
      <c r="C782" s="9"/>
      <c r="D782" s="10"/>
      <c r="E782" s="21"/>
      <c r="F782" s="22"/>
      <c r="G782" s="6"/>
    </row>
    <row r="783" spans="1:7" x14ac:dyDescent="0.35">
      <c r="A783" s="13" t="s">
        <v>255</v>
      </c>
      <c r="B783" s="8"/>
      <c r="C783" s="9"/>
      <c r="D783" s="10"/>
      <c r="E783" s="21"/>
      <c r="F783" s="22"/>
      <c r="G783" s="6"/>
    </row>
    <row r="784" spans="1:7" x14ac:dyDescent="0.35">
      <c r="A784" s="13" t="s">
        <v>256</v>
      </c>
      <c r="B784" s="8"/>
      <c r="C784" s="9"/>
      <c r="D784" s="10"/>
      <c r="E784" s="21"/>
      <c r="F784" s="22"/>
      <c r="G784" s="6"/>
    </row>
    <row r="785" spans="1:7" x14ac:dyDescent="0.35">
      <c r="A785" s="13" t="s">
        <v>257</v>
      </c>
      <c r="B785" s="8"/>
      <c r="C785" s="9"/>
      <c r="D785" s="10"/>
      <c r="E785" s="21"/>
      <c r="F785" s="22"/>
      <c r="G785" s="6"/>
    </row>
    <row r="786" spans="1:7" x14ac:dyDescent="0.35">
      <c r="A786" s="13" t="s">
        <v>258</v>
      </c>
      <c r="B786" s="8"/>
      <c r="C786" s="9"/>
      <c r="D786" s="10"/>
      <c r="E786" s="21"/>
      <c r="F786" s="22"/>
      <c r="G786" s="6"/>
    </row>
    <row r="787" spans="1:7" x14ac:dyDescent="0.35">
      <c r="A787" s="13" t="s">
        <v>259</v>
      </c>
      <c r="B787" s="8"/>
      <c r="C787" s="9"/>
      <c r="D787" s="10"/>
      <c r="E787" s="21"/>
      <c r="F787" s="22"/>
      <c r="G787" s="6"/>
    </row>
    <row r="788" spans="1:7" x14ac:dyDescent="0.35">
      <c r="A788" s="13" t="s">
        <v>260</v>
      </c>
      <c r="B788" s="8"/>
      <c r="C788" s="9"/>
      <c r="D788" s="10"/>
      <c r="E788" s="21"/>
      <c r="F788" s="22"/>
      <c r="G788" s="6"/>
    </row>
    <row r="789" spans="1:7" x14ac:dyDescent="0.35">
      <c r="A789" s="13" t="s">
        <v>261</v>
      </c>
      <c r="B789" s="8"/>
      <c r="C789" s="9"/>
      <c r="D789" s="10"/>
      <c r="E789" s="21"/>
      <c r="F789" s="22"/>
      <c r="G789" s="6"/>
    </row>
    <row r="790" spans="1:7" x14ac:dyDescent="0.35">
      <c r="A790" s="13" t="s">
        <v>262</v>
      </c>
      <c r="B790" s="8"/>
      <c r="C790" s="9"/>
      <c r="D790" s="10"/>
      <c r="E790" s="21"/>
      <c r="F790" s="22"/>
      <c r="G790" s="6"/>
    </row>
    <row r="791" spans="1:7" x14ac:dyDescent="0.35">
      <c r="A791" s="13" t="s">
        <v>263</v>
      </c>
      <c r="B791" s="8"/>
      <c r="C791" s="9"/>
      <c r="D791" s="10"/>
      <c r="E791" s="21"/>
      <c r="F791" s="22"/>
      <c r="G791" s="6"/>
    </row>
    <row r="792" spans="1:7" x14ac:dyDescent="0.35">
      <c r="A792" s="13" t="s">
        <v>264</v>
      </c>
      <c r="B792" s="8"/>
      <c r="C792" s="9"/>
      <c r="D792" s="10"/>
      <c r="E792" s="21"/>
      <c r="F792" s="22"/>
      <c r="G792" s="6"/>
    </row>
    <row r="793" spans="1:7" x14ac:dyDescent="0.35">
      <c r="A793" s="13" t="s">
        <v>265</v>
      </c>
      <c r="B793" s="8"/>
      <c r="C793" s="9"/>
      <c r="D793" s="10"/>
      <c r="E793" s="21"/>
      <c r="F793" s="22"/>
      <c r="G793" s="6"/>
    </row>
    <row r="794" spans="1:7" x14ac:dyDescent="0.35">
      <c r="A794" s="13" t="s">
        <v>266</v>
      </c>
      <c r="B794" s="8"/>
      <c r="C794" s="9"/>
      <c r="D794" s="10"/>
      <c r="E794" s="21"/>
      <c r="F794" s="22"/>
      <c r="G794" s="6"/>
    </row>
    <row r="795" spans="1:7" x14ac:dyDescent="0.35">
      <c r="A795" s="13" t="s">
        <v>267</v>
      </c>
      <c r="B795" s="8"/>
      <c r="C795" s="9"/>
      <c r="D795" s="10"/>
      <c r="E795" s="21"/>
      <c r="F795" s="22"/>
      <c r="G795" s="6"/>
    </row>
    <row r="796" spans="1:7" x14ac:dyDescent="0.35">
      <c r="A796" s="13" t="s">
        <v>268</v>
      </c>
      <c r="B796" s="8"/>
      <c r="C796" s="9"/>
      <c r="D796" s="10"/>
      <c r="E796" s="21"/>
      <c r="F796" s="22"/>
      <c r="G796" s="6"/>
    </row>
    <row r="797" spans="1:7" x14ac:dyDescent="0.35">
      <c r="A797" s="13" t="s">
        <v>269</v>
      </c>
      <c r="B797" s="8"/>
      <c r="C797" s="9"/>
      <c r="D797" s="10"/>
      <c r="E797" s="21"/>
      <c r="F797" s="22"/>
      <c r="G797" s="6"/>
    </row>
    <row r="798" spans="1:7" x14ac:dyDescent="0.35">
      <c r="A798" s="13" t="s">
        <v>270</v>
      </c>
      <c r="B798" s="8"/>
      <c r="C798" s="9"/>
      <c r="D798" s="10"/>
      <c r="E798" s="21"/>
      <c r="F798" s="22"/>
      <c r="G798" s="6"/>
    </row>
    <row r="799" spans="1:7" x14ac:dyDescent="0.35">
      <c r="A799" s="13" t="s">
        <v>271</v>
      </c>
      <c r="B799" s="8"/>
      <c r="C799" s="9"/>
      <c r="D799" s="10"/>
      <c r="E799" s="21"/>
      <c r="F799" s="22"/>
      <c r="G799" s="6"/>
    </row>
    <row r="800" spans="1:7" x14ac:dyDescent="0.35">
      <c r="A800" s="2"/>
      <c r="B800" s="2"/>
      <c r="C800" s="2"/>
      <c r="D800" s="2"/>
      <c r="E800" s="2"/>
      <c r="F800" s="2"/>
      <c r="G800" s="2"/>
    </row>
    <row r="801" spans="1:7" x14ac:dyDescent="0.35">
      <c r="A801" s="13" t="s">
        <v>31</v>
      </c>
      <c r="B801" s="15" t="s">
        <v>0</v>
      </c>
      <c r="C801" s="16" t="s">
        <v>1</v>
      </c>
      <c r="D801" s="17" t="s">
        <v>2</v>
      </c>
      <c r="E801" s="24" t="s">
        <v>3</v>
      </c>
      <c r="F801" s="23" t="s">
        <v>4</v>
      </c>
      <c r="G801" s="18" t="s">
        <v>5</v>
      </c>
    </row>
    <row r="802" spans="1:7" x14ac:dyDescent="0.35">
      <c r="A802" s="13" t="s">
        <v>242</v>
      </c>
      <c r="B802" s="8"/>
      <c r="C802" s="9"/>
      <c r="D802" s="10"/>
      <c r="E802" s="21"/>
      <c r="F802" s="22"/>
      <c r="G802" s="6"/>
    </row>
    <row r="803" spans="1:7" x14ac:dyDescent="0.35">
      <c r="A803" s="13" t="s">
        <v>243</v>
      </c>
      <c r="B803" s="8"/>
      <c r="C803" s="9"/>
      <c r="D803" s="10"/>
      <c r="E803" s="21"/>
      <c r="F803" s="22"/>
      <c r="G803" s="6"/>
    </row>
    <row r="804" spans="1:7" x14ac:dyDescent="0.35">
      <c r="A804" s="13" t="s">
        <v>244</v>
      </c>
      <c r="B804" s="8"/>
      <c r="C804" s="9"/>
      <c r="D804" s="10"/>
      <c r="E804" s="21"/>
      <c r="F804" s="22"/>
      <c r="G804" s="6"/>
    </row>
    <row r="805" spans="1:7" x14ac:dyDescent="0.35">
      <c r="A805" s="13" t="s">
        <v>245</v>
      </c>
      <c r="B805" s="8"/>
      <c r="C805" s="9"/>
      <c r="D805" s="10"/>
      <c r="E805" s="21"/>
      <c r="F805" s="22"/>
      <c r="G805" s="6"/>
    </row>
    <row r="806" spans="1:7" x14ac:dyDescent="0.35">
      <c r="A806" s="13" t="s">
        <v>246</v>
      </c>
      <c r="B806" s="8"/>
      <c r="C806" s="9"/>
      <c r="D806" s="10"/>
      <c r="E806" s="21"/>
      <c r="F806" s="22"/>
      <c r="G806" s="6"/>
    </row>
    <row r="807" spans="1:7" x14ac:dyDescent="0.35">
      <c r="A807" s="13" t="s">
        <v>247</v>
      </c>
      <c r="B807" s="8"/>
      <c r="C807" s="9"/>
      <c r="D807" s="10"/>
      <c r="E807" s="21"/>
      <c r="F807" s="22"/>
      <c r="G807" s="6"/>
    </row>
    <row r="808" spans="1:7" x14ac:dyDescent="0.35">
      <c r="A808" s="13" t="s">
        <v>248</v>
      </c>
      <c r="B808" s="8"/>
      <c r="C808" s="9"/>
      <c r="D808" s="10"/>
      <c r="E808" s="21"/>
      <c r="F808" s="22"/>
      <c r="G808" s="6"/>
    </row>
    <row r="809" spans="1:7" x14ac:dyDescent="0.35">
      <c r="A809" s="13" t="s">
        <v>249</v>
      </c>
      <c r="B809" s="8"/>
      <c r="C809" s="9"/>
      <c r="D809" s="10"/>
      <c r="E809" s="21"/>
      <c r="F809" s="22"/>
      <c r="G809" s="6"/>
    </row>
    <row r="810" spans="1:7" x14ac:dyDescent="0.35">
      <c r="A810" s="13" t="s">
        <v>250</v>
      </c>
      <c r="B810" s="8"/>
      <c r="C810" s="9"/>
      <c r="D810" s="10"/>
      <c r="E810" s="21"/>
      <c r="F810" s="22"/>
      <c r="G810" s="6"/>
    </row>
    <row r="811" spans="1:7" x14ac:dyDescent="0.35">
      <c r="A811" s="13" t="s">
        <v>251</v>
      </c>
      <c r="B811" s="8"/>
      <c r="C811" s="9"/>
      <c r="D811" s="10"/>
      <c r="E811" s="21"/>
      <c r="F811" s="22"/>
      <c r="G811" s="6"/>
    </row>
    <row r="812" spans="1:7" x14ac:dyDescent="0.35">
      <c r="A812" s="13" t="s">
        <v>252</v>
      </c>
      <c r="B812" s="8"/>
      <c r="C812" s="9"/>
      <c r="D812" s="10"/>
      <c r="E812" s="21"/>
      <c r="F812" s="22"/>
      <c r="G812" s="6"/>
    </row>
    <row r="813" spans="1:7" x14ac:dyDescent="0.35">
      <c r="A813" s="13" t="s">
        <v>253</v>
      </c>
      <c r="B813" s="8"/>
      <c r="C813" s="9"/>
      <c r="D813" s="10"/>
      <c r="E813" s="21"/>
      <c r="F813" s="22"/>
      <c r="G813" s="6"/>
    </row>
    <row r="814" spans="1:7" x14ac:dyDescent="0.35">
      <c r="A814" s="13" t="s">
        <v>254</v>
      </c>
      <c r="B814" s="8"/>
      <c r="C814" s="9"/>
      <c r="D814" s="10"/>
      <c r="E814" s="21"/>
      <c r="F814" s="22"/>
      <c r="G814" s="6"/>
    </row>
    <row r="815" spans="1:7" x14ac:dyDescent="0.35">
      <c r="A815" s="13" t="s">
        <v>255</v>
      </c>
      <c r="B815" s="8"/>
      <c r="C815" s="9"/>
      <c r="D815" s="10"/>
      <c r="E815" s="21"/>
      <c r="F815" s="22"/>
      <c r="G815" s="6"/>
    </row>
    <row r="816" spans="1:7" x14ac:dyDescent="0.35">
      <c r="A816" s="13" t="s">
        <v>256</v>
      </c>
      <c r="B816" s="8"/>
      <c r="C816" s="9"/>
      <c r="D816" s="10"/>
      <c r="E816" s="21"/>
      <c r="F816" s="22"/>
      <c r="G816" s="6"/>
    </row>
    <row r="817" spans="1:7" x14ac:dyDescent="0.35">
      <c r="A817" s="13" t="s">
        <v>257</v>
      </c>
      <c r="B817" s="8"/>
      <c r="C817" s="9"/>
      <c r="D817" s="10"/>
      <c r="E817" s="21"/>
      <c r="F817" s="22"/>
      <c r="G817" s="6"/>
    </row>
    <row r="818" spans="1:7" x14ac:dyDescent="0.35">
      <c r="A818" s="13" t="s">
        <v>258</v>
      </c>
      <c r="B818" s="8"/>
      <c r="C818" s="9"/>
      <c r="D818" s="10"/>
      <c r="E818" s="21"/>
      <c r="F818" s="22"/>
      <c r="G818" s="6"/>
    </row>
    <row r="819" spans="1:7" x14ac:dyDescent="0.35">
      <c r="A819" s="13" t="s">
        <v>259</v>
      </c>
      <c r="B819" s="8"/>
      <c r="C819" s="9"/>
      <c r="D819" s="10"/>
      <c r="E819" s="21"/>
      <c r="F819" s="22"/>
      <c r="G819" s="6"/>
    </row>
    <row r="820" spans="1:7" x14ac:dyDescent="0.35">
      <c r="A820" s="13" t="s">
        <v>260</v>
      </c>
      <c r="B820" s="8"/>
      <c r="C820" s="9"/>
      <c r="D820" s="10"/>
      <c r="E820" s="21"/>
      <c r="F820" s="22"/>
      <c r="G820" s="6"/>
    </row>
    <row r="821" spans="1:7" x14ac:dyDescent="0.35">
      <c r="A821" s="13" t="s">
        <v>261</v>
      </c>
      <c r="B821" s="8"/>
      <c r="C821" s="9"/>
      <c r="D821" s="10"/>
      <c r="E821" s="21"/>
      <c r="F821" s="22"/>
      <c r="G821" s="6"/>
    </row>
    <row r="822" spans="1:7" x14ac:dyDescent="0.35">
      <c r="A822" s="13" t="s">
        <v>262</v>
      </c>
      <c r="B822" s="8"/>
      <c r="C822" s="9"/>
      <c r="D822" s="10"/>
      <c r="E822" s="21"/>
      <c r="F822" s="22"/>
      <c r="G822" s="6"/>
    </row>
    <row r="823" spans="1:7" x14ac:dyDescent="0.35">
      <c r="A823" s="13" t="s">
        <v>263</v>
      </c>
      <c r="B823" s="8"/>
      <c r="C823" s="9"/>
      <c r="D823" s="10"/>
      <c r="E823" s="21"/>
      <c r="F823" s="22"/>
      <c r="G823" s="6"/>
    </row>
    <row r="824" spans="1:7" x14ac:dyDescent="0.35">
      <c r="A824" s="13" t="s">
        <v>264</v>
      </c>
      <c r="B824" s="8"/>
      <c r="C824" s="9"/>
      <c r="D824" s="10"/>
      <c r="E824" s="21"/>
      <c r="F824" s="22"/>
      <c r="G824" s="6"/>
    </row>
    <row r="825" spans="1:7" x14ac:dyDescent="0.35">
      <c r="A825" s="13" t="s">
        <v>265</v>
      </c>
      <c r="B825" s="8"/>
      <c r="C825" s="9"/>
      <c r="D825" s="10"/>
      <c r="E825" s="21"/>
      <c r="F825" s="22"/>
      <c r="G825" s="6"/>
    </row>
    <row r="826" spans="1:7" x14ac:dyDescent="0.35">
      <c r="A826" s="13" t="s">
        <v>266</v>
      </c>
      <c r="B826" s="8"/>
      <c r="C826" s="9"/>
      <c r="D826" s="10"/>
      <c r="E826" s="21"/>
      <c r="F826" s="22"/>
      <c r="G826" s="6"/>
    </row>
    <row r="827" spans="1:7" x14ac:dyDescent="0.35">
      <c r="A827" s="13" t="s">
        <v>267</v>
      </c>
      <c r="B827" s="8"/>
      <c r="C827" s="9"/>
      <c r="D827" s="10"/>
      <c r="E827" s="21"/>
      <c r="F827" s="22"/>
      <c r="G827" s="6"/>
    </row>
    <row r="828" spans="1:7" x14ac:dyDescent="0.35">
      <c r="A828" s="13" t="s">
        <v>268</v>
      </c>
      <c r="B828" s="8"/>
      <c r="C828" s="9"/>
      <c r="D828" s="10"/>
      <c r="E828" s="21"/>
      <c r="F828" s="22"/>
      <c r="G828" s="6"/>
    </row>
    <row r="829" spans="1:7" x14ac:dyDescent="0.35">
      <c r="A829" s="13" t="s">
        <v>269</v>
      </c>
      <c r="B829" s="8"/>
      <c r="C829" s="9"/>
      <c r="D829" s="10"/>
      <c r="E829" s="21"/>
      <c r="F829" s="22"/>
      <c r="G829" s="6"/>
    </row>
    <row r="830" spans="1:7" x14ac:dyDescent="0.35">
      <c r="A830" s="13" t="s">
        <v>270</v>
      </c>
      <c r="B830" s="8"/>
      <c r="C830" s="9"/>
      <c r="D830" s="10"/>
      <c r="E830" s="21"/>
      <c r="F830" s="22"/>
      <c r="G830" s="6"/>
    </row>
    <row r="831" spans="1:7" x14ac:dyDescent="0.35">
      <c r="A831" s="13" t="s">
        <v>271</v>
      </c>
      <c r="B831" s="8"/>
      <c r="C831" s="9"/>
      <c r="D831" s="10"/>
      <c r="E831" s="21"/>
      <c r="F831" s="22"/>
      <c r="G831" s="6"/>
    </row>
    <row r="832" spans="1:7" x14ac:dyDescent="0.35">
      <c r="A832" s="2"/>
      <c r="B832" s="2"/>
      <c r="C832" s="2"/>
      <c r="D832" s="2"/>
      <c r="E832" s="2"/>
      <c r="F832" s="2"/>
      <c r="G832" s="2"/>
    </row>
    <row r="833" spans="1:7" x14ac:dyDescent="0.35">
      <c r="A833" s="13" t="s">
        <v>32</v>
      </c>
      <c r="B833" s="15" t="s">
        <v>0</v>
      </c>
      <c r="C833" s="16" t="s">
        <v>1</v>
      </c>
      <c r="D833" s="17" t="s">
        <v>2</v>
      </c>
      <c r="E833" s="24" t="s">
        <v>3</v>
      </c>
      <c r="F833" s="23" t="s">
        <v>4</v>
      </c>
      <c r="G833" s="18" t="s">
        <v>5</v>
      </c>
    </row>
    <row r="834" spans="1:7" x14ac:dyDescent="0.35">
      <c r="A834" s="13" t="s">
        <v>242</v>
      </c>
      <c r="B834" s="8"/>
      <c r="C834" s="9"/>
      <c r="D834" s="10"/>
      <c r="E834" s="21"/>
      <c r="F834" s="22"/>
      <c r="G834" s="6"/>
    </row>
    <row r="835" spans="1:7" x14ac:dyDescent="0.35">
      <c r="A835" s="13" t="s">
        <v>243</v>
      </c>
      <c r="B835" s="8"/>
      <c r="C835" s="9"/>
      <c r="D835" s="10"/>
      <c r="E835" s="21"/>
      <c r="F835" s="22"/>
      <c r="G835" s="6"/>
    </row>
    <row r="836" spans="1:7" x14ac:dyDescent="0.35">
      <c r="A836" s="13" t="s">
        <v>244</v>
      </c>
      <c r="B836" s="8"/>
      <c r="C836" s="9"/>
      <c r="D836" s="10"/>
      <c r="E836" s="21"/>
      <c r="F836" s="22"/>
      <c r="G836" s="6"/>
    </row>
    <row r="837" spans="1:7" x14ac:dyDescent="0.35">
      <c r="A837" s="13" t="s">
        <v>245</v>
      </c>
      <c r="B837" s="8"/>
      <c r="C837" s="9"/>
      <c r="D837" s="10"/>
      <c r="E837" s="21"/>
      <c r="F837" s="22"/>
      <c r="G837" s="6"/>
    </row>
    <row r="838" spans="1:7" x14ac:dyDescent="0.35">
      <c r="A838" s="13" t="s">
        <v>246</v>
      </c>
      <c r="B838" s="8"/>
      <c r="C838" s="9"/>
      <c r="D838" s="10"/>
      <c r="E838" s="21"/>
      <c r="F838" s="22"/>
      <c r="G838" s="6"/>
    </row>
    <row r="839" spans="1:7" x14ac:dyDescent="0.35">
      <c r="A839" s="13" t="s">
        <v>247</v>
      </c>
      <c r="B839" s="8"/>
      <c r="C839" s="9"/>
      <c r="D839" s="10"/>
      <c r="E839" s="21"/>
      <c r="F839" s="22"/>
      <c r="G839" s="6"/>
    </row>
    <row r="840" spans="1:7" x14ac:dyDescent="0.35">
      <c r="A840" s="13" t="s">
        <v>248</v>
      </c>
      <c r="B840" s="8"/>
      <c r="C840" s="9"/>
      <c r="D840" s="10"/>
      <c r="E840" s="21"/>
      <c r="F840" s="22"/>
      <c r="G840" s="6"/>
    </row>
    <row r="841" spans="1:7" x14ac:dyDescent="0.35">
      <c r="A841" s="13" t="s">
        <v>249</v>
      </c>
      <c r="B841" s="8"/>
      <c r="C841" s="9"/>
      <c r="D841" s="10"/>
      <c r="E841" s="21"/>
      <c r="F841" s="22"/>
      <c r="G841" s="6"/>
    </row>
    <row r="842" spans="1:7" x14ac:dyDescent="0.35">
      <c r="A842" s="13" t="s">
        <v>250</v>
      </c>
      <c r="B842" s="8"/>
      <c r="C842" s="9"/>
      <c r="D842" s="10"/>
      <c r="E842" s="21"/>
      <c r="F842" s="22"/>
      <c r="G842" s="6"/>
    </row>
    <row r="843" spans="1:7" x14ac:dyDescent="0.35">
      <c r="A843" s="13" t="s">
        <v>251</v>
      </c>
      <c r="B843" s="8"/>
      <c r="C843" s="9"/>
      <c r="D843" s="10"/>
      <c r="E843" s="21"/>
      <c r="F843" s="22"/>
      <c r="G843" s="6"/>
    </row>
    <row r="844" spans="1:7" x14ac:dyDescent="0.35">
      <c r="A844" s="13" t="s">
        <v>252</v>
      </c>
      <c r="B844" s="8"/>
      <c r="C844" s="9"/>
      <c r="D844" s="10"/>
      <c r="E844" s="21"/>
      <c r="F844" s="22"/>
      <c r="G844" s="6"/>
    </row>
    <row r="845" spans="1:7" x14ac:dyDescent="0.35">
      <c r="A845" s="13" t="s">
        <v>253</v>
      </c>
      <c r="B845" s="8"/>
      <c r="C845" s="9"/>
      <c r="D845" s="10"/>
      <c r="E845" s="21"/>
      <c r="F845" s="22"/>
      <c r="G845" s="6"/>
    </row>
    <row r="846" spans="1:7" x14ac:dyDescent="0.35">
      <c r="A846" s="13" t="s">
        <v>254</v>
      </c>
      <c r="B846" s="8"/>
      <c r="C846" s="9"/>
      <c r="D846" s="10"/>
      <c r="E846" s="21"/>
      <c r="F846" s="22"/>
      <c r="G846" s="6"/>
    </row>
    <row r="847" spans="1:7" x14ac:dyDescent="0.35">
      <c r="A847" s="13" t="s">
        <v>255</v>
      </c>
      <c r="B847" s="8"/>
      <c r="C847" s="9"/>
      <c r="D847" s="10"/>
      <c r="E847" s="21"/>
      <c r="F847" s="22"/>
      <c r="G847" s="6"/>
    </row>
    <row r="848" spans="1:7" x14ac:dyDescent="0.35">
      <c r="A848" s="13" t="s">
        <v>256</v>
      </c>
      <c r="B848" s="8"/>
      <c r="C848" s="9"/>
      <c r="D848" s="10"/>
      <c r="E848" s="21"/>
      <c r="F848" s="22"/>
      <c r="G848" s="6"/>
    </row>
    <row r="849" spans="1:7" x14ac:dyDescent="0.35">
      <c r="A849" s="13" t="s">
        <v>257</v>
      </c>
      <c r="B849" s="8"/>
      <c r="C849" s="9"/>
      <c r="D849" s="10"/>
      <c r="E849" s="21"/>
      <c r="F849" s="22"/>
      <c r="G849" s="6"/>
    </row>
    <row r="850" spans="1:7" x14ac:dyDescent="0.35">
      <c r="A850" s="13" t="s">
        <v>258</v>
      </c>
      <c r="B850" s="8"/>
      <c r="C850" s="9"/>
      <c r="D850" s="10"/>
      <c r="E850" s="21"/>
      <c r="F850" s="22"/>
      <c r="G850" s="6"/>
    </row>
    <row r="851" spans="1:7" x14ac:dyDescent="0.35">
      <c r="A851" s="13" t="s">
        <v>259</v>
      </c>
      <c r="B851" s="8"/>
      <c r="C851" s="9"/>
      <c r="D851" s="10"/>
      <c r="E851" s="21"/>
      <c r="F851" s="22"/>
      <c r="G851" s="6"/>
    </row>
    <row r="852" spans="1:7" x14ac:dyDescent="0.35">
      <c r="A852" s="13" t="s">
        <v>260</v>
      </c>
      <c r="B852" s="8"/>
      <c r="C852" s="9"/>
      <c r="D852" s="10"/>
      <c r="E852" s="21"/>
      <c r="F852" s="22"/>
      <c r="G852" s="6"/>
    </row>
    <row r="853" spans="1:7" x14ac:dyDescent="0.35">
      <c r="A853" s="13" t="s">
        <v>261</v>
      </c>
      <c r="B853" s="8"/>
      <c r="C853" s="9"/>
      <c r="D853" s="10"/>
      <c r="E853" s="21"/>
      <c r="F853" s="22"/>
      <c r="G853" s="6"/>
    </row>
    <row r="854" spans="1:7" x14ac:dyDescent="0.35">
      <c r="A854" s="13" t="s">
        <v>262</v>
      </c>
      <c r="B854" s="8"/>
      <c r="C854" s="9"/>
      <c r="D854" s="10"/>
      <c r="E854" s="21"/>
      <c r="F854" s="22"/>
      <c r="G854" s="6"/>
    </row>
    <row r="855" spans="1:7" x14ac:dyDescent="0.35">
      <c r="A855" s="13" t="s">
        <v>263</v>
      </c>
      <c r="B855" s="8"/>
      <c r="C855" s="9"/>
      <c r="D855" s="10"/>
      <c r="E855" s="21"/>
      <c r="F855" s="22"/>
      <c r="G855" s="6"/>
    </row>
    <row r="856" spans="1:7" x14ac:dyDescent="0.35">
      <c r="A856" s="13" t="s">
        <v>264</v>
      </c>
      <c r="B856" s="8"/>
      <c r="C856" s="9"/>
      <c r="D856" s="10"/>
      <c r="E856" s="21"/>
      <c r="F856" s="22"/>
      <c r="G856" s="6"/>
    </row>
    <row r="857" spans="1:7" x14ac:dyDescent="0.35">
      <c r="A857" s="13" t="s">
        <v>265</v>
      </c>
      <c r="B857" s="8"/>
      <c r="C857" s="9"/>
      <c r="D857" s="10"/>
      <c r="E857" s="21"/>
      <c r="F857" s="22"/>
      <c r="G857" s="6"/>
    </row>
    <row r="858" spans="1:7" x14ac:dyDescent="0.35">
      <c r="A858" s="13" t="s">
        <v>266</v>
      </c>
      <c r="B858" s="8"/>
      <c r="C858" s="9"/>
      <c r="D858" s="10"/>
      <c r="E858" s="21"/>
      <c r="F858" s="22"/>
      <c r="G858" s="6"/>
    </row>
    <row r="859" spans="1:7" x14ac:dyDescent="0.35">
      <c r="A859" s="13" t="s">
        <v>267</v>
      </c>
      <c r="B859" s="8"/>
      <c r="C859" s="9"/>
      <c r="D859" s="10"/>
      <c r="E859" s="21"/>
      <c r="F859" s="22"/>
      <c r="G859" s="6"/>
    </row>
    <row r="860" spans="1:7" x14ac:dyDescent="0.35">
      <c r="A860" s="13" t="s">
        <v>268</v>
      </c>
      <c r="B860" s="8"/>
      <c r="C860" s="9"/>
      <c r="D860" s="10"/>
      <c r="E860" s="21"/>
      <c r="F860" s="22"/>
      <c r="G860" s="6"/>
    </row>
    <row r="861" spans="1:7" x14ac:dyDescent="0.35">
      <c r="A861" s="13" t="s">
        <v>269</v>
      </c>
      <c r="B861" s="8"/>
      <c r="C861" s="9"/>
      <c r="D861" s="10"/>
      <c r="E861" s="21"/>
      <c r="F861" s="22"/>
      <c r="G861" s="6"/>
    </row>
    <row r="862" spans="1:7" x14ac:dyDescent="0.35">
      <c r="A862" s="13" t="s">
        <v>270</v>
      </c>
      <c r="B862" s="8"/>
      <c r="C862" s="9"/>
      <c r="D862" s="10"/>
      <c r="E862" s="21"/>
      <c r="F862" s="22"/>
      <c r="G862" s="6"/>
    </row>
    <row r="863" spans="1:7" x14ac:dyDescent="0.35">
      <c r="A863" s="13" t="s">
        <v>271</v>
      </c>
      <c r="B863" s="8"/>
      <c r="C863" s="9"/>
      <c r="D863" s="10"/>
      <c r="E863" s="21"/>
      <c r="F863" s="22"/>
      <c r="G863" s="6"/>
    </row>
    <row r="864" spans="1:7" x14ac:dyDescent="0.35">
      <c r="A864" s="2"/>
      <c r="B864" s="2"/>
      <c r="C864" s="2"/>
      <c r="D864" s="2"/>
      <c r="E864" s="2"/>
      <c r="F864" s="2"/>
      <c r="G864" s="2"/>
    </row>
    <row r="865" spans="1:7" x14ac:dyDescent="0.35">
      <c r="A865" s="13" t="s">
        <v>33</v>
      </c>
      <c r="B865" s="15" t="s">
        <v>0</v>
      </c>
      <c r="C865" s="16" t="s">
        <v>1</v>
      </c>
      <c r="D865" s="17" t="s">
        <v>2</v>
      </c>
      <c r="E865" s="24" t="s">
        <v>3</v>
      </c>
      <c r="F865" s="23" t="s">
        <v>4</v>
      </c>
      <c r="G865" s="18" t="s">
        <v>5</v>
      </c>
    </row>
    <row r="866" spans="1:7" x14ac:dyDescent="0.35">
      <c r="A866" s="13" t="s">
        <v>242</v>
      </c>
      <c r="B866" s="8"/>
      <c r="C866" s="9"/>
      <c r="D866" s="10"/>
      <c r="E866" s="21"/>
      <c r="F866" s="22"/>
      <c r="G866" s="6"/>
    </row>
    <row r="867" spans="1:7" x14ac:dyDescent="0.35">
      <c r="A867" s="13" t="s">
        <v>243</v>
      </c>
      <c r="B867" s="8"/>
      <c r="C867" s="9"/>
      <c r="D867" s="10"/>
      <c r="E867" s="21"/>
      <c r="F867" s="22"/>
      <c r="G867" s="6"/>
    </row>
    <row r="868" spans="1:7" x14ac:dyDescent="0.35">
      <c r="A868" s="13" t="s">
        <v>244</v>
      </c>
      <c r="B868" s="8"/>
      <c r="C868" s="9"/>
      <c r="D868" s="10"/>
      <c r="E868" s="21"/>
      <c r="F868" s="22"/>
      <c r="G868" s="6"/>
    </row>
    <row r="869" spans="1:7" x14ac:dyDescent="0.35">
      <c r="A869" s="13" t="s">
        <v>245</v>
      </c>
      <c r="B869" s="8"/>
      <c r="C869" s="9"/>
      <c r="D869" s="10"/>
      <c r="E869" s="21"/>
      <c r="F869" s="22"/>
      <c r="G869" s="6"/>
    </row>
    <row r="870" spans="1:7" x14ac:dyDescent="0.35">
      <c r="A870" s="13" t="s">
        <v>246</v>
      </c>
      <c r="B870" s="8"/>
      <c r="C870" s="9"/>
      <c r="D870" s="10"/>
      <c r="E870" s="21"/>
      <c r="F870" s="22"/>
      <c r="G870" s="6"/>
    </row>
    <row r="871" spans="1:7" x14ac:dyDescent="0.35">
      <c r="A871" s="13" t="s">
        <v>247</v>
      </c>
      <c r="B871" s="8"/>
      <c r="C871" s="9"/>
      <c r="D871" s="10"/>
      <c r="E871" s="21"/>
      <c r="F871" s="22"/>
      <c r="G871" s="6"/>
    </row>
    <row r="872" spans="1:7" x14ac:dyDescent="0.35">
      <c r="A872" s="13" t="s">
        <v>248</v>
      </c>
      <c r="B872" s="8"/>
      <c r="C872" s="9"/>
      <c r="D872" s="10"/>
      <c r="E872" s="21"/>
      <c r="F872" s="22"/>
      <c r="G872" s="6"/>
    </row>
    <row r="873" spans="1:7" x14ac:dyDescent="0.35">
      <c r="A873" s="13" t="s">
        <v>249</v>
      </c>
      <c r="B873" s="8"/>
      <c r="C873" s="9"/>
      <c r="D873" s="10"/>
      <c r="E873" s="21"/>
      <c r="F873" s="22"/>
      <c r="G873" s="6"/>
    </row>
    <row r="874" spans="1:7" x14ac:dyDescent="0.35">
      <c r="A874" s="13" t="s">
        <v>250</v>
      </c>
      <c r="B874" s="8"/>
      <c r="C874" s="9"/>
      <c r="D874" s="10"/>
      <c r="E874" s="21"/>
      <c r="F874" s="22"/>
      <c r="G874" s="6"/>
    </row>
    <row r="875" spans="1:7" x14ac:dyDescent="0.35">
      <c r="A875" s="13" t="s">
        <v>251</v>
      </c>
      <c r="B875" s="8"/>
      <c r="C875" s="9"/>
      <c r="D875" s="10"/>
      <c r="E875" s="21"/>
      <c r="F875" s="22"/>
      <c r="G875" s="6"/>
    </row>
    <row r="876" spans="1:7" x14ac:dyDescent="0.35">
      <c r="A876" s="13" t="s">
        <v>252</v>
      </c>
      <c r="B876" s="8"/>
      <c r="C876" s="9"/>
      <c r="D876" s="10"/>
      <c r="E876" s="21"/>
      <c r="F876" s="22"/>
      <c r="G876" s="6"/>
    </row>
    <row r="877" spans="1:7" x14ac:dyDescent="0.35">
      <c r="A877" s="13" t="s">
        <v>253</v>
      </c>
      <c r="B877" s="8"/>
      <c r="C877" s="9"/>
      <c r="D877" s="10"/>
      <c r="E877" s="21"/>
      <c r="F877" s="22"/>
      <c r="G877" s="6"/>
    </row>
    <row r="878" spans="1:7" x14ac:dyDescent="0.35">
      <c r="A878" s="13" t="s">
        <v>254</v>
      </c>
      <c r="B878" s="8"/>
      <c r="C878" s="9"/>
      <c r="D878" s="10"/>
      <c r="E878" s="21"/>
      <c r="F878" s="22"/>
      <c r="G878" s="6"/>
    </row>
    <row r="879" spans="1:7" x14ac:dyDescent="0.35">
      <c r="A879" s="13" t="s">
        <v>255</v>
      </c>
      <c r="B879" s="8"/>
      <c r="C879" s="9"/>
      <c r="D879" s="10"/>
      <c r="E879" s="21"/>
      <c r="F879" s="22"/>
      <c r="G879" s="6"/>
    </row>
    <row r="880" spans="1:7" x14ac:dyDescent="0.35">
      <c r="A880" s="13" t="s">
        <v>256</v>
      </c>
      <c r="B880" s="8"/>
      <c r="C880" s="9"/>
      <c r="D880" s="10"/>
      <c r="E880" s="21"/>
      <c r="F880" s="22"/>
      <c r="G880" s="6"/>
    </row>
    <row r="881" spans="1:7" x14ac:dyDescent="0.35">
      <c r="A881" s="13" t="s">
        <v>257</v>
      </c>
      <c r="B881" s="8"/>
      <c r="C881" s="9"/>
      <c r="D881" s="10"/>
      <c r="E881" s="21"/>
      <c r="F881" s="22"/>
      <c r="G881" s="6"/>
    </row>
    <row r="882" spans="1:7" x14ac:dyDescent="0.35">
      <c r="A882" s="13" t="s">
        <v>258</v>
      </c>
      <c r="B882" s="8"/>
      <c r="C882" s="9"/>
      <c r="D882" s="10"/>
      <c r="E882" s="21"/>
      <c r="F882" s="22"/>
      <c r="G882" s="6"/>
    </row>
    <row r="883" spans="1:7" x14ac:dyDescent="0.35">
      <c r="A883" s="13" t="s">
        <v>259</v>
      </c>
      <c r="B883" s="8"/>
      <c r="C883" s="9"/>
      <c r="D883" s="10"/>
      <c r="E883" s="21"/>
      <c r="F883" s="22"/>
      <c r="G883" s="6"/>
    </row>
    <row r="884" spans="1:7" x14ac:dyDescent="0.35">
      <c r="A884" s="13" t="s">
        <v>260</v>
      </c>
      <c r="B884" s="8"/>
      <c r="C884" s="9"/>
      <c r="D884" s="10"/>
      <c r="E884" s="21"/>
      <c r="F884" s="22"/>
      <c r="G884" s="6"/>
    </row>
    <row r="885" spans="1:7" x14ac:dyDescent="0.35">
      <c r="A885" s="13" t="s">
        <v>261</v>
      </c>
      <c r="B885" s="8"/>
      <c r="C885" s="9"/>
      <c r="D885" s="10"/>
      <c r="E885" s="21"/>
      <c r="F885" s="22"/>
      <c r="G885" s="6"/>
    </row>
    <row r="886" spans="1:7" x14ac:dyDescent="0.35">
      <c r="A886" s="13" t="s">
        <v>262</v>
      </c>
      <c r="B886" s="8"/>
      <c r="C886" s="9"/>
      <c r="D886" s="10"/>
      <c r="E886" s="21"/>
      <c r="F886" s="22"/>
      <c r="G886" s="6"/>
    </row>
    <row r="887" spans="1:7" x14ac:dyDescent="0.35">
      <c r="A887" s="13" t="s">
        <v>263</v>
      </c>
      <c r="B887" s="8"/>
      <c r="C887" s="9"/>
      <c r="D887" s="10"/>
      <c r="E887" s="21"/>
      <c r="F887" s="22"/>
      <c r="G887" s="6"/>
    </row>
    <row r="888" spans="1:7" x14ac:dyDescent="0.35">
      <c r="A888" s="13" t="s">
        <v>264</v>
      </c>
      <c r="B888" s="8"/>
      <c r="C888" s="9"/>
      <c r="D888" s="10"/>
      <c r="E888" s="21"/>
      <c r="F888" s="22"/>
      <c r="G888" s="6"/>
    </row>
    <row r="889" spans="1:7" x14ac:dyDescent="0.35">
      <c r="A889" s="13" t="s">
        <v>265</v>
      </c>
      <c r="B889" s="8"/>
      <c r="C889" s="9"/>
      <c r="D889" s="10"/>
      <c r="E889" s="21"/>
      <c r="F889" s="22"/>
      <c r="G889" s="6"/>
    </row>
    <row r="890" spans="1:7" x14ac:dyDescent="0.35">
      <c r="A890" s="13" t="s">
        <v>266</v>
      </c>
      <c r="B890" s="8"/>
      <c r="C890" s="9"/>
      <c r="D890" s="10"/>
      <c r="E890" s="21"/>
      <c r="F890" s="22"/>
      <c r="G890" s="6"/>
    </row>
    <row r="891" spans="1:7" x14ac:dyDescent="0.35">
      <c r="A891" s="13" t="s">
        <v>267</v>
      </c>
      <c r="B891" s="8"/>
      <c r="C891" s="9"/>
      <c r="D891" s="10"/>
      <c r="E891" s="21"/>
      <c r="F891" s="22"/>
      <c r="G891" s="6"/>
    </row>
    <row r="892" spans="1:7" x14ac:dyDescent="0.35">
      <c r="A892" s="13" t="s">
        <v>268</v>
      </c>
      <c r="B892" s="8"/>
      <c r="C892" s="9"/>
      <c r="D892" s="10"/>
      <c r="E892" s="21"/>
      <c r="F892" s="22"/>
      <c r="G892" s="6"/>
    </row>
    <row r="893" spans="1:7" x14ac:dyDescent="0.35">
      <c r="A893" s="13" t="s">
        <v>269</v>
      </c>
      <c r="B893" s="8"/>
      <c r="C893" s="9"/>
      <c r="D893" s="10"/>
      <c r="E893" s="21"/>
      <c r="F893" s="22"/>
      <c r="G893" s="6"/>
    </row>
    <row r="894" spans="1:7" x14ac:dyDescent="0.35">
      <c r="A894" s="13" t="s">
        <v>270</v>
      </c>
      <c r="B894" s="8"/>
      <c r="C894" s="9"/>
      <c r="D894" s="10"/>
      <c r="E894" s="21"/>
      <c r="F894" s="22"/>
      <c r="G894" s="6"/>
    </row>
    <row r="895" spans="1:7" x14ac:dyDescent="0.35">
      <c r="A895" s="13" t="s">
        <v>271</v>
      </c>
      <c r="B895" s="8"/>
      <c r="C895" s="9"/>
      <c r="D895" s="10"/>
      <c r="E895" s="21"/>
      <c r="F895" s="22"/>
      <c r="G895" s="6"/>
    </row>
    <row r="896" spans="1:7" x14ac:dyDescent="0.35">
      <c r="A896" s="2"/>
      <c r="B896" s="2"/>
      <c r="C896" s="2"/>
      <c r="D896" s="2"/>
      <c r="E896" s="2"/>
      <c r="F896" s="2"/>
      <c r="G896" s="2"/>
    </row>
    <row r="897" spans="1:7" x14ac:dyDescent="0.35">
      <c r="A897" s="13" t="s">
        <v>34</v>
      </c>
      <c r="B897" s="15" t="s">
        <v>0</v>
      </c>
      <c r="C897" s="16" t="s">
        <v>1</v>
      </c>
      <c r="D897" s="17" t="s">
        <v>2</v>
      </c>
      <c r="E897" s="24" t="s">
        <v>3</v>
      </c>
      <c r="F897" s="23" t="s">
        <v>4</v>
      </c>
      <c r="G897" s="18" t="s">
        <v>5</v>
      </c>
    </row>
    <row r="898" spans="1:7" x14ac:dyDescent="0.35">
      <c r="A898" s="13" t="s">
        <v>242</v>
      </c>
      <c r="B898" s="8"/>
      <c r="C898" s="9"/>
      <c r="D898" s="10"/>
      <c r="E898" s="21"/>
      <c r="F898" s="22"/>
      <c r="G898" s="6"/>
    </row>
    <row r="899" spans="1:7" x14ac:dyDescent="0.35">
      <c r="A899" s="13" t="s">
        <v>243</v>
      </c>
      <c r="B899" s="8"/>
      <c r="C899" s="9"/>
      <c r="D899" s="10"/>
      <c r="E899" s="21"/>
      <c r="F899" s="22"/>
      <c r="G899" s="6"/>
    </row>
    <row r="900" spans="1:7" x14ac:dyDescent="0.35">
      <c r="A900" s="13" t="s">
        <v>244</v>
      </c>
      <c r="B900" s="8"/>
      <c r="C900" s="9"/>
      <c r="D900" s="10"/>
      <c r="E900" s="21"/>
      <c r="F900" s="22"/>
      <c r="G900" s="6"/>
    </row>
    <row r="901" spans="1:7" x14ac:dyDescent="0.35">
      <c r="A901" s="13" t="s">
        <v>245</v>
      </c>
      <c r="B901" s="8"/>
      <c r="C901" s="9"/>
      <c r="D901" s="10"/>
      <c r="E901" s="21"/>
      <c r="F901" s="22"/>
      <c r="G901" s="6"/>
    </row>
    <row r="902" spans="1:7" x14ac:dyDescent="0.35">
      <c r="A902" s="13" t="s">
        <v>246</v>
      </c>
      <c r="B902" s="8"/>
      <c r="C902" s="9"/>
      <c r="D902" s="10"/>
      <c r="E902" s="21"/>
      <c r="F902" s="22"/>
      <c r="G902" s="6"/>
    </row>
    <row r="903" spans="1:7" x14ac:dyDescent="0.35">
      <c r="A903" s="13" t="s">
        <v>247</v>
      </c>
      <c r="B903" s="8"/>
      <c r="C903" s="9"/>
      <c r="D903" s="10"/>
      <c r="E903" s="21"/>
      <c r="F903" s="22"/>
      <c r="G903" s="6"/>
    </row>
    <row r="904" spans="1:7" x14ac:dyDescent="0.35">
      <c r="A904" s="13" t="s">
        <v>248</v>
      </c>
      <c r="B904" s="8"/>
      <c r="C904" s="9"/>
      <c r="D904" s="10"/>
      <c r="E904" s="21"/>
      <c r="F904" s="22"/>
      <c r="G904" s="6"/>
    </row>
    <row r="905" spans="1:7" x14ac:dyDescent="0.35">
      <c r="A905" s="13" t="s">
        <v>249</v>
      </c>
      <c r="B905" s="8"/>
      <c r="C905" s="9"/>
      <c r="D905" s="10"/>
      <c r="E905" s="21"/>
      <c r="F905" s="22"/>
      <c r="G905" s="6"/>
    </row>
    <row r="906" spans="1:7" x14ac:dyDescent="0.35">
      <c r="A906" s="13" t="s">
        <v>250</v>
      </c>
      <c r="B906" s="8"/>
      <c r="C906" s="9"/>
      <c r="D906" s="10"/>
      <c r="E906" s="21"/>
      <c r="F906" s="22"/>
      <c r="G906" s="6"/>
    </row>
    <row r="907" spans="1:7" x14ac:dyDescent="0.35">
      <c r="A907" s="13" t="s">
        <v>251</v>
      </c>
      <c r="B907" s="8"/>
      <c r="C907" s="9"/>
      <c r="D907" s="10"/>
      <c r="E907" s="21"/>
      <c r="F907" s="22"/>
      <c r="G907" s="6"/>
    </row>
    <row r="908" spans="1:7" x14ac:dyDescent="0.35">
      <c r="A908" s="13" t="s">
        <v>252</v>
      </c>
      <c r="B908" s="8"/>
      <c r="C908" s="9"/>
      <c r="D908" s="10"/>
      <c r="E908" s="21"/>
      <c r="F908" s="22"/>
      <c r="G908" s="6"/>
    </row>
    <row r="909" spans="1:7" x14ac:dyDescent="0.35">
      <c r="A909" s="13" t="s">
        <v>253</v>
      </c>
      <c r="B909" s="8"/>
      <c r="C909" s="9"/>
      <c r="D909" s="10"/>
      <c r="E909" s="21"/>
      <c r="F909" s="22"/>
      <c r="G909" s="6"/>
    </row>
    <row r="910" spans="1:7" x14ac:dyDescent="0.35">
      <c r="A910" s="13" t="s">
        <v>254</v>
      </c>
      <c r="B910" s="8"/>
      <c r="C910" s="9"/>
      <c r="D910" s="10"/>
      <c r="E910" s="21"/>
      <c r="F910" s="22"/>
      <c r="G910" s="6"/>
    </row>
    <row r="911" spans="1:7" x14ac:dyDescent="0.35">
      <c r="A911" s="13" t="s">
        <v>255</v>
      </c>
      <c r="B911" s="8"/>
      <c r="C911" s="9"/>
      <c r="D911" s="10"/>
      <c r="E911" s="21"/>
      <c r="F911" s="22"/>
      <c r="G911" s="6"/>
    </row>
    <row r="912" spans="1:7" x14ac:dyDescent="0.35">
      <c r="A912" s="13" t="s">
        <v>256</v>
      </c>
      <c r="B912" s="8"/>
      <c r="C912" s="9"/>
      <c r="D912" s="10"/>
      <c r="E912" s="21"/>
      <c r="F912" s="22"/>
      <c r="G912" s="6"/>
    </row>
    <row r="913" spans="1:7" x14ac:dyDescent="0.35">
      <c r="A913" s="13" t="s">
        <v>257</v>
      </c>
      <c r="B913" s="8"/>
      <c r="C913" s="9"/>
      <c r="D913" s="10"/>
      <c r="E913" s="21"/>
      <c r="F913" s="22"/>
      <c r="G913" s="6"/>
    </row>
    <row r="914" spans="1:7" x14ac:dyDescent="0.35">
      <c r="A914" s="13" t="s">
        <v>258</v>
      </c>
      <c r="B914" s="8"/>
      <c r="C914" s="9"/>
      <c r="D914" s="10"/>
      <c r="E914" s="21"/>
      <c r="F914" s="22"/>
      <c r="G914" s="6"/>
    </row>
    <row r="915" spans="1:7" x14ac:dyDescent="0.35">
      <c r="A915" s="13" t="s">
        <v>259</v>
      </c>
      <c r="B915" s="8"/>
      <c r="C915" s="9"/>
      <c r="D915" s="10"/>
      <c r="E915" s="21"/>
      <c r="F915" s="22"/>
      <c r="G915" s="6"/>
    </row>
    <row r="916" spans="1:7" x14ac:dyDescent="0.35">
      <c r="A916" s="13" t="s">
        <v>260</v>
      </c>
      <c r="B916" s="8"/>
      <c r="C916" s="9"/>
      <c r="D916" s="10"/>
      <c r="E916" s="21"/>
      <c r="F916" s="22"/>
      <c r="G916" s="6"/>
    </row>
    <row r="917" spans="1:7" x14ac:dyDescent="0.35">
      <c r="A917" s="13" t="s">
        <v>261</v>
      </c>
      <c r="B917" s="8"/>
      <c r="C917" s="9"/>
      <c r="D917" s="10"/>
      <c r="E917" s="21"/>
      <c r="F917" s="22"/>
      <c r="G917" s="6"/>
    </row>
    <row r="918" spans="1:7" x14ac:dyDescent="0.35">
      <c r="A918" s="13" t="s">
        <v>262</v>
      </c>
      <c r="B918" s="8"/>
      <c r="C918" s="9"/>
      <c r="D918" s="10"/>
      <c r="E918" s="21"/>
      <c r="F918" s="22"/>
      <c r="G918" s="6"/>
    </row>
    <row r="919" spans="1:7" x14ac:dyDescent="0.35">
      <c r="A919" s="13" t="s">
        <v>263</v>
      </c>
      <c r="B919" s="8"/>
      <c r="C919" s="9"/>
      <c r="D919" s="10"/>
      <c r="E919" s="21"/>
      <c r="F919" s="22"/>
      <c r="G919" s="6"/>
    </row>
    <row r="920" spans="1:7" x14ac:dyDescent="0.35">
      <c r="A920" s="13" t="s">
        <v>264</v>
      </c>
      <c r="B920" s="8"/>
      <c r="C920" s="9"/>
      <c r="D920" s="10"/>
      <c r="E920" s="21"/>
      <c r="F920" s="22"/>
      <c r="G920" s="6"/>
    </row>
    <row r="921" spans="1:7" x14ac:dyDescent="0.35">
      <c r="A921" s="13" t="s">
        <v>265</v>
      </c>
      <c r="B921" s="8"/>
      <c r="C921" s="9"/>
      <c r="D921" s="10"/>
      <c r="E921" s="21"/>
      <c r="F921" s="22"/>
      <c r="G921" s="6"/>
    </row>
    <row r="922" spans="1:7" x14ac:dyDescent="0.35">
      <c r="A922" s="13" t="s">
        <v>266</v>
      </c>
      <c r="B922" s="8"/>
      <c r="C922" s="9"/>
      <c r="D922" s="10"/>
      <c r="E922" s="21"/>
      <c r="F922" s="22"/>
      <c r="G922" s="6"/>
    </row>
    <row r="923" spans="1:7" x14ac:dyDescent="0.35">
      <c r="A923" s="13" t="s">
        <v>267</v>
      </c>
      <c r="B923" s="8"/>
      <c r="C923" s="9"/>
      <c r="D923" s="10"/>
      <c r="E923" s="21"/>
      <c r="F923" s="22"/>
      <c r="G923" s="6"/>
    </row>
    <row r="924" spans="1:7" x14ac:dyDescent="0.35">
      <c r="A924" s="13" t="s">
        <v>268</v>
      </c>
      <c r="B924" s="8"/>
      <c r="C924" s="9"/>
      <c r="D924" s="10"/>
      <c r="E924" s="21"/>
      <c r="F924" s="22"/>
      <c r="G924" s="6"/>
    </row>
    <row r="925" spans="1:7" x14ac:dyDescent="0.35">
      <c r="A925" s="13" t="s">
        <v>269</v>
      </c>
      <c r="B925" s="8"/>
      <c r="C925" s="9"/>
      <c r="D925" s="10"/>
      <c r="E925" s="21"/>
      <c r="F925" s="22"/>
      <c r="G925" s="6"/>
    </row>
    <row r="926" spans="1:7" x14ac:dyDescent="0.35">
      <c r="A926" s="13" t="s">
        <v>270</v>
      </c>
      <c r="B926" s="8"/>
      <c r="C926" s="9"/>
      <c r="D926" s="10"/>
      <c r="E926" s="21"/>
      <c r="F926" s="22"/>
      <c r="G926" s="6"/>
    </row>
    <row r="927" spans="1:7" x14ac:dyDescent="0.35">
      <c r="A927" s="13" t="s">
        <v>271</v>
      </c>
      <c r="B927" s="8"/>
      <c r="C927" s="9"/>
      <c r="D927" s="10"/>
      <c r="E927" s="21"/>
      <c r="F927" s="22"/>
      <c r="G927" s="6"/>
    </row>
    <row r="928" spans="1:7" x14ac:dyDescent="0.35">
      <c r="A928" s="2"/>
      <c r="B928" s="2"/>
      <c r="C928" s="2"/>
      <c r="D928" s="2"/>
      <c r="E928" s="2"/>
      <c r="F928" s="2"/>
      <c r="G928" s="2"/>
    </row>
    <row r="929" spans="1:7" x14ac:dyDescent="0.35">
      <c r="A929" s="13" t="s">
        <v>35</v>
      </c>
      <c r="B929" s="15" t="s">
        <v>0</v>
      </c>
      <c r="C929" s="16" t="s">
        <v>1</v>
      </c>
      <c r="D929" s="17" t="s">
        <v>2</v>
      </c>
      <c r="E929" s="24" t="s">
        <v>3</v>
      </c>
      <c r="F929" s="23" t="s">
        <v>4</v>
      </c>
      <c r="G929" s="18" t="s">
        <v>5</v>
      </c>
    </row>
    <row r="930" spans="1:7" x14ac:dyDescent="0.35">
      <c r="A930" s="13" t="s">
        <v>242</v>
      </c>
      <c r="B930" s="8"/>
      <c r="C930" s="9"/>
      <c r="D930" s="10"/>
      <c r="E930" s="21"/>
      <c r="F930" s="22"/>
      <c r="G930" s="6"/>
    </row>
    <row r="931" spans="1:7" x14ac:dyDescent="0.35">
      <c r="A931" s="13" t="s">
        <v>243</v>
      </c>
      <c r="B931" s="8"/>
      <c r="C931" s="9"/>
      <c r="D931" s="10"/>
      <c r="E931" s="21"/>
      <c r="F931" s="22"/>
      <c r="G931" s="6"/>
    </row>
    <row r="932" spans="1:7" x14ac:dyDescent="0.35">
      <c r="A932" s="13" t="s">
        <v>244</v>
      </c>
      <c r="B932" s="8"/>
      <c r="C932" s="9"/>
      <c r="D932" s="10"/>
      <c r="E932" s="21"/>
      <c r="F932" s="22"/>
      <c r="G932" s="6"/>
    </row>
    <row r="933" spans="1:7" x14ac:dyDescent="0.35">
      <c r="A933" s="13" t="s">
        <v>245</v>
      </c>
      <c r="B933" s="8"/>
      <c r="C933" s="9"/>
      <c r="D933" s="10"/>
      <c r="E933" s="21"/>
      <c r="F933" s="22"/>
      <c r="G933" s="6"/>
    </row>
    <row r="934" spans="1:7" x14ac:dyDescent="0.35">
      <c r="A934" s="13" t="s">
        <v>246</v>
      </c>
      <c r="B934" s="8"/>
      <c r="C934" s="9"/>
      <c r="D934" s="10"/>
      <c r="E934" s="21"/>
      <c r="F934" s="22"/>
      <c r="G934" s="6"/>
    </row>
    <row r="935" spans="1:7" x14ac:dyDescent="0.35">
      <c r="A935" s="13" t="s">
        <v>247</v>
      </c>
      <c r="B935" s="8"/>
      <c r="C935" s="9"/>
      <c r="D935" s="10"/>
      <c r="E935" s="21"/>
      <c r="F935" s="22"/>
      <c r="G935" s="6"/>
    </row>
    <row r="936" spans="1:7" x14ac:dyDescent="0.35">
      <c r="A936" s="13" t="s">
        <v>248</v>
      </c>
      <c r="B936" s="8"/>
      <c r="C936" s="9"/>
      <c r="D936" s="10"/>
      <c r="E936" s="21"/>
      <c r="F936" s="22"/>
      <c r="G936" s="6"/>
    </row>
    <row r="937" spans="1:7" x14ac:dyDescent="0.35">
      <c r="A937" s="13" t="s">
        <v>249</v>
      </c>
      <c r="B937" s="8"/>
      <c r="C937" s="9"/>
      <c r="D937" s="10"/>
      <c r="E937" s="21"/>
      <c r="F937" s="22"/>
      <c r="G937" s="6"/>
    </row>
    <row r="938" spans="1:7" x14ac:dyDescent="0.35">
      <c r="A938" s="13" t="s">
        <v>250</v>
      </c>
      <c r="B938" s="8"/>
      <c r="C938" s="9"/>
      <c r="D938" s="10"/>
      <c r="E938" s="21"/>
      <c r="F938" s="22"/>
      <c r="G938" s="6"/>
    </row>
    <row r="939" spans="1:7" x14ac:dyDescent="0.35">
      <c r="A939" s="13" t="s">
        <v>251</v>
      </c>
      <c r="B939" s="8"/>
      <c r="C939" s="9"/>
      <c r="D939" s="10"/>
      <c r="E939" s="21"/>
      <c r="F939" s="22"/>
      <c r="G939" s="6"/>
    </row>
    <row r="940" spans="1:7" x14ac:dyDescent="0.35">
      <c r="A940" s="13" t="s">
        <v>252</v>
      </c>
      <c r="B940" s="8"/>
      <c r="C940" s="9"/>
      <c r="D940" s="10"/>
      <c r="E940" s="21"/>
      <c r="F940" s="22"/>
      <c r="G940" s="6"/>
    </row>
    <row r="941" spans="1:7" x14ac:dyDescent="0.35">
      <c r="A941" s="13" t="s">
        <v>253</v>
      </c>
      <c r="B941" s="8"/>
      <c r="C941" s="9"/>
      <c r="D941" s="10"/>
      <c r="E941" s="21"/>
      <c r="F941" s="22"/>
      <c r="G941" s="6"/>
    </row>
    <row r="942" spans="1:7" x14ac:dyDescent="0.35">
      <c r="A942" s="13" t="s">
        <v>254</v>
      </c>
      <c r="B942" s="8"/>
      <c r="C942" s="9"/>
      <c r="D942" s="10"/>
      <c r="E942" s="21"/>
      <c r="F942" s="22"/>
      <c r="G942" s="6"/>
    </row>
    <row r="943" spans="1:7" x14ac:dyDescent="0.35">
      <c r="A943" s="13" t="s">
        <v>255</v>
      </c>
      <c r="B943" s="8"/>
      <c r="C943" s="9"/>
      <c r="D943" s="10"/>
      <c r="E943" s="21"/>
      <c r="F943" s="22"/>
      <c r="G943" s="6"/>
    </row>
    <row r="944" spans="1:7" x14ac:dyDescent="0.35">
      <c r="A944" s="13" t="s">
        <v>256</v>
      </c>
      <c r="B944" s="8"/>
      <c r="C944" s="9"/>
      <c r="D944" s="10"/>
      <c r="E944" s="21"/>
      <c r="F944" s="22"/>
      <c r="G944" s="6"/>
    </row>
    <row r="945" spans="1:7" x14ac:dyDescent="0.35">
      <c r="A945" s="13" t="s">
        <v>257</v>
      </c>
      <c r="B945" s="8"/>
      <c r="C945" s="9"/>
      <c r="D945" s="10"/>
      <c r="E945" s="21"/>
      <c r="F945" s="22"/>
      <c r="G945" s="6"/>
    </row>
    <row r="946" spans="1:7" x14ac:dyDescent="0.35">
      <c r="A946" s="13" t="s">
        <v>258</v>
      </c>
      <c r="B946" s="8"/>
      <c r="C946" s="9"/>
      <c r="D946" s="10"/>
      <c r="E946" s="21"/>
      <c r="F946" s="22"/>
      <c r="G946" s="6"/>
    </row>
    <row r="947" spans="1:7" x14ac:dyDescent="0.35">
      <c r="A947" s="13" t="s">
        <v>259</v>
      </c>
      <c r="B947" s="8"/>
      <c r="C947" s="9"/>
      <c r="D947" s="10"/>
      <c r="E947" s="21"/>
      <c r="F947" s="22"/>
      <c r="G947" s="6"/>
    </row>
    <row r="948" spans="1:7" x14ac:dyDescent="0.35">
      <c r="A948" s="13" t="s">
        <v>260</v>
      </c>
      <c r="B948" s="8"/>
      <c r="C948" s="9"/>
      <c r="D948" s="10"/>
      <c r="E948" s="21"/>
      <c r="F948" s="22"/>
      <c r="G948" s="6"/>
    </row>
    <row r="949" spans="1:7" x14ac:dyDescent="0.35">
      <c r="A949" s="13" t="s">
        <v>261</v>
      </c>
      <c r="B949" s="8"/>
      <c r="C949" s="9"/>
      <c r="D949" s="10"/>
      <c r="E949" s="21"/>
      <c r="F949" s="22"/>
      <c r="G949" s="6"/>
    </row>
    <row r="950" spans="1:7" x14ac:dyDescent="0.35">
      <c r="A950" s="13" t="s">
        <v>262</v>
      </c>
      <c r="B950" s="8"/>
      <c r="C950" s="9"/>
      <c r="D950" s="10"/>
      <c r="E950" s="21"/>
      <c r="F950" s="22"/>
      <c r="G950" s="6"/>
    </row>
    <row r="951" spans="1:7" x14ac:dyDescent="0.35">
      <c r="A951" s="13" t="s">
        <v>263</v>
      </c>
      <c r="B951" s="8"/>
      <c r="C951" s="9"/>
      <c r="D951" s="10"/>
      <c r="E951" s="21"/>
      <c r="F951" s="22"/>
      <c r="G951" s="6"/>
    </row>
    <row r="952" spans="1:7" x14ac:dyDescent="0.35">
      <c r="A952" s="13" t="s">
        <v>264</v>
      </c>
      <c r="B952" s="8"/>
      <c r="C952" s="9"/>
      <c r="D952" s="10"/>
      <c r="E952" s="21"/>
      <c r="F952" s="22"/>
      <c r="G952" s="6"/>
    </row>
    <row r="953" spans="1:7" x14ac:dyDescent="0.35">
      <c r="A953" s="13" t="s">
        <v>265</v>
      </c>
      <c r="B953" s="8"/>
      <c r="C953" s="9"/>
      <c r="D953" s="10"/>
      <c r="E953" s="21"/>
      <c r="F953" s="22"/>
      <c r="G953" s="6"/>
    </row>
    <row r="954" spans="1:7" x14ac:dyDescent="0.35">
      <c r="A954" s="13" t="s">
        <v>266</v>
      </c>
      <c r="B954" s="8"/>
      <c r="C954" s="9"/>
      <c r="D954" s="10"/>
      <c r="E954" s="21"/>
      <c r="F954" s="22"/>
      <c r="G954" s="6"/>
    </row>
    <row r="955" spans="1:7" x14ac:dyDescent="0.35">
      <c r="A955" s="13" t="s">
        <v>267</v>
      </c>
      <c r="B955" s="8"/>
      <c r="C955" s="9"/>
      <c r="D955" s="10"/>
      <c r="E955" s="21"/>
      <c r="F955" s="22"/>
      <c r="G955" s="6"/>
    </row>
    <row r="956" spans="1:7" x14ac:dyDescent="0.35">
      <c r="A956" s="13" t="s">
        <v>268</v>
      </c>
      <c r="B956" s="8"/>
      <c r="C956" s="9"/>
      <c r="D956" s="10"/>
      <c r="E956" s="21"/>
      <c r="F956" s="22"/>
      <c r="G956" s="6"/>
    </row>
    <row r="957" spans="1:7" x14ac:dyDescent="0.35">
      <c r="A957" s="13" t="s">
        <v>269</v>
      </c>
      <c r="B957" s="8"/>
      <c r="C957" s="9"/>
      <c r="D957" s="10"/>
      <c r="E957" s="21"/>
      <c r="F957" s="22"/>
      <c r="G957" s="6"/>
    </row>
    <row r="958" spans="1:7" x14ac:dyDescent="0.35">
      <c r="A958" s="13" t="s">
        <v>270</v>
      </c>
      <c r="B958" s="8"/>
      <c r="C958" s="9"/>
      <c r="D958" s="10"/>
      <c r="E958" s="21"/>
      <c r="F958" s="22"/>
      <c r="G958" s="6"/>
    </row>
    <row r="959" spans="1:7" x14ac:dyDescent="0.35">
      <c r="A959" s="13" t="s">
        <v>271</v>
      </c>
      <c r="B959" s="8"/>
      <c r="C959" s="9"/>
      <c r="D959" s="10"/>
      <c r="E959" s="21"/>
      <c r="F959" s="22"/>
      <c r="G959" s="6"/>
    </row>
    <row r="960" spans="1:7" x14ac:dyDescent="0.35">
      <c r="A960" s="2"/>
      <c r="B960" s="2"/>
      <c r="C960" s="2"/>
      <c r="D960" s="2"/>
      <c r="E960" s="2"/>
      <c r="F960" s="2"/>
      <c r="G960" s="2"/>
    </row>
    <row r="961" spans="1:7" x14ac:dyDescent="0.35">
      <c r="A961" s="13" t="s">
        <v>36</v>
      </c>
      <c r="B961" s="15" t="s">
        <v>0</v>
      </c>
      <c r="C961" s="16" t="s">
        <v>1</v>
      </c>
      <c r="D961" s="17" t="s">
        <v>2</v>
      </c>
      <c r="E961" s="24" t="s">
        <v>3</v>
      </c>
      <c r="F961" s="23" t="s">
        <v>4</v>
      </c>
      <c r="G961" s="18" t="s">
        <v>5</v>
      </c>
    </row>
    <row r="962" spans="1:7" x14ac:dyDescent="0.35">
      <c r="A962" s="13" t="s">
        <v>242</v>
      </c>
      <c r="B962" s="8"/>
      <c r="C962" s="9"/>
      <c r="D962" s="10"/>
      <c r="E962" s="21"/>
      <c r="F962" s="22"/>
      <c r="G962" s="6"/>
    </row>
    <row r="963" spans="1:7" x14ac:dyDescent="0.35">
      <c r="A963" s="13" t="s">
        <v>243</v>
      </c>
      <c r="B963" s="8"/>
      <c r="C963" s="9"/>
      <c r="D963" s="10"/>
      <c r="E963" s="21"/>
      <c r="F963" s="22"/>
      <c r="G963" s="6"/>
    </row>
    <row r="964" spans="1:7" x14ac:dyDescent="0.35">
      <c r="A964" s="13" t="s">
        <v>244</v>
      </c>
      <c r="B964" s="8"/>
      <c r="C964" s="9"/>
      <c r="D964" s="10"/>
      <c r="E964" s="21"/>
      <c r="F964" s="22"/>
      <c r="G964" s="6"/>
    </row>
    <row r="965" spans="1:7" x14ac:dyDescent="0.35">
      <c r="A965" s="13" t="s">
        <v>245</v>
      </c>
      <c r="B965" s="8"/>
      <c r="C965" s="9"/>
      <c r="D965" s="10"/>
      <c r="E965" s="21"/>
      <c r="F965" s="22"/>
      <c r="G965" s="6"/>
    </row>
    <row r="966" spans="1:7" x14ac:dyDescent="0.35">
      <c r="A966" s="13" t="s">
        <v>246</v>
      </c>
      <c r="B966" s="8"/>
      <c r="C966" s="9"/>
      <c r="D966" s="10"/>
      <c r="E966" s="21"/>
      <c r="F966" s="22"/>
      <c r="G966" s="6"/>
    </row>
    <row r="967" spans="1:7" x14ac:dyDescent="0.35">
      <c r="A967" s="13" t="s">
        <v>247</v>
      </c>
      <c r="B967" s="8"/>
      <c r="C967" s="9"/>
      <c r="D967" s="10"/>
      <c r="E967" s="21"/>
      <c r="F967" s="22"/>
      <c r="G967" s="6"/>
    </row>
    <row r="968" spans="1:7" x14ac:dyDescent="0.35">
      <c r="A968" s="13" t="s">
        <v>248</v>
      </c>
      <c r="B968" s="8"/>
      <c r="C968" s="9"/>
      <c r="D968" s="10"/>
      <c r="E968" s="21"/>
      <c r="F968" s="22"/>
      <c r="G968" s="6"/>
    </row>
    <row r="969" spans="1:7" x14ac:dyDescent="0.35">
      <c r="A969" s="13" t="s">
        <v>249</v>
      </c>
      <c r="B969" s="8"/>
      <c r="C969" s="9"/>
      <c r="D969" s="10"/>
      <c r="E969" s="21"/>
      <c r="F969" s="22"/>
      <c r="G969" s="6"/>
    </row>
    <row r="970" spans="1:7" x14ac:dyDescent="0.35">
      <c r="A970" s="13" t="s">
        <v>250</v>
      </c>
      <c r="B970" s="8"/>
      <c r="C970" s="9"/>
      <c r="D970" s="10"/>
      <c r="E970" s="21"/>
      <c r="F970" s="22"/>
      <c r="G970" s="6"/>
    </row>
    <row r="971" spans="1:7" x14ac:dyDescent="0.35">
      <c r="A971" s="13" t="s">
        <v>251</v>
      </c>
      <c r="B971" s="8"/>
      <c r="C971" s="9"/>
      <c r="D971" s="10"/>
      <c r="E971" s="21"/>
      <c r="F971" s="22"/>
      <c r="G971" s="6"/>
    </row>
    <row r="972" spans="1:7" x14ac:dyDescent="0.35">
      <c r="A972" s="13" t="s">
        <v>252</v>
      </c>
      <c r="B972" s="8"/>
      <c r="C972" s="9"/>
      <c r="D972" s="10"/>
      <c r="E972" s="21"/>
      <c r="F972" s="22"/>
      <c r="G972" s="6"/>
    </row>
    <row r="973" spans="1:7" x14ac:dyDescent="0.35">
      <c r="A973" s="13" t="s">
        <v>253</v>
      </c>
      <c r="B973" s="8"/>
      <c r="C973" s="9"/>
      <c r="D973" s="10"/>
      <c r="E973" s="21"/>
      <c r="F973" s="22"/>
      <c r="G973" s="6"/>
    </row>
    <row r="974" spans="1:7" x14ac:dyDescent="0.35">
      <c r="A974" s="13" t="s">
        <v>254</v>
      </c>
      <c r="B974" s="8"/>
      <c r="C974" s="9"/>
      <c r="D974" s="10"/>
      <c r="E974" s="21"/>
      <c r="F974" s="22"/>
      <c r="G974" s="6"/>
    </row>
    <row r="975" spans="1:7" x14ac:dyDescent="0.35">
      <c r="A975" s="13" t="s">
        <v>255</v>
      </c>
      <c r="B975" s="8"/>
      <c r="C975" s="9"/>
      <c r="D975" s="10"/>
      <c r="E975" s="21"/>
      <c r="F975" s="22"/>
      <c r="G975" s="6"/>
    </row>
    <row r="976" spans="1:7" x14ac:dyDescent="0.35">
      <c r="A976" s="13" t="s">
        <v>256</v>
      </c>
      <c r="B976" s="8"/>
      <c r="C976" s="9"/>
      <c r="D976" s="10"/>
      <c r="E976" s="21"/>
      <c r="F976" s="22"/>
      <c r="G976" s="6"/>
    </row>
    <row r="977" spans="1:7" x14ac:dyDescent="0.35">
      <c r="A977" s="13" t="s">
        <v>257</v>
      </c>
      <c r="B977" s="8"/>
      <c r="C977" s="9"/>
      <c r="D977" s="10"/>
      <c r="E977" s="21"/>
      <c r="F977" s="22"/>
      <c r="G977" s="6"/>
    </row>
    <row r="978" spans="1:7" x14ac:dyDescent="0.35">
      <c r="A978" s="13" t="s">
        <v>258</v>
      </c>
      <c r="B978" s="8"/>
      <c r="C978" s="9"/>
      <c r="D978" s="10"/>
      <c r="E978" s="21"/>
      <c r="F978" s="22"/>
      <c r="G978" s="6"/>
    </row>
    <row r="979" spans="1:7" x14ac:dyDescent="0.35">
      <c r="A979" s="13" t="s">
        <v>259</v>
      </c>
      <c r="B979" s="8"/>
      <c r="C979" s="9"/>
      <c r="D979" s="10"/>
      <c r="E979" s="21"/>
      <c r="F979" s="22"/>
      <c r="G979" s="6"/>
    </row>
    <row r="980" spans="1:7" x14ac:dyDescent="0.35">
      <c r="A980" s="13" t="s">
        <v>260</v>
      </c>
      <c r="B980" s="8"/>
      <c r="C980" s="9"/>
      <c r="D980" s="10"/>
      <c r="E980" s="21"/>
      <c r="F980" s="22"/>
      <c r="G980" s="6"/>
    </row>
    <row r="981" spans="1:7" x14ac:dyDescent="0.35">
      <c r="A981" s="13" t="s">
        <v>261</v>
      </c>
      <c r="B981" s="8"/>
      <c r="C981" s="9"/>
      <c r="D981" s="10"/>
      <c r="E981" s="21"/>
      <c r="F981" s="22"/>
      <c r="G981" s="6"/>
    </row>
    <row r="982" spans="1:7" x14ac:dyDescent="0.35">
      <c r="A982" s="13" t="s">
        <v>262</v>
      </c>
      <c r="B982" s="8"/>
      <c r="C982" s="9"/>
      <c r="D982" s="10"/>
      <c r="E982" s="21"/>
      <c r="F982" s="22"/>
      <c r="G982" s="6"/>
    </row>
    <row r="983" spans="1:7" x14ac:dyDescent="0.35">
      <c r="A983" s="13" t="s">
        <v>263</v>
      </c>
      <c r="B983" s="8"/>
      <c r="C983" s="9"/>
      <c r="D983" s="10"/>
      <c r="E983" s="21"/>
      <c r="F983" s="22"/>
      <c r="G983" s="6"/>
    </row>
    <row r="984" spans="1:7" x14ac:dyDescent="0.35">
      <c r="A984" s="13" t="s">
        <v>264</v>
      </c>
      <c r="B984" s="8"/>
      <c r="C984" s="9"/>
      <c r="D984" s="10"/>
      <c r="E984" s="21"/>
      <c r="F984" s="22"/>
      <c r="G984" s="6"/>
    </row>
    <row r="985" spans="1:7" x14ac:dyDescent="0.35">
      <c r="A985" s="13" t="s">
        <v>265</v>
      </c>
      <c r="B985" s="8"/>
      <c r="C985" s="9"/>
      <c r="D985" s="10"/>
      <c r="E985" s="21"/>
      <c r="F985" s="22"/>
      <c r="G985" s="6"/>
    </row>
    <row r="986" spans="1:7" x14ac:dyDescent="0.35">
      <c r="A986" s="13" t="s">
        <v>266</v>
      </c>
      <c r="B986" s="8"/>
      <c r="C986" s="9"/>
      <c r="D986" s="10"/>
      <c r="E986" s="21"/>
      <c r="F986" s="22"/>
      <c r="G986" s="6"/>
    </row>
    <row r="987" spans="1:7" x14ac:dyDescent="0.35">
      <c r="A987" s="13" t="s">
        <v>267</v>
      </c>
      <c r="B987" s="8"/>
      <c r="C987" s="9"/>
      <c r="D987" s="10"/>
      <c r="E987" s="21"/>
      <c r="F987" s="22"/>
      <c r="G987" s="6"/>
    </row>
    <row r="988" spans="1:7" x14ac:dyDescent="0.35">
      <c r="A988" s="13" t="s">
        <v>268</v>
      </c>
      <c r="B988" s="8"/>
      <c r="C988" s="9"/>
      <c r="D988" s="10"/>
      <c r="E988" s="21"/>
      <c r="F988" s="22"/>
      <c r="G988" s="6"/>
    </row>
    <row r="989" spans="1:7" x14ac:dyDescent="0.35">
      <c r="A989" s="13" t="s">
        <v>269</v>
      </c>
      <c r="B989" s="8"/>
      <c r="C989" s="9"/>
      <c r="D989" s="10"/>
      <c r="E989" s="21"/>
      <c r="F989" s="22"/>
      <c r="G989" s="6"/>
    </row>
    <row r="990" spans="1:7" x14ac:dyDescent="0.35">
      <c r="A990" s="13" t="s">
        <v>270</v>
      </c>
      <c r="B990" s="8"/>
      <c r="C990" s="9"/>
      <c r="D990" s="10"/>
      <c r="E990" s="21"/>
      <c r="F990" s="22"/>
      <c r="G990" s="6"/>
    </row>
    <row r="991" spans="1:7" x14ac:dyDescent="0.35">
      <c r="A991" s="13" t="s">
        <v>271</v>
      </c>
      <c r="B991" s="8"/>
      <c r="C991" s="9"/>
      <c r="D991" s="10"/>
      <c r="E991" s="21"/>
      <c r="F991" s="22"/>
      <c r="G991" s="6"/>
    </row>
    <row r="992" spans="1:7" x14ac:dyDescent="0.35">
      <c r="A992" s="2"/>
      <c r="B992" s="2"/>
      <c r="C992" s="2"/>
      <c r="D992" s="2"/>
      <c r="E992" s="2"/>
      <c r="F992" s="2"/>
      <c r="G992" s="2"/>
    </row>
    <row r="993" spans="1:7" x14ac:dyDescent="0.35">
      <c r="A993" s="13" t="s">
        <v>37</v>
      </c>
      <c r="B993" s="15" t="s">
        <v>0</v>
      </c>
      <c r="C993" s="16" t="s">
        <v>1</v>
      </c>
      <c r="D993" s="17" t="s">
        <v>2</v>
      </c>
      <c r="E993" s="24" t="s">
        <v>3</v>
      </c>
      <c r="F993" s="23" t="s">
        <v>4</v>
      </c>
      <c r="G993" s="18" t="s">
        <v>5</v>
      </c>
    </row>
    <row r="994" spans="1:7" x14ac:dyDescent="0.35">
      <c r="A994" s="13" t="s">
        <v>242</v>
      </c>
      <c r="B994" s="8"/>
      <c r="C994" s="9"/>
      <c r="D994" s="10"/>
      <c r="E994" s="21"/>
      <c r="F994" s="22"/>
      <c r="G994" s="6"/>
    </row>
    <row r="995" spans="1:7" x14ac:dyDescent="0.35">
      <c r="A995" s="13" t="s">
        <v>243</v>
      </c>
      <c r="B995" s="8"/>
      <c r="C995" s="9"/>
      <c r="D995" s="10"/>
      <c r="E995" s="21"/>
      <c r="F995" s="22"/>
      <c r="G995" s="6"/>
    </row>
    <row r="996" spans="1:7" x14ac:dyDescent="0.35">
      <c r="A996" s="13" t="s">
        <v>244</v>
      </c>
      <c r="B996" s="8"/>
      <c r="C996" s="9"/>
      <c r="D996" s="10"/>
      <c r="E996" s="21"/>
      <c r="F996" s="22"/>
      <c r="G996" s="6"/>
    </row>
    <row r="997" spans="1:7" x14ac:dyDescent="0.35">
      <c r="A997" s="13" t="s">
        <v>245</v>
      </c>
      <c r="B997" s="8"/>
      <c r="C997" s="9"/>
      <c r="D997" s="10"/>
      <c r="E997" s="21"/>
      <c r="F997" s="22"/>
      <c r="G997" s="6"/>
    </row>
    <row r="998" spans="1:7" x14ac:dyDescent="0.35">
      <c r="A998" s="13" t="s">
        <v>246</v>
      </c>
      <c r="B998" s="8"/>
      <c r="C998" s="9"/>
      <c r="D998" s="10"/>
      <c r="E998" s="21"/>
      <c r="F998" s="22"/>
      <c r="G998" s="6"/>
    </row>
    <row r="999" spans="1:7" x14ac:dyDescent="0.35">
      <c r="A999" s="13" t="s">
        <v>247</v>
      </c>
      <c r="B999" s="8"/>
      <c r="C999" s="9"/>
      <c r="D999" s="10"/>
      <c r="E999" s="21"/>
      <c r="F999" s="22"/>
      <c r="G999" s="6"/>
    </row>
    <row r="1000" spans="1:7" x14ac:dyDescent="0.35">
      <c r="A1000" s="13" t="s">
        <v>248</v>
      </c>
      <c r="B1000" s="8"/>
      <c r="C1000" s="9"/>
      <c r="D1000" s="10"/>
      <c r="E1000" s="21"/>
      <c r="F1000" s="22"/>
      <c r="G1000" s="6"/>
    </row>
    <row r="1001" spans="1:7" x14ac:dyDescent="0.35">
      <c r="A1001" s="13" t="s">
        <v>249</v>
      </c>
      <c r="B1001" s="8"/>
      <c r="C1001" s="9"/>
      <c r="D1001" s="10"/>
      <c r="E1001" s="21"/>
      <c r="F1001" s="22"/>
      <c r="G1001" s="6"/>
    </row>
    <row r="1002" spans="1:7" x14ac:dyDescent="0.35">
      <c r="A1002" s="13" t="s">
        <v>250</v>
      </c>
      <c r="B1002" s="8"/>
      <c r="C1002" s="9"/>
      <c r="D1002" s="10"/>
      <c r="E1002" s="21"/>
      <c r="F1002" s="22"/>
      <c r="G1002" s="6"/>
    </row>
    <row r="1003" spans="1:7" x14ac:dyDescent="0.35">
      <c r="A1003" s="13" t="s">
        <v>251</v>
      </c>
      <c r="B1003" s="8"/>
      <c r="C1003" s="9"/>
      <c r="D1003" s="10"/>
      <c r="E1003" s="21"/>
      <c r="F1003" s="22"/>
      <c r="G1003" s="6"/>
    </row>
    <row r="1004" spans="1:7" x14ac:dyDescent="0.35">
      <c r="A1004" s="13" t="s">
        <v>252</v>
      </c>
      <c r="B1004" s="8"/>
      <c r="C1004" s="9"/>
      <c r="D1004" s="10"/>
      <c r="E1004" s="21"/>
      <c r="F1004" s="22"/>
      <c r="G1004" s="6"/>
    </row>
    <row r="1005" spans="1:7" x14ac:dyDescent="0.35">
      <c r="A1005" s="13" t="s">
        <v>253</v>
      </c>
      <c r="B1005" s="8"/>
      <c r="C1005" s="9"/>
      <c r="D1005" s="10"/>
      <c r="E1005" s="21"/>
      <c r="F1005" s="22"/>
      <c r="G1005" s="6"/>
    </row>
    <row r="1006" spans="1:7" x14ac:dyDescent="0.35">
      <c r="A1006" s="13" t="s">
        <v>254</v>
      </c>
      <c r="B1006" s="8"/>
      <c r="C1006" s="9"/>
      <c r="D1006" s="10"/>
      <c r="E1006" s="21"/>
      <c r="F1006" s="22"/>
      <c r="G1006" s="6"/>
    </row>
    <row r="1007" spans="1:7" x14ac:dyDescent="0.35">
      <c r="A1007" s="13" t="s">
        <v>255</v>
      </c>
      <c r="B1007" s="8"/>
      <c r="C1007" s="9"/>
      <c r="D1007" s="10"/>
      <c r="E1007" s="21"/>
      <c r="F1007" s="22"/>
      <c r="G1007" s="6"/>
    </row>
    <row r="1008" spans="1:7" x14ac:dyDescent="0.35">
      <c r="A1008" s="13" t="s">
        <v>256</v>
      </c>
      <c r="B1008" s="8"/>
      <c r="C1008" s="9"/>
      <c r="D1008" s="10"/>
      <c r="E1008" s="21"/>
      <c r="F1008" s="22"/>
      <c r="G1008" s="6"/>
    </row>
    <row r="1009" spans="1:7" x14ac:dyDescent="0.35">
      <c r="A1009" s="13" t="s">
        <v>257</v>
      </c>
      <c r="B1009" s="8"/>
      <c r="C1009" s="9"/>
      <c r="D1009" s="10"/>
      <c r="E1009" s="21"/>
      <c r="F1009" s="22"/>
      <c r="G1009" s="6"/>
    </row>
    <row r="1010" spans="1:7" x14ac:dyDescent="0.35">
      <c r="A1010" s="13" t="s">
        <v>258</v>
      </c>
      <c r="B1010" s="8"/>
      <c r="C1010" s="9"/>
      <c r="D1010" s="10"/>
      <c r="E1010" s="21"/>
      <c r="F1010" s="22"/>
      <c r="G1010" s="6"/>
    </row>
    <row r="1011" spans="1:7" x14ac:dyDescent="0.35">
      <c r="A1011" s="13" t="s">
        <v>259</v>
      </c>
      <c r="B1011" s="8"/>
      <c r="C1011" s="9"/>
      <c r="D1011" s="10"/>
      <c r="E1011" s="21"/>
      <c r="F1011" s="22"/>
      <c r="G1011" s="6"/>
    </row>
    <row r="1012" spans="1:7" x14ac:dyDescent="0.35">
      <c r="A1012" s="13" t="s">
        <v>260</v>
      </c>
      <c r="B1012" s="8"/>
      <c r="C1012" s="9"/>
      <c r="D1012" s="10"/>
      <c r="E1012" s="21"/>
      <c r="F1012" s="22"/>
      <c r="G1012" s="6"/>
    </row>
    <row r="1013" spans="1:7" x14ac:dyDescent="0.35">
      <c r="A1013" s="13" t="s">
        <v>261</v>
      </c>
      <c r="B1013" s="8"/>
      <c r="C1013" s="9"/>
      <c r="D1013" s="10"/>
      <c r="E1013" s="21"/>
      <c r="F1013" s="22"/>
      <c r="G1013" s="6"/>
    </row>
    <row r="1014" spans="1:7" x14ac:dyDescent="0.35">
      <c r="A1014" s="13" t="s">
        <v>262</v>
      </c>
      <c r="B1014" s="8"/>
      <c r="C1014" s="9"/>
      <c r="D1014" s="10"/>
      <c r="E1014" s="21"/>
      <c r="F1014" s="22"/>
      <c r="G1014" s="6"/>
    </row>
    <row r="1015" spans="1:7" x14ac:dyDescent="0.35">
      <c r="A1015" s="13" t="s">
        <v>263</v>
      </c>
      <c r="B1015" s="8"/>
      <c r="C1015" s="9"/>
      <c r="D1015" s="10"/>
      <c r="E1015" s="21"/>
      <c r="F1015" s="22"/>
      <c r="G1015" s="6"/>
    </row>
    <row r="1016" spans="1:7" x14ac:dyDescent="0.35">
      <c r="A1016" s="13" t="s">
        <v>264</v>
      </c>
      <c r="B1016" s="8"/>
      <c r="C1016" s="9"/>
      <c r="D1016" s="10"/>
      <c r="E1016" s="21"/>
      <c r="F1016" s="22"/>
      <c r="G1016" s="6"/>
    </row>
    <row r="1017" spans="1:7" x14ac:dyDescent="0.35">
      <c r="A1017" s="13" t="s">
        <v>265</v>
      </c>
      <c r="B1017" s="8"/>
      <c r="C1017" s="9"/>
      <c r="D1017" s="10"/>
      <c r="E1017" s="21"/>
      <c r="F1017" s="22"/>
      <c r="G1017" s="6"/>
    </row>
    <row r="1018" spans="1:7" x14ac:dyDescent="0.35">
      <c r="A1018" s="13" t="s">
        <v>266</v>
      </c>
      <c r="B1018" s="8"/>
      <c r="C1018" s="9"/>
      <c r="D1018" s="10"/>
      <c r="E1018" s="21"/>
      <c r="F1018" s="22"/>
      <c r="G1018" s="6"/>
    </row>
    <row r="1019" spans="1:7" x14ac:dyDescent="0.35">
      <c r="A1019" s="13" t="s">
        <v>267</v>
      </c>
      <c r="B1019" s="8"/>
      <c r="C1019" s="9"/>
      <c r="D1019" s="10"/>
      <c r="E1019" s="21"/>
      <c r="F1019" s="22"/>
      <c r="G1019" s="6"/>
    </row>
    <row r="1020" spans="1:7" x14ac:dyDescent="0.35">
      <c r="A1020" s="13" t="s">
        <v>268</v>
      </c>
      <c r="B1020" s="8"/>
      <c r="C1020" s="9"/>
      <c r="D1020" s="10"/>
      <c r="E1020" s="21"/>
      <c r="F1020" s="22"/>
      <c r="G1020" s="6"/>
    </row>
    <row r="1021" spans="1:7" x14ac:dyDescent="0.35">
      <c r="A1021" s="13" t="s">
        <v>269</v>
      </c>
      <c r="B1021" s="8"/>
      <c r="C1021" s="9"/>
      <c r="D1021" s="10"/>
      <c r="E1021" s="21"/>
      <c r="F1021" s="22"/>
      <c r="G1021" s="6"/>
    </row>
    <row r="1022" spans="1:7" x14ac:dyDescent="0.35">
      <c r="A1022" s="13" t="s">
        <v>270</v>
      </c>
      <c r="B1022" s="8"/>
      <c r="C1022" s="9"/>
      <c r="D1022" s="10"/>
      <c r="E1022" s="21"/>
      <c r="F1022" s="22"/>
      <c r="G1022" s="6"/>
    </row>
    <row r="1023" spans="1:7" x14ac:dyDescent="0.35">
      <c r="A1023" s="13" t="s">
        <v>271</v>
      </c>
      <c r="B1023" s="8"/>
      <c r="C1023" s="9"/>
      <c r="D1023" s="10"/>
      <c r="E1023" s="21"/>
      <c r="F1023" s="22"/>
      <c r="G1023" s="6"/>
    </row>
    <row r="1024" spans="1:7" x14ac:dyDescent="0.35">
      <c r="A1024" s="2"/>
      <c r="B1024" s="2"/>
      <c r="C1024" s="2"/>
      <c r="D1024" s="2"/>
      <c r="E1024" s="2"/>
      <c r="F1024" s="2"/>
      <c r="G1024" s="2"/>
    </row>
    <row r="1025" spans="1:7" x14ac:dyDescent="0.35">
      <c r="A1025" s="13" t="s">
        <v>38</v>
      </c>
      <c r="B1025" s="15" t="s">
        <v>0</v>
      </c>
      <c r="C1025" s="16" t="s">
        <v>1</v>
      </c>
      <c r="D1025" s="17" t="s">
        <v>2</v>
      </c>
      <c r="E1025" s="24" t="s">
        <v>3</v>
      </c>
      <c r="F1025" s="23" t="s">
        <v>4</v>
      </c>
      <c r="G1025" s="18" t="s">
        <v>5</v>
      </c>
    </row>
    <row r="1026" spans="1:7" x14ac:dyDescent="0.35">
      <c r="A1026" s="13" t="s">
        <v>242</v>
      </c>
      <c r="B1026" s="8"/>
      <c r="C1026" s="9"/>
      <c r="D1026" s="10"/>
      <c r="E1026" s="21"/>
      <c r="F1026" s="22"/>
      <c r="G1026" s="6"/>
    </row>
    <row r="1027" spans="1:7" x14ac:dyDescent="0.35">
      <c r="A1027" s="13" t="s">
        <v>243</v>
      </c>
      <c r="B1027" s="8"/>
      <c r="C1027" s="9"/>
      <c r="D1027" s="10"/>
      <c r="E1027" s="21"/>
      <c r="F1027" s="22"/>
      <c r="G1027" s="6"/>
    </row>
    <row r="1028" spans="1:7" x14ac:dyDescent="0.35">
      <c r="A1028" s="13" t="s">
        <v>244</v>
      </c>
      <c r="B1028" s="8"/>
      <c r="C1028" s="9"/>
      <c r="D1028" s="10"/>
      <c r="E1028" s="21"/>
      <c r="F1028" s="22"/>
      <c r="G1028" s="6"/>
    </row>
    <row r="1029" spans="1:7" x14ac:dyDescent="0.35">
      <c r="A1029" s="13" t="s">
        <v>245</v>
      </c>
      <c r="B1029" s="8"/>
      <c r="C1029" s="9"/>
      <c r="D1029" s="10"/>
      <c r="E1029" s="21"/>
      <c r="F1029" s="22"/>
      <c r="G1029" s="6"/>
    </row>
    <row r="1030" spans="1:7" x14ac:dyDescent="0.35">
      <c r="A1030" s="13" t="s">
        <v>246</v>
      </c>
      <c r="B1030" s="8"/>
      <c r="C1030" s="9"/>
      <c r="D1030" s="10"/>
      <c r="E1030" s="21"/>
      <c r="F1030" s="22"/>
      <c r="G1030" s="6"/>
    </row>
    <row r="1031" spans="1:7" x14ac:dyDescent="0.35">
      <c r="A1031" s="13" t="s">
        <v>247</v>
      </c>
      <c r="B1031" s="8"/>
      <c r="C1031" s="9"/>
      <c r="D1031" s="10"/>
      <c r="E1031" s="21"/>
      <c r="F1031" s="22"/>
      <c r="G1031" s="6"/>
    </row>
    <row r="1032" spans="1:7" x14ac:dyDescent="0.35">
      <c r="A1032" s="13" t="s">
        <v>248</v>
      </c>
      <c r="B1032" s="8"/>
      <c r="C1032" s="9"/>
      <c r="D1032" s="10"/>
      <c r="E1032" s="21"/>
      <c r="F1032" s="22"/>
      <c r="G1032" s="6"/>
    </row>
    <row r="1033" spans="1:7" x14ac:dyDescent="0.35">
      <c r="A1033" s="13" t="s">
        <v>249</v>
      </c>
      <c r="B1033" s="8"/>
      <c r="C1033" s="9"/>
      <c r="D1033" s="10"/>
      <c r="E1033" s="21"/>
      <c r="F1033" s="22"/>
      <c r="G1033" s="6"/>
    </row>
    <row r="1034" spans="1:7" x14ac:dyDescent="0.35">
      <c r="A1034" s="13" t="s">
        <v>250</v>
      </c>
      <c r="B1034" s="8"/>
      <c r="C1034" s="9"/>
      <c r="D1034" s="10"/>
      <c r="E1034" s="21"/>
      <c r="F1034" s="22"/>
      <c r="G1034" s="6"/>
    </row>
    <row r="1035" spans="1:7" x14ac:dyDescent="0.35">
      <c r="A1035" s="13" t="s">
        <v>251</v>
      </c>
      <c r="B1035" s="8"/>
      <c r="C1035" s="9"/>
      <c r="D1035" s="10"/>
      <c r="E1035" s="21"/>
      <c r="F1035" s="22"/>
      <c r="G1035" s="6"/>
    </row>
    <row r="1036" spans="1:7" x14ac:dyDescent="0.35">
      <c r="A1036" s="13" t="s">
        <v>252</v>
      </c>
      <c r="B1036" s="8"/>
      <c r="C1036" s="9"/>
      <c r="D1036" s="10"/>
      <c r="E1036" s="21"/>
      <c r="F1036" s="22"/>
      <c r="G1036" s="6"/>
    </row>
    <row r="1037" spans="1:7" x14ac:dyDescent="0.35">
      <c r="A1037" s="13" t="s">
        <v>253</v>
      </c>
      <c r="B1037" s="8"/>
      <c r="C1037" s="9"/>
      <c r="D1037" s="10"/>
      <c r="E1037" s="21"/>
      <c r="F1037" s="22"/>
      <c r="G1037" s="6"/>
    </row>
    <row r="1038" spans="1:7" x14ac:dyDescent="0.35">
      <c r="A1038" s="13" t="s">
        <v>254</v>
      </c>
      <c r="B1038" s="8"/>
      <c r="C1038" s="9"/>
      <c r="D1038" s="10"/>
      <c r="E1038" s="21"/>
      <c r="F1038" s="22"/>
      <c r="G1038" s="6"/>
    </row>
    <row r="1039" spans="1:7" x14ac:dyDescent="0.35">
      <c r="A1039" s="13" t="s">
        <v>255</v>
      </c>
      <c r="B1039" s="8"/>
      <c r="C1039" s="9"/>
      <c r="D1039" s="10"/>
      <c r="E1039" s="21"/>
      <c r="F1039" s="22"/>
      <c r="G1039" s="6"/>
    </row>
    <row r="1040" spans="1:7" x14ac:dyDescent="0.35">
      <c r="A1040" s="13" t="s">
        <v>256</v>
      </c>
      <c r="B1040" s="8"/>
      <c r="C1040" s="9"/>
      <c r="D1040" s="10"/>
      <c r="E1040" s="21"/>
      <c r="F1040" s="22"/>
      <c r="G1040" s="6"/>
    </row>
    <row r="1041" spans="1:7" x14ac:dyDescent="0.35">
      <c r="A1041" s="13" t="s">
        <v>257</v>
      </c>
      <c r="B1041" s="8"/>
      <c r="C1041" s="9"/>
      <c r="D1041" s="10"/>
      <c r="E1041" s="21"/>
      <c r="F1041" s="22"/>
      <c r="G1041" s="6"/>
    </row>
    <row r="1042" spans="1:7" x14ac:dyDescent="0.35">
      <c r="A1042" s="13" t="s">
        <v>258</v>
      </c>
      <c r="B1042" s="8"/>
      <c r="C1042" s="9"/>
      <c r="D1042" s="10"/>
      <c r="E1042" s="21"/>
      <c r="F1042" s="22"/>
      <c r="G1042" s="6"/>
    </row>
    <row r="1043" spans="1:7" x14ac:dyDescent="0.35">
      <c r="A1043" s="13" t="s">
        <v>259</v>
      </c>
      <c r="B1043" s="8"/>
      <c r="C1043" s="9"/>
      <c r="D1043" s="10"/>
      <c r="E1043" s="21"/>
      <c r="F1043" s="22"/>
      <c r="G1043" s="6"/>
    </row>
    <row r="1044" spans="1:7" x14ac:dyDescent="0.35">
      <c r="A1044" s="13" t="s">
        <v>260</v>
      </c>
      <c r="B1044" s="8"/>
      <c r="C1044" s="9"/>
      <c r="D1044" s="10"/>
      <c r="E1044" s="21"/>
      <c r="F1044" s="22"/>
      <c r="G1044" s="6"/>
    </row>
    <row r="1045" spans="1:7" x14ac:dyDescent="0.35">
      <c r="A1045" s="13" t="s">
        <v>261</v>
      </c>
      <c r="B1045" s="8"/>
      <c r="C1045" s="9"/>
      <c r="D1045" s="10"/>
      <c r="E1045" s="21"/>
      <c r="F1045" s="22"/>
      <c r="G1045" s="6"/>
    </row>
    <row r="1046" spans="1:7" x14ac:dyDescent="0.35">
      <c r="A1046" s="13" t="s">
        <v>262</v>
      </c>
      <c r="B1046" s="8"/>
      <c r="C1046" s="9"/>
      <c r="D1046" s="10"/>
      <c r="E1046" s="21"/>
      <c r="F1046" s="22"/>
      <c r="G1046" s="6"/>
    </row>
    <row r="1047" spans="1:7" x14ac:dyDescent="0.35">
      <c r="A1047" s="13" t="s">
        <v>263</v>
      </c>
      <c r="B1047" s="8"/>
      <c r="C1047" s="9"/>
      <c r="D1047" s="10"/>
      <c r="E1047" s="21"/>
      <c r="F1047" s="22"/>
      <c r="G1047" s="6"/>
    </row>
    <row r="1048" spans="1:7" x14ac:dyDescent="0.35">
      <c r="A1048" s="13" t="s">
        <v>264</v>
      </c>
      <c r="B1048" s="8"/>
      <c r="C1048" s="9"/>
      <c r="D1048" s="10"/>
      <c r="E1048" s="21"/>
      <c r="F1048" s="22"/>
      <c r="G1048" s="6"/>
    </row>
    <row r="1049" spans="1:7" x14ac:dyDescent="0.35">
      <c r="A1049" s="13" t="s">
        <v>265</v>
      </c>
      <c r="B1049" s="8"/>
      <c r="C1049" s="9"/>
      <c r="D1049" s="10"/>
      <c r="E1049" s="21"/>
      <c r="F1049" s="22"/>
      <c r="G1049" s="6"/>
    </row>
    <row r="1050" spans="1:7" x14ac:dyDescent="0.35">
      <c r="A1050" s="13" t="s">
        <v>266</v>
      </c>
      <c r="B1050" s="8"/>
      <c r="C1050" s="9"/>
      <c r="D1050" s="10"/>
      <c r="E1050" s="21"/>
      <c r="F1050" s="22"/>
      <c r="G1050" s="6"/>
    </row>
    <row r="1051" spans="1:7" x14ac:dyDescent="0.35">
      <c r="A1051" s="13" t="s">
        <v>267</v>
      </c>
      <c r="B1051" s="8"/>
      <c r="C1051" s="9"/>
      <c r="D1051" s="10"/>
      <c r="E1051" s="21"/>
      <c r="F1051" s="22"/>
      <c r="G1051" s="6"/>
    </row>
    <row r="1052" spans="1:7" x14ac:dyDescent="0.35">
      <c r="A1052" s="13" t="s">
        <v>268</v>
      </c>
      <c r="B1052" s="8"/>
      <c r="C1052" s="9"/>
      <c r="D1052" s="10"/>
      <c r="E1052" s="21"/>
      <c r="F1052" s="22"/>
      <c r="G1052" s="6"/>
    </row>
    <row r="1053" spans="1:7" x14ac:dyDescent="0.35">
      <c r="A1053" s="13" t="s">
        <v>269</v>
      </c>
      <c r="B1053" s="8"/>
      <c r="C1053" s="9"/>
      <c r="D1053" s="10"/>
      <c r="E1053" s="21"/>
      <c r="F1053" s="22"/>
      <c r="G1053" s="6"/>
    </row>
    <row r="1054" spans="1:7" x14ac:dyDescent="0.35">
      <c r="A1054" s="13" t="s">
        <v>270</v>
      </c>
      <c r="B1054" s="8"/>
      <c r="C1054" s="9"/>
      <c r="D1054" s="10"/>
      <c r="E1054" s="21"/>
      <c r="F1054" s="22"/>
      <c r="G1054" s="6"/>
    </row>
    <row r="1055" spans="1:7" x14ac:dyDescent="0.35">
      <c r="A1055" s="13" t="s">
        <v>271</v>
      </c>
      <c r="B1055" s="8"/>
      <c r="C1055" s="9"/>
      <c r="D1055" s="10"/>
      <c r="E1055" s="21"/>
      <c r="F1055" s="22"/>
      <c r="G1055" s="6"/>
    </row>
    <row r="1056" spans="1:7" x14ac:dyDescent="0.35">
      <c r="A1056" s="2"/>
      <c r="B1056" s="2"/>
      <c r="C1056" s="2"/>
      <c r="D1056" s="2"/>
      <c r="E1056" s="2"/>
      <c r="F1056" s="2"/>
      <c r="G1056" s="2"/>
    </row>
    <row r="1057" spans="1:7" x14ac:dyDescent="0.35">
      <c r="A1057" s="13" t="s">
        <v>39</v>
      </c>
      <c r="B1057" s="15" t="s">
        <v>0</v>
      </c>
      <c r="C1057" s="16" t="s">
        <v>1</v>
      </c>
      <c r="D1057" s="17" t="s">
        <v>2</v>
      </c>
      <c r="E1057" s="24" t="s">
        <v>3</v>
      </c>
      <c r="F1057" s="23" t="s">
        <v>4</v>
      </c>
      <c r="G1057" s="18" t="s">
        <v>5</v>
      </c>
    </row>
    <row r="1058" spans="1:7" x14ac:dyDescent="0.35">
      <c r="A1058" s="13" t="s">
        <v>242</v>
      </c>
      <c r="B1058" s="8"/>
      <c r="C1058" s="9"/>
      <c r="D1058" s="10"/>
      <c r="E1058" s="21"/>
      <c r="F1058" s="22"/>
      <c r="G1058" s="6"/>
    </row>
    <row r="1059" spans="1:7" x14ac:dyDescent="0.35">
      <c r="A1059" s="13" t="s">
        <v>243</v>
      </c>
      <c r="B1059" s="8"/>
      <c r="C1059" s="9"/>
      <c r="D1059" s="10"/>
      <c r="E1059" s="21"/>
      <c r="F1059" s="22"/>
      <c r="G1059" s="6"/>
    </row>
    <row r="1060" spans="1:7" x14ac:dyDescent="0.35">
      <c r="A1060" s="13" t="s">
        <v>244</v>
      </c>
      <c r="B1060" s="8"/>
      <c r="C1060" s="9"/>
      <c r="D1060" s="10"/>
      <c r="E1060" s="21"/>
      <c r="F1060" s="22"/>
      <c r="G1060" s="6"/>
    </row>
    <row r="1061" spans="1:7" x14ac:dyDescent="0.35">
      <c r="A1061" s="13" t="s">
        <v>245</v>
      </c>
      <c r="B1061" s="8"/>
      <c r="C1061" s="9"/>
      <c r="D1061" s="10"/>
      <c r="E1061" s="21"/>
      <c r="F1061" s="22"/>
      <c r="G1061" s="6"/>
    </row>
    <row r="1062" spans="1:7" x14ac:dyDescent="0.35">
      <c r="A1062" s="13" t="s">
        <v>246</v>
      </c>
      <c r="B1062" s="8"/>
      <c r="C1062" s="9"/>
      <c r="D1062" s="10"/>
      <c r="E1062" s="21"/>
      <c r="F1062" s="22"/>
      <c r="G1062" s="6"/>
    </row>
    <row r="1063" spans="1:7" x14ac:dyDescent="0.35">
      <c r="A1063" s="13" t="s">
        <v>247</v>
      </c>
      <c r="B1063" s="8"/>
      <c r="C1063" s="9"/>
      <c r="D1063" s="10"/>
      <c r="E1063" s="21"/>
      <c r="F1063" s="22"/>
      <c r="G1063" s="6"/>
    </row>
    <row r="1064" spans="1:7" x14ac:dyDescent="0.35">
      <c r="A1064" s="13" t="s">
        <v>248</v>
      </c>
      <c r="B1064" s="8"/>
      <c r="C1064" s="9"/>
      <c r="D1064" s="10"/>
      <c r="E1064" s="21"/>
      <c r="F1064" s="22"/>
      <c r="G1064" s="6"/>
    </row>
    <row r="1065" spans="1:7" x14ac:dyDescent="0.35">
      <c r="A1065" s="13" t="s">
        <v>249</v>
      </c>
      <c r="B1065" s="8"/>
      <c r="C1065" s="9"/>
      <c r="D1065" s="10"/>
      <c r="E1065" s="21"/>
      <c r="F1065" s="22"/>
      <c r="G1065" s="6"/>
    </row>
    <row r="1066" spans="1:7" x14ac:dyDescent="0.35">
      <c r="A1066" s="13" t="s">
        <v>250</v>
      </c>
      <c r="B1066" s="8"/>
      <c r="C1066" s="9"/>
      <c r="D1066" s="10"/>
      <c r="E1066" s="21"/>
      <c r="F1066" s="22"/>
      <c r="G1066" s="6"/>
    </row>
    <row r="1067" spans="1:7" x14ac:dyDescent="0.35">
      <c r="A1067" s="13" t="s">
        <v>251</v>
      </c>
      <c r="B1067" s="8"/>
      <c r="C1067" s="9"/>
      <c r="D1067" s="10"/>
      <c r="E1067" s="21"/>
      <c r="F1067" s="22"/>
      <c r="G1067" s="6"/>
    </row>
    <row r="1068" spans="1:7" x14ac:dyDescent="0.35">
      <c r="A1068" s="13" t="s">
        <v>252</v>
      </c>
      <c r="B1068" s="8"/>
      <c r="C1068" s="9"/>
      <c r="D1068" s="10"/>
      <c r="E1068" s="21"/>
      <c r="F1068" s="22"/>
      <c r="G1068" s="6"/>
    </row>
    <row r="1069" spans="1:7" x14ac:dyDescent="0.35">
      <c r="A1069" s="13" t="s">
        <v>253</v>
      </c>
      <c r="B1069" s="8"/>
      <c r="C1069" s="9"/>
      <c r="D1069" s="10"/>
      <c r="E1069" s="21"/>
      <c r="F1069" s="22"/>
      <c r="G1069" s="6"/>
    </row>
    <row r="1070" spans="1:7" x14ac:dyDescent="0.35">
      <c r="A1070" s="13" t="s">
        <v>254</v>
      </c>
      <c r="B1070" s="8"/>
      <c r="C1070" s="9"/>
      <c r="D1070" s="10"/>
      <c r="E1070" s="21"/>
      <c r="F1070" s="22"/>
      <c r="G1070" s="6"/>
    </row>
    <row r="1071" spans="1:7" x14ac:dyDescent="0.35">
      <c r="A1071" s="13" t="s">
        <v>255</v>
      </c>
      <c r="B1071" s="8"/>
      <c r="C1071" s="9"/>
      <c r="D1071" s="10"/>
      <c r="E1071" s="21"/>
      <c r="F1071" s="22"/>
      <c r="G1071" s="6"/>
    </row>
    <row r="1072" spans="1:7" x14ac:dyDescent="0.35">
      <c r="A1072" s="13" t="s">
        <v>256</v>
      </c>
      <c r="B1072" s="8"/>
      <c r="C1072" s="9"/>
      <c r="D1072" s="10"/>
      <c r="E1072" s="21"/>
      <c r="F1072" s="22"/>
      <c r="G1072" s="6"/>
    </row>
    <row r="1073" spans="1:7" x14ac:dyDescent="0.35">
      <c r="A1073" s="13" t="s">
        <v>257</v>
      </c>
      <c r="B1073" s="8"/>
      <c r="C1073" s="9"/>
      <c r="D1073" s="10"/>
      <c r="E1073" s="21"/>
      <c r="F1073" s="22"/>
      <c r="G1073" s="6"/>
    </row>
    <row r="1074" spans="1:7" x14ac:dyDescent="0.35">
      <c r="A1074" s="13" t="s">
        <v>258</v>
      </c>
      <c r="B1074" s="8"/>
      <c r="C1074" s="9"/>
      <c r="D1074" s="10"/>
      <c r="E1074" s="21"/>
      <c r="F1074" s="22"/>
      <c r="G1074" s="6"/>
    </row>
    <row r="1075" spans="1:7" x14ac:dyDescent="0.35">
      <c r="A1075" s="13" t="s">
        <v>259</v>
      </c>
      <c r="B1075" s="8"/>
      <c r="C1075" s="9"/>
      <c r="D1075" s="10"/>
      <c r="E1075" s="21"/>
      <c r="F1075" s="22"/>
      <c r="G1075" s="6"/>
    </row>
    <row r="1076" spans="1:7" x14ac:dyDescent="0.35">
      <c r="A1076" s="13" t="s">
        <v>260</v>
      </c>
      <c r="B1076" s="8"/>
      <c r="C1076" s="9"/>
      <c r="D1076" s="10"/>
      <c r="E1076" s="21"/>
      <c r="F1076" s="22"/>
      <c r="G1076" s="6"/>
    </row>
    <row r="1077" spans="1:7" x14ac:dyDescent="0.35">
      <c r="A1077" s="13" t="s">
        <v>261</v>
      </c>
      <c r="B1077" s="8"/>
      <c r="C1077" s="9"/>
      <c r="D1077" s="10"/>
      <c r="E1077" s="21"/>
      <c r="F1077" s="22"/>
      <c r="G1077" s="6"/>
    </row>
    <row r="1078" spans="1:7" x14ac:dyDescent="0.35">
      <c r="A1078" s="13" t="s">
        <v>262</v>
      </c>
      <c r="B1078" s="8"/>
      <c r="C1078" s="9"/>
      <c r="D1078" s="10"/>
      <c r="E1078" s="21"/>
      <c r="F1078" s="22"/>
      <c r="G1078" s="6"/>
    </row>
    <row r="1079" spans="1:7" x14ac:dyDescent="0.35">
      <c r="A1079" s="13" t="s">
        <v>263</v>
      </c>
      <c r="B1079" s="8"/>
      <c r="C1079" s="9"/>
      <c r="D1079" s="10"/>
      <c r="E1079" s="21"/>
      <c r="F1079" s="22"/>
      <c r="G1079" s="6"/>
    </row>
    <row r="1080" spans="1:7" x14ac:dyDescent="0.35">
      <c r="A1080" s="13" t="s">
        <v>264</v>
      </c>
      <c r="B1080" s="8"/>
      <c r="C1080" s="9"/>
      <c r="D1080" s="10"/>
      <c r="E1080" s="21"/>
      <c r="F1080" s="22"/>
      <c r="G1080" s="6"/>
    </row>
    <row r="1081" spans="1:7" x14ac:dyDescent="0.35">
      <c r="A1081" s="13" t="s">
        <v>265</v>
      </c>
      <c r="B1081" s="8"/>
      <c r="C1081" s="9"/>
      <c r="D1081" s="10"/>
      <c r="E1081" s="21"/>
      <c r="F1081" s="22"/>
      <c r="G1081" s="6"/>
    </row>
    <row r="1082" spans="1:7" x14ac:dyDescent="0.35">
      <c r="A1082" s="13" t="s">
        <v>266</v>
      </c>
      <c r="B1082" s="8"/>
      <c r="C1082" s="9"/>
      <c r="D1082" s="10"/>
      <c r="E1082" s="21"/>
      <c r="F1082" s="22"/>
      <c r="G1082" s="6"/>
    </row>
    <row r="1083" spans="1:7" x14ac:dyDescent="0.35">
      <c r="A1083" s="13" t="s">
        <v>267</v>
      </c>
      <c r="B1083" s="8"/>
      <c r="C1083" s="9"/>
      <c r="D1083" s="10"/>
      <c r="E1083" s="21"/>
      <c r="F1083" s="22"/>
      <c r="G1083" s="6"/>
    </row>
    <row r="1084" spans="1:7" x14ac:dyDescent="0.35">
      <c r="A1084" s="13" t="s">
        <v>268</v>
      </c>
      <c r="B1084" s="8"/>
      <c r="C1084" s="9"/>
      <c r="D1084" s="10"/>
      <c r="E1084" s="21"/>
      <c r="F1084" s="22"/>
      <c r="G1084" s="6"/>
    </row>
    <row r="1085" spans="1:7" x14ac:dyDescent="0.35">
      <c r="A1085" s="13" t="s">
        <v>269</v>
      </c>
      <c r="B1085" s="8"/>
      <c r="C1085" s="9"/>
      <c r="D1085" s="10"/>
      <c r="E1085" s="21"/>
      <c r="F1085" s="22"/>
      <c r="G1085" s="6"/>
    </row>
    <row r="1086" spans="1:7" x14ac:dyDescent="0.35">
      <c r="A1086" s="13" t="s">
        <v>270</v>
      </c>
      <c r="B1086" s="8"/>
      <c r="C1086" s="9"/>
      <c r="D1086" s="10"/>
      <c r="E1086" s="21"/>
      <c r="F1086" s="22"/>
      <c r="G1086" s="6"/>
    </row>
    <row r="1087" spans="1:7" x14ac:dyDescent="0.35">
      <c r="A1087" s="13" t="s">
        <v>271</v>
      </c>
      <c r="B1087" s="8"/>
      <c r="C1087" s="9"/>
      <c r="D1087" s="10"/>
      <c r="E1087" s="21"/>
      <c r="F1087" s="22"/>
      <c r="G1087" s="6"/>
    </row>
    <row r="1088" spans="1:7" x14ac:dyDescent="0.35">
      <c r="A1088" s="2"/>
      <c r="B1088" s="2"/>
      <c r="C1088" s="2"/>
      <c r="D1088" s="2"/>
      <c r="E1088" s="2"/>
      <c r="F1088" s="2"/>
      <c r="G1088" s="2"/>
    </row>
    <row r="1089" spans="1:7" x14ac:dyDescent="0.35">
      <c r="A1089" s="13" t="s">
        <v>40</v>
      </c>
      <c r="B1089" s="15" t="s">
        <v>0</v>
      </c>
      <c r="C1089" s="16" t="s">
        <v>1</v>
      </c>
      <c r="D1089" s="17" t="s">
        <v>2</v>
      </c>
      <c r="E1089" s="24" t="s">
        <v>3</v>
      </c>
      <c r="F1089" s="23" t="s">
        <v>4</v>
      </c>
      <c r="G1089" s="18" t="s">
        <v>5</v>
      </c>
    </row>
    <row r="1090" spans="1:7" x14ac:dyDescent="0.35">
      <c r="A1090" s="13" t="s">
        <v>242</v>
      </c>
      <c r="B1090" s="8"/>
      <c r="C1090" s="9"/>
      <c r="D1090" s="10"/>
      <c r="E1090" s="21"/>
      <c r="F1090" s="22"/>
      <c r="G1090" s="6"/>
    </row>
    <row r="1091" spans="1:7" x14ac:dyDescent="0.35">
      <c r="A1091" s="13" t="s">
        <v>243</v>
      </c>
      <c r="B1091" s="8"/>
      <c r="C1091" s="9"/>
      <c r="D1091" s="10"/>
      <c r="E1091" s="21"/>
      <c r="F1091" s="22"/>
      <c r="G1091" s="6"/>
    </row>
    <row r="1092" spans="1:7" x14ac:dyDescent="0.35">
      <c r="A1092" s="13" t="s">
        <v>244</v>
      </c>
      <c r="B1092" s="8"/>
      <c r="C1092" s="9"/>
      <c r="D1092" s="10"/>
      <c r="E1092" s="21"/>
      <c r="F1092" s="22"/>
      <c r="G1092" s="6"/>
    </row>
    <row r="1093" spans="1:7" x14ac:dyDescent="0.35">
      <c r="A1093" s="13" t="s">
        <v>245</v>
      </c>
      <c r="B1093" s="8"/>
      <c r="C1093" s="9"/>
      <c r="D1093" s="10"/>
      <c r="E1093" s="21"/>
      <c r="F1093" s="22"/>
      <c r="G1093" s="6"/>
    </row>
    <row r="1094" spans="1:7" x14ac:dyDescent="0.35">
      <c r="A1094" s="13" t="s">
        <v>246</v>
      </c>
      <c r="B1094" s="8"/>
      <c r="C1094" s="9"/>
      <c r="D1094" s="10"/>
      <c r="E1094" s="21"/>
      <c r="F1094" s="22"/>
      <c r="G1094" s="6"/>
    </row>
    <row r="1095" spans="1:7" x14ac:dyDescent="0.35">
      <c r="A1095" s="13" t="s">
        <v>247</v>
      </c>
      <c r="B1095" s="8"/>
      <c r="C1095" s="9"/>
      <c r="D1095" s="10"/>
      <c r="E1095" s="21"/>
      <c r="F1095" s="22"/>
      <c r="G1095" s="6"/>
    </row>
    <row r="1096" spans="1:7" x14ac:dyDescent="0.35">
      <c r="A1096" s="13" t="s">
        <v>248</v>
      </c>
      <c r="B1096" s="8"/>
      <c r="C1096" s="9"/>
      <c r="D1096" s="10"/>
      <c r="E1096" s="21"/>
      <c r="F1096" s="22"/>
      <c r="G1096" s="6"/>
    </row>
    <row r="1097" spans="1:7" x14ac:dyDescent="0.35">
      <c r="A1097" s="13" t="s">
        <v>249</v>
      </c>
      <c r="B1097" s="8"/>
      <c r="C1097" s="9"/>
      <c r="D1097" s="10"/>
      <c r="E1097" s="21"/>
      <c r="F1097" s="22"/>
      <c r="G1097" s="6"/>
    </row>
    <row r="1098" spans="1:7" x14ac:dyDescent="0.35">
      <c r="A1098" s="13" t="s">
        <v>250</v>
      </c>
      <c r="B1098" s="8"/>
      <c r="C1098" s="9"/>
      <c r="D1098" s="10"/>
      <c r="E1098" s="21"/>
      <c r="F1098" s="22"/>
      <c r="G1098" s="6"/>
    </row>
    <row r="1099" spans="1:7" x14ac:dyDescent="0.35">
      <c r="A1099" s="13" t="s">
        <v>251</v>
      </c>
      <c r="B1099" s="8"/>
      <c r="C1099" s="9"/>
      <c r="D1099" s="10"/>
      <c r="E1099" s="21"/>
      <c r="F1099" s="22"/>
      <c r="G1099" s="6"/>
    </row>
    <row r="1100" spans="1:7" x14ac:dyDescent="0.35">
      <c r="A1100" s="13" t="s">
        <v>252</v>
      </c>
      <c r="B1100" s="8"/>
      <c r="C1100" s="9"/>
      <c r="D1100" s="10"/>
      <c r="E1100" s="21"/>
      <c r="F1100" s="22"/>
      <c r="G1100" s="6"/>
    </row>
    <row r="1101" spans="1:7" x14ac:dyDescent="0.35">
      <c r="A1101" s="13" t="s">
        <v>253</v>
      </c>
      <c r="B1101" s="8"/>
      <c r="C1101" s="9"/>
      <c r="D1101" s="10"/>
      <c r="E1101" s="21"/>
      <c r="F1101" s="22"/>
      <c r="G1101" s="6"/>
    </row>
    <row r="1102" spans="1:7" x14ac:dyDescent="0.35">
      <c r="A1102" s="13" t="s">
        <v>254</v>
      </c>
      <c r="B1102" s="8"/>
      <c r="C1102" s="9"/>
      <c r="D1102" s="10"/>
      <c r="E1102" s="21"/>
      <c r="F1102" s="22"/>
      <c r="G1102" s="6"/>
    </row>
    <row r="1103" spans="1:7" x14ac:dyDescent="0.35">
      <c r="A1103" s="13" t="s">
        <v>255</v>
      </c>
      <c r="B1103" s="8"/>
      <c r="C1103" s="9"/>
      <c r="D1103" s="10"/>
      <c r="E1103" s="21"/>
      <c r="F1103" s="22"/>
      <c r="G1103" s="6"/>
    </row>
    <row r="1104" spans="1:7" x14ac:dyDescent="0.35">
      <c r="A1104" s="13" t="s">
        <v>256</v>
      </c>
      <c r="B1104" s="8"/>
      <c r="C1104" s="9"/>
      <c r="D1104" s="10"/>
      <c r="E1104" s="21"/>
      <c r="F1104" s="22"/>
      <c r="G1104" s="6"/>
    </row>
    <row r="1105" spans="1:7" x14ac:dyDescent="0.35">
      <c r="A1105" s="13" t="s">
        <v>257</v>
      </c>
      <c r="B1105" s="8"/>
      <c r="C1105" s="9"/>
      <c r="D1105" s="10"/>
      <c r="E1105" s="21"/>
      <c r="F1105" s="22"/>
      <c r="G1105" s="6"/>
    </row>
    <row r="1106" spans="1:7" x14ac:dyDescent="0.35">
      <c r="A1106" s="13" t="s">
        <v>258</v>
      </c>
      <c r="B1106" s="8"/>
      <c r="C1106" s="9"/>
      <c r="D1106" s="10"/>
      <c r="E1106" s="21"/>
      <c r="F1106" s="22"/>
      <c r="G1106" s="6"/>
    </row>
    <row r="1107" spans="1:7" x14ac:dyDescent="0.35">
      <c r="A1107" s="13" t="s">
        <v>259</v>
      </c>
      <c r="B1107" s="8"/>
      <c r="C1107" s="9"/>
      <c r="D1107" s="10"/>
      <c r="E1107" s="21"/>
      <c r="F1107" s="22"/>
      <c r="G1107" s="6"/>
    </row>
    <row r="1108" spans="1:7" x14ac:dyDescent="0.35">
      <c r="A1108" s="13" t="s">
        <v>260</v>
      </c>
      <c r="B1108" s="8"/>
      <c r="C1108" s="9"/>
      <c r="D1108" s="10"/>
      <c r="E1108" s="21"/>
      <c r="F1108" s="22"/>
      <c r="G1108" s="6"/>
    </row>
    <row r="1109" spans="1:7" x14ac:dyDescent="0.35">
      <c r="A1109" s="13" t="s">
        <v>261</v>
      </c>
      <c r="B1109" s="8"/>
      <c r="C1109" s="9"/>
      <c r="D1109" s="10"/>
      <c r="E1109" s="21"/>
      <c r="F1109" s="22"/>
      <c r="G1109" s="6"/>
    </row>
    <row r="1110" spans="1:7" x14ac:dyDescent="0.35">
      <c r="A1110" s="13" t="s">
        <v>262</v>
      </c>
      <c r="B1110" s="8"/>
      <c r="C1110" s="9"/>
      <c r="D1110" s="10"/>
      <c r="E1110" s="21"/>
      <c r="F1110" s="22"/>
      <c r="G1110" s="6"/>
    </row>
    <row r="1111" spans="1:7" x14ac:dyDescent="0.35">
      <c r="A1111" s="13" t="s">
        <v>263</v>
      </c>
      <c r="B1111" s="8"/>
      <c r="C1111" s="9"/>
      <c r="D1111" s="10"/>
      <c r="E1111" s="21"/>
      <c r="F1111" s="22"/>
      <c r="G1111" s="6"/>
    </row>
    <row r="1112" spans="1:7" x14ac:dyDescent="0.35">
      <c r="A1112" s="13" t="s">
        <v>264</v>
      </c>
      <c r="B1112" s="8"/>
      <c r="C1112" s="9"/>
      <c r="D1112" s="10"/>
      <c r="E1112" s="21"/>
      <c r="F1112" s="22"/>
      <c r="G1112" s="6"/>
    </row>
    <row r="1113" spans="1:7" x14ac:dyDescent="0.35">
      <c r="A1113" s="13" t="s">
        <v>265</v>
      </c>
      <c r="B1113" s="8"/>
      <c r="C1113" s="9"/>
      <c r="D1113" s="10"/>
      <c r="E1113" s="21"/>
      <c r="F1113" s="22"/>
      <c r="G1113" s="6"/>
    </row>
    <row r="1114" spans="1:7" x14ac:dyDescent="0.35">
      <c r="A1114" s="13" t="s">
        <v>266</v>
      </c>
      <c r="B1114" s="8"/>
      <c r="C1114" s="9"/>
      <c r="D1114" s="10"/>
      <c r="E1114" s="21"/>
      <c r="F1114" s="22"/>
      <c r="G1114" s="6"/>
    </row>
    <row r="1115" spans="1:7" x14ac:dyDescent="0.35">
      <c r="A1115" s="13" t="s">
        <v>267</v>
      </c>
      <c r="B1115" s="8"/>
      <c r="C1115" s="9"/>
      <c r="D1115" s="10"/>
      <c r="E1115" s="21"/>
      <c r="F1115" s="22"/>
      <c r="G1115" s="6"/>
    </row>
    <row r="1116" spans="1:7" x14ac:dyDescent="0.35">
      <c r="A1116" s="13" t="s">
        <v>268</v>
      </c>
      <c r="B1116" s="8"/>
      <c r="C1116" s="9"/>
      <c r="D1116" s="10"/>
      <c r="E1116" s="21"/>
      <c r="F1116" s="22"/>
      <c r="G1116" s="6"/>
    </row>
    <row r="1117" spans="1:7" x14ac:dyDescent="0.35">
      <c r="A1117" s="13" t="s">
        <v>269</v>
      </c>
      <c r="B1117" s="8"/>
      <c r="C1117" s="9"/>
      <c r="D1117" s="10"/>
      <c r="E1117" s="21"/>
      <c r="F1117" s="22"/>
      <c r="G1117" s="6"/>
    </row>
    <row r="1118" spans="1:7" x14ac:dyDescent="0.35">
      <c r="A1118" s="13" t="s">
        <v>270</v>
      </c>
      <c r="B1118" s="8"/>
      <c r="C1118" s="9"/>
      <c r="D1118" s="10"/>
      <c r="E1118" s="21"/>
      <c r="F1118" s="22"/>
      <c r="G1118" s="6"/>
    </row>
    <row r="1119" spans="1:7" x14ac:dyDescent="0.35">
      <c r="A1119" s="13" t="s">
        <v>271</v>
      </c>
      <c r="B1119" s="8"/>
      <c r="C1119" s="9"/>
      <c r="D1119" s="10"/>
      <c r="E1119" s="21"/>
      <c r="F1119" s="22"/>
      <c r="G1119" s="6"/>
    </row>
    <row r="1120" spans="1:7" x14ac:dyDescent="0.35">
      <c r="A1120" s="2"/>
      <c r="B1120" s="2"/>
      <c r="C1120" s="2"/>
      <c r="D1120" s="2"/>
      <c r="E1120" s="2"/>
      <c r="F1120" s="2"/>
      <c r="G1120" s="2"/>
    </row>
    <row r="1121" spans="1:7" x14ac:dyDescent="0.35">
      <c r="A1121" s="13" t="s">
        <v>41</v>
      </c>
      <c r="B1121" s="15" t="s">
        <v>0</v>
      </c>
      <c r="C1121" s="16" t="s">
        <v>1</v>
      </c>
      <c r="D1121" s="17" t="s">
        <v>2</v>
      </c>
      <c r="E1121" s="24" t="s">
        <v>3</v>
      </c>
      <c r="F1121" s="23" t="s">
        <v>4</v>
      </c>
      <c r="G1121" s="18" t="s">
        <v>5</v>
      </c>
    </row>
    <row r="1122" spans="1:7" x14ac:dyDescent="0.35">
      <c r="A1122" s="13" t="s">
        <v>242</v>
      </c>
      <c r="B1122" s="8"/>
      <c r="C1122" s="9"/>
      <c r="D1122" s="10"/>
      <c r="E1122" s="21"/>
      <c r="F1122" s="22"/>
      <c r="G1122" s="6"/>
    </row>
    <row r="1123" spans="1:7" x14ac:dyDescent="0.35">
      <c r="A1123" s="13" t="s">
        <v>243</v>
      </c>
      <c r="B1123" s="8"/>
      <c r="C1123" s="9"/>
      <c r="D1123" s="10"/>
      <c r="E1123" s="21"/>
      <c r="F1123" s="22"/>
      <c r="G1123" s="6"/>
    </row>
    <row r="1124" spans="1:7" x14ac:dyDescent="0.35">
      <c r="A1124" s="13" t="s">
        <v>244</v>
      </c>
      <c r="B1124" s="8"/>
      <c r="C1124" s="9"/>
      <c r="D1124" s="10"/>
      <c r="E1124" s="21"/>
      <c r="F1124" s="22"/>
      <c r="G1124" s="6"/>
    </row>
    <row r="1125" spans="1:7" x14ac:dyDescent="0.35">
      <c r="A1125" s="13" t="s">
        <v>245</v>
      </c>
      <c r="B1125" s="8"/>
      <c r="C1125" s="9"/>
      <c r="D1125" s="10"/>
      <c r="E1125" s="21"/>
      <c r="F1125" s="22"/>
      <c r="G1125" s="6"/>
    </row>
    <row r="1126" spans="1:7" x14ac:dyDescent="0.35">
      <c r="A1126" s="13" t="s">
        <v>246</v>
      </c>
      <c r="B1126" s="8"/>
      <c r="C1126" s="9"/>
      <c r="D1126" s="10"/>
      <c r="E1126" s="21"/>
      <c r="F1126" s="22"/>
      <c r="G1126" s="6"/>
    </row>
    <row r="1127" spans="1:7" x14ac:dyDescent="0.35">
      <c r="A1127" s="13" t="s">
        <v>247</v>
      </c>
      <c r="B1127" s="8"/>
      <c r="C1127" s="9"/>
      <c r="D1127" s="10"/>
      <c r="E1127" s="21"/>
      <c r="F1127" s="22"/>
      <c r="G1127" s="6"/>
    </row>
    <row r="1128" spans="1:7" x14ac:dyDescent="0.35">
      <c r="A1128" s="13" t="s">
        <v>248</v>
      </c>
      <c r="B1128" s="8"/>
      <c r="C1128" s="9"/>
      <c r="D1128" s="10"/>
      <c r="E1128" s="21"/>
      <c r="F1128" s="22"/>
      <c r="G1128" s="6"/>
    </row>
    <row r="1129" spans="1:7" x14ac:dyDescent="0.35">
      <c r="A1129" s="13" t="s">
        <v>249</v>
      </c>
      <c r="B1129" s="8"/>
      <c r="C1129" s="9"/>
      <c r="D1129" s="10"/>
      <c r="E1129" s="21"/>
      <c r="F1129" s="22"/>
      <c r="G1129" s="6"/>
    </row>
    <row r="1130" spans="1:7" x14ac:dyDescent="0.35">
      <c r="A1130" s="13" t="s">
        <v>250</v>
      </c>
      <c r="B1130" s="8"/>
      <c r="C1130" s="9"/>
      <c r="D1130" s="10"/>
      <c r="E1130" s="21"/>
      <c r="F1130" s="22"/>
      <c r="G1130" s="6"/>
    </row>
    <row r="1131" spans="1:7" x14ac:dyDescent="0.35">
      <c r="A1131" s="13" t="s">
        <v>251</v>
      </c>
      <c r="B1131" s="8"/>
      <c r="C1131" s="9"/>
      <c r="D1131" s="10"/>
      <c r="E1131" s="21"/>
      <c r="F1131" s="22"/>
      <c r="G1131" s="6"/>
    </row>
    <row r="1132" spans="1:7" x14ac:dyDescent="0.35">
      <c r="A1132" s="13" t="s">
        <v>252</v>
      </c>
      <c r="B1132" s="8"/>
      <c r="C1132" s="9"/>
      <c r="D1132" s="10"/>
      <c r="E1132" s="21"/>
      <c r="F1132" s="22"/>
      <c r="G1132" s="6"/>
    </row>
    <row r="1133" spans="1:7" x14ac:dyDescent="0.35">
      <c r="A1133" s="13" t="s">
        <v>253</v>
      </c>
      <c r="B1133" s="8"/>
      <c r="C1133" s="9"/>
      <c r="D1133" s="10"/>
      <c r="E1133" s="21"/>
      <c r="F1133" s="22"/>
      <c r="G1133" s="6"/>
    </row>
    <row r="1134" spans="1:7" x14ac:dyDescent="0.35">
      <c r="A1134" s="13" t="s">
        <v>254</v>
      </c>
      <c r="B1134" s="8"/>
      <c r="C1134" s="9"/>
      <c r="D1134" s="10"/>
      <c r="E1134" s="21"/>
      <c r="F1134" s="22"/>
      <c r="G1134" s="6"/>
    </row>
    <row r="1135" spans="1:7" x14ac:dyDescent="0.35">
      <c r="A1135" s="13" t="s">
        <v>255</v>
      </c>
      <c r="B1135" s="8"/>
      <c r="C1135" s="9"/>
      <c r="D1135" s="10"/>
      <c r="E1135" s="21"/>
      <c r="F1135" s="22"/>
      <c r="G1135" s="6"/>
    </row>
    <row r="1136" spans="1:7" x14ac:dyDescent="0.35">
      <c r="A1136" s="13" t="s">
        <v>256</v>
      </c>
      <c r="B1136" s="8"/>
      <c r="C1136" s="9"/>
      <c r="D1136" s="10"/>
      <c r="E1136" s="21"/>
      <c r="F1136" s="22"/>
      <c r="G1136" s="6"/>
    </row>
    <row r="1137" spans="1:7" x14ac:dyDescent="0.35">
      <c r="A1137" s="13" t="s">
        <v>257</v>
      </c>
      <c r="B1137" s="8"/>
      <c r="C1137" s="9"/>
      <c r="D1137" s="10"/>
      <c r="E1137" s="21"/>
      <c r="F1137" s="22"/>
      <c r="G1137" s="6"/>
    </row>
    <row r="1138" spans="1:7" x14ac:dyDescent="0.35">
      <c r="A1138" s="13" t="s">
        <v>258</v>
      </c>
      <c r="B1138" s="8"/>
      <c r="C1138" s="9"/>
      <c r="D1138" s="10"/>
      <c r="E1138" s="21"/>
      <c r="F1138" s="22"/>
      <c r="G1138" s="6"/>
    </row>
    <row r="1139" spans="1:7" x14ac:dyDescent="0.35">
      <c r="A1139" s="13" t="s">
        <v>259</v>
      </c>
      <c r="B1139" s="8"/>
      <c r="C1139" s="9"/>
      <c r="D1139" s="10"/>
      <c r="E1139" s="21"/>
      <c r="F1139" s="22"/>
      <c r="G1139" s="6"/>
    </row>
    <row r="1140" spans="1:7" x14ac:dyDescent="0.35">
      <c r="A1140" s="13" t="s">
        <v>260</v>
      </c>
      <c r="B1140" s="8"/>
      <c r="C1140" s="9"/>
      <c r="D1140" s="10"/>
      <c r="E1140" s="21"/>
      <c r="F1140" s="22"/>
      <c r="G1140" s="6"/>
    </row>
    <row r="1141" spans="1:7" x14ac:dyDescent="0.35">
      <c r="A1141" s="13" t="s">
        <v>261</v>
      </c>
      <c r="B1141" s="8"/>
      <c r="C1141" s="9"/>
      <c r="D1141" s="10"/>
      <c r="E1141" s="21"/>
      <c r="F1141" s="22"/>
      <c r="G1141" s="6"/>
    </row>
    <row r="1142" spans="1:7" x14ac:dyDescent="0.35">
      <c r="A1142" s="13" t="s">
        <v>262</v>
      </c>
      <c r="B1142" s="8"/>
      <c r="C1142" s="9"/>
      <c r="D1142" s="10"/>
      <c r="E1142" s="21"/>
      <c r="F1142" s="22"/>
      <c r="G1142" s="6"/>
    </row>
    <row r="1143" spans="1:7" x14ac:dyDescent="0.35">
      <c r="A1143" s="13" t="s">
        <v>263</v>
      </c>
      <c r="B1143" s="8"/>
      <c r="C1143" s="9"/>
      <c r="D1143" s="10"/>
      <c r="E1143" s="21"/>
      <c r="F1143" s="22"/>
      <c r="G1143" s="6"/>
    </row>
    <row r="1144" spans="1:7" x14ac:dyDescent="0.35">
      <c r="A1144" s="13" t="s">
        <v>264</v>
      </c>
      <c r="B1144" s="8"/>
      <c r="C1144" s="9"/>
      <c r="D1144" s="10"/>
      <c r="E1144" s="21"/>
      <c r="F1144" s="22"/>
      <c r="G1144" s="6"/>
    </row>
    <row r="1145" spans="1:7" x14ac:dyDescent="0.35">
      <c r="A1145" s="13" t="s">
        <v>265</v>
      </c>
      <c r="B1145" s="8"/>
      <c r="C1145" s="9"/>
      <c r="D1145" s="10"/>
      <c r="E1145" s="21"/>
      <c r="F1145" s="22"/>
      <c r="G1145" s="6"/>
    </row>
    <row r="1146" spans="1:7" x14ac:dyDescent="0.35">
      <c r="A1146" s="13" t="s">
        <v>266</v>
      </c>
      <c r="B1146" s="8"/>
      <c r="C1146" s="9"/>
      <c r="D1146" s="10"/>
      <c r="E1146" s="21"/>
      <c r="F1146" s="22"/>
      <c r="G1146" s="6"/>
    </row>
    <row r="1147" spans="1:7" x14ac:dyDescent="0.35">
      <c r="A1147" s="13" t="s">
        <v>267</v>
      </c>
      <c r="B1147" s="8"/>
      <c r="C1147" s="9"/>
      <c r="D1147" s="10"/>
      <c r="E1147" s="21"/>
      <c r="F1147" s="22"/>
      <c r="G1147" s="6"/>
    </row>
    <row r="1148" spans="1:7" x14ac:dyDescent="0.35">
      <c r="A1148" s="13" t="s">
        <v>268</v>
      </c>
      <c r="B1148" s="8"/>
      <c r="C1148" s="9"/>
      <c r="D1148" s="10"/>
      <c r="E1148" s="21"/>
      <c r="F1148" s="22"/>
      <c r="G1148" s="6"/>
    </row>
    <row r="1149" spans="1:7" x14ac:dyDescent="0.35">
      <c r="A1149" s="13" t="s">
        <v>269</v>
      </c>
      <c r="B1149" s="8"/>
      <c r="C1149" s="9"/>
      <c r="D1149" s="10"/>
      <c r="E1149" s="21"/>
      <c r="F1149" s="22"/>
      <c r="G1149" s="6"/>
    </row>
    <row r="1150" spans="1:7" x14ac:dyDescent="0.35">
      <c r="A1150" s="13" t="s">
        <v>270</v>
      </c>
      <c r="B1150" s="8"/>
      <c r="C1150" s="9"/>
      <c r="D1150" s="10"/>
      <c r="E1150" s="21"/>
      <c r="F1150" s="22"/>
      <c r="G1150" s="6"/>
    </row>
    <row r="1151" spans="1:7" x14ac:dyDescent="0.35">
      <c r="A1151" s="13" t="s">
        <v>271</v>
      </c>
      <c r="B1151" s="8"/>
      <c r="C1151" s="9"/>
      <c r="D1151" s="10"/>
      <c r="E1151" s="21"/>
      <c r="F1151" s="22"/>
      <c r="G1151" s="6"/>
    </row>
  </sheetData>
  <pageMargins left="0.7" right="0.7" top="0.75" bottom="0.75" header="0.3" footer="0.3"/>
  <pageSetup orientation="portrait" r:id="rId1"/>
  <headerFooter>
    <oddHeader>&amp;L&amp;"Aptos"&amp;12&amp;K03C03C Public&amp;1#_x000D_</oddHeader>
  </headerFooter>
  <ignoredErrors>
    <ignoredError sqref="D28 F16 E56 C58 F36 D81 E82 G66 G68 G91" twoDigitTextYear="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30AF7-749B-4B92-8376-DD49F3BE6161}">
  <dimension ref="A1:T1151"/>
  <sheetViews>
    <sheetView zoomScaleNormal="100" workbookViewId="0">
      <selection activeCell="E87" sqref="E87"/>
    </sheetView>
  </sheetViews>
  <sheetFormatPr defaultRowHeight="14.5" x14ac:dyDescent="0.35"/>
  <cols>
    <col min="1" max="1" width="16.81640625" customWidth="1"/>
    <col min="2" max="7" width="18.54296875" customWidth="1"/>
    <col min="8" max="8" width="8.7265625" style="2"/>
    <col min="10" max="10" width="11.7265625" style="37" bestFit="1" customWidth="1"/>
    <col min="11" max="20" width="14.54296875" style="37" customWidth="1"/>
  </cols>
  <sheetData>
    <row r="1" spans="1:20" x14ac:dyDescent="0.35">
      <c r="A1" s="13" t="s">
        <v>6</v>
      </c>
      <c r="B1" s="15" t="s">
        <v>0</v>
      </c>
      <c r="C1" s="16" t="s">
        <v>1</v>
      </c>
      <c r="D1" s="17" t="s">
        <v>2</v>
      </c>
      <c r="E1" s="24" t="s">
        <v>3</v>
      </c>
      <c r="F1" s="23" t="s">
        <v>4</v>
      </c>
      <c r="G1" s="18" t="s">
        <v>5</v>
      </c>
      <c r="J1" s="190" t="s">
        <v>305</v>
      </c>
      <c r="K1" s="191" t="s">
        <v>0</v>
      </c>
      <c r="L1" s="192" t="s">
        <v>1</v>
      </c>
      <c r="M1" s="193" t="s">
        <v>2</v>
      </c>
      <c r="N1" s="194" t="s">
        <v>3</v>
      </c>
      <c r="O1" s="195" t="s">
        <v>4</v>
      </c>
      <c r="P1" s="196" t="s">
        <v>5</v>
      </c>
    </row>
    <row r="2" spans="1:20" x14ac:dyDescent="0.35">
      <c r="A2" s="13" t="s">
        <v>242</v>
      </c>
      <c r="B2" s="218">
        <v>10</v>
      </c>
      <c r="C2" s="219">
        <v>10</v>
      </c>
      <c r="D2" s="220">
        <v>10</v>
      </c>
      <c r="E2" s="221">
        <v>10</v>
      </c>
      <c r="F2" s="54">
        <v>10</v>
      </c>
      <c r="G2" s="177"/>
      <c r="J2" s="190">
        <v>1</v>
      </c>
      <c r="K2" s="197">
        <f>SUM(B2,B12,B22,B34,B44,B54,B66,B76,B86,B98,B108,B118,B130,B140,B150,B162,B172,B182,B194,B204,B214,B226,B236,B246,B258,B268,B278,B290,B300,B310,B322,B332,B342,B354,B364,B374,B386,B396,B406,B418,B428,B438,B450,B460,B470,B482,B492,B502,B514,B524,B534,B546,B556,B566,B578,B588,B598,B610,B620,B630,B642,B652,B662,B674,B684,B694,B706,B716,B726,B738,B748,B758,B770,B780,B790,B802,B812,B822,B834,B844,B854,B866,B876,B886,B898,B908,B918,B930,B940,B950,B962,B972,B982,B994,B1004,B1014,B1026,B1036,B1046,B1058,B1068,B1078,B1090,B1100,B1110,B1122,B1132,B1142)/(Misc!$I$2*3)</f>
        <v>9.8333333333333339</v>
      </c>
      <c r="L2" s="58">
        <f>SUM(C2,C12,C22,C34,C44,C54,C66,C76,C86,C98,C108,C118,C130,C140,C150,C162,C172,C182,C194,C204,C214,C226,C236,C246,C258,C268,C278,C290,C300,C310,C322,C332,C342,C354,C364,C374,C386,C396,C406,C418,C428,C438,C450,C460,C470,C482,C492,C502,C514,C524,C534,C546,C556,C566,C578,C588,C598,C610,C620,C630,C642,C652,C662,C674,C684,C694,C706,C716,C726,C738,C748,C758,C770,C780,C790,C802,C812,C822,C834,C844,C854,C866,C876,C886,C898,C908,C918,C930,C940,C950,C962,C972,C982,C994,C1004,C1014,C1026,C1036,C1046,C1058,C1068,C1078,C1090,C1100,C1110,C1122,C1132,C1142)/(Misc!$I$3*3)</f>
        <v>10</v>
      </c>
      <c r="M2" s="62">
        <f>SUM(D2,D12,D22,D34,D44,D54,D66,D76,D86,D98,D108,D118,D130,D140,D150,D162,D172,D182,D194,D204,D214,D226,D236,D246,D258,D268,D278,D290,D300,D310,D322,D332,D342,D354,D364,D374,D386,D396,D406,D418,D428,D438,D450,D460,D470,D482,D492,D502,D514,D524,D534,D546,D556,D566,D578,D588,D598,D610,D620,D630,D642,D652,D662,D674,D684,D694,D706,D716,D726,D738,D748,D758,D770,D780,D790,D802,D812,D822,D834,D844,D854,D866,D876,D886,D898,D908,D918,D930,D940,D950,D962,D972,D982,D994,D1004,D1014,D1026,D1036,D1046,D1058,D1068,D1078,D1090,D1100,D1110,D1122,D1132,D1142)/(Misc!$I$4*3)</f>
        <v>9.5555555555555554</v>
      </c>
      <c r="N2" s="67">
        <f>SUM(E2,E12,E22,E34,E44,E54,E66,E76,E86,E98,E108,E118,E130,E140,E150,E162,E172,E182,E194,E204,E214,E226,E236,E246,E258,E268,E278,E290,E300,E310,E322,E332,E342,E354,E364,E374,E386,E396,E406,E418,E428,E438,E450,E460,E470,E482,E492,E502,E514,E524,E534,E546,E556,E566,E578,E588,E598,E610,E620,E630,E642,E652,E662,E674,E684,E694,E706,E716,E726,E738,E748,E758,E770,E780,E790,E802,E812,E822,E834,E844,E854,E866,E876,E886,E898,E908,E918,E930,E940,E950,E962,E972,E982,E994,E1004,E1014,E1026,E1036,E1046,E1058,E1068,E1078,E1090,E1100,E1110,E1122,E1132,E1142)/(Misc!$I$5*3)</f>
        <v>9.8888888888888893</v>
      </c>
      <c r="O2" s="71">
        <f>SUM(F2,F12,F22,F34,F44,F54,F66,F76,F86,F98,F108,F118,F130,F140,F150,F162,F172,F182,F194,F204,F214,F226,F236,F246,F258,F268,F278,F290,F300,F310,F322,F332,F342,F354,F364,F374,F386,F396,F406,F418,F428,F438,F450,F460,F470,F482,F492,F502,F514,F524,F534,F546,F556,F566,F578,F588,F598,F610,F620,F630,F642,F652,F662,F674,F684,F694,F706,F716,F726,F738,F748,F758,F770,F780,F790,F802,F812,F822,F834,F844,F854,F866,F876,F886,F898,F908,F918,F930,F940,F950,F962,F972,F982,F994,F1004,F1014,F1026,F1036,F1046,F1058,F1068,F1078,F1090,F1100,F1110,F1122,F1132,F1142)/(Misc!$I$6*3)</f>
        <v>9.8333333333333339</v>
      </c>
      <c r="P2" s="227">
        <f>SUM(G2,G12,G22,G34,G44,G54,G66,G76,G86,G98,G108,G118,G130,G140,G150,G162,G172,G182,G194,G204,G214,G226,G236,G246,G258,G268,G278,G290,G300,G310,G322,G332,G342,G354,G364,G374,G386,G396,G406,G418,G428,G438,G450,G460,G470,G482,G492,G502,G514,G524,G534,G546,G556,G566,G578,G588,G598,G610,G620,G630,G642,G652,G662,G674,G684,G694,G706,G716,G726,G738,G748,G758,G770,G780,G790,G802,G812,G822,G834,G844,G854,G866,G876,G886,G898,G908,G918,G930,G940,G950,G962,G972,G982,G994,G1004,G1014,G1026,G1036,G1046,G1058,G1068,G1078,G1090,G1100,G1110,G1122,G1132,G1142)/(Ron!$L$2*3)</f>
        <v>9.3333333333333339</v>
      </c>
    </row>
    <row r="3" spans="1:20" x14ac:dyDescent="0.35">
      <c r="A3" s="13" t="s">
        <v>243</v>
      </c>
      <c r="B3" s="218">
        <v>10</v>
      </c>
      <c r="C3" s="219">
        <v>10</v>
      </c>
      <c r="D3" s="220">
        <v>10</v>
      </c>
      <c r="E3" s="221">
        <v>10</v>
      </c>
      <c r="F3" s="54">
        <v>10</v>
      </c>
      <c r="G3" s="177"/>
      <c r="J3" s="190">
        <v>2</v>
      </c>
      <c r="K3" s="197">
        <f>SUM(B3,B13,B23,B35,B45,B55,B67,B77,B87,B99,B109,B119,B131,B141,B151,B163,B173,B183,B195,B205,B215,B227,B237,B247,B259,B269,B279,B291,B301,B311,B323,B333,B343,B355,B365,B375,B387,B397,B407,B419,B429,B439,B451,B461,B471,B483,B493,B503,B515,B525,B535,B547,B557,B567,B579,B589,B599,B611,B621,B631,B643,B653,B663,B675,B685,B695,B707,B717,B727,B739,B749,B759,B771,B781,B791,B803,B813,B823,B835,B845,B855,B867,B877,B887,B899,B909,B919,B931,B941,B951,B963,B973,B983,B995,B1005,B1015,B1027,B1037,B1047,B1059,B1069,B1079,B1091,B1101,B1111,B1123,B1133,B1143)/(Misc!$I$2*3)</f>
        <v>9.6666666666666661</v>
      </c>
      <c r="L3" s="58">
        <f>SUM(C3,C13,C23,C35,C45,C55,C67,C77,C87,C99,C109,C119,C131,C141,C151,C163,C173,C183,C195,C205,C215,C227,C237,C247,C259,C269,C279,C291,C301,C311,C323,C333,C343,C355,C365,C375,C387,C397,C407,C419,C429,C439,C451,C461,C471,C483,C493,C503,C515,C525,C535,C547,C557,C567,C579,C589,C599,C611,C621,C631,C643,C653,C663,C675,C685,C695,C707,C717,C727,C739,C749,C759,C771,C781,C791,C803,C813,C823,C835,C845,C855,C867,C877,C887,C899,C909,C919,C931,C941,C951,C963,C973,C983,C995,C1005,C1015,C1027,C1037,C1047,C1059,C1069,C1079,C1091,C1101,C1111,C1123,C1133,C1143)/(Misc!$I$3*3)</f>
        <v>9.8888888888888893</v>
      </c>
      <c r="M3" s="62">
        <f>SUM(D3,D13,D23,D35,D45,D55,D67,D77,D87,D99,D109,D119,D131,D141,D151,D163,D173,D183,D195,D205,D215,D227,D237,D247,D259,D269,D279,D291,D301,D311,D323,D333,D343,D355,D365,D375,D387,D397,D407,D419,D429,D439,D451,D461,D471,D483,D493,D503,D515,D525,D535,D547,D557,D567,D579,D589,D599,D611,D621,D631,D643,D653,D663,D675,D685,D695,D707,D717,D727,D739,D749,D759,D771,D781,D791,D803,D813,D823,D835,D845,D855,D867,D877,D887,D899,D909,D919,D931,D941,D951,D963,D973,D983,D995,D1005,D1015,D1027,D1037,D1047,D1059,D1069,D1079,D1091,D1101,D1111,D1123,D1133,D1143)/(Misc!$I$4*3)</f>
        <v>9.8888888888888893</v>
      </c>
      <c r="N3" s="67">
        <f>SUM(E3,E13,E23,E35,E45,E55,E67,E77,E87,E99,E109,E119,E131,E141,E151,E163,E173,E183,E195,E205,E215,E227,E237,E247,E259,E269,E279,E291,E301,E311,E323,E333,E343,E355,E365,E375,E387,E397,E407,E419,E429,E439,E451,E461,E471,E483,E493,E503,E515,E525,E535,E547,E557,E567,E579,E589,E599,E611,E621,E631,E643,E653,E663,E675,E685,E695,E707,E717,E727,E739,E749,E759,E771,E781,E791,E803,E813,E823,E835,E845,E855,E867,E877,E887,E899,E909,E919,E931,E941,E951,E963,E973,E983,E995,E1005,E1015,E1027,E1037,E1047,E1059,E1069,E1079,E1091,E1101,E1111,E1123,E1133,E1143)/(Misc!$I$5*3)</f>
        <v>9.7777777777777786</v>
      </c>
      <c r="O3" s="71">
        <f>SUM(F3,F13,F23,F35,F45,F55,F67,F77,F87,F99,F109,F119,F131,F141,F151,F163,F173,F183,F195,F205,F215,F227,F237,F247,F259,F269,F279,F291,F301,F311,F323,F333,F343,F355,F365,F375,F387,F397,F407,F419,F429,F439,F451,F461,F471,F483,F493,F503,F515,F525,F535,F547,F557,F567,F579,F589,F599,F611,F621,F631,F643,F653,F663,F675,F685,F695,F707,F717,F727,F739,F749,F759,F771,F781,F791,F803,F813,F823,F835,F845,F855,F867,F877,F887,F899,F909,F919,F931,F941,F951,F963,F973,F983,F995,F1005,F1015,F1027,F1037,F1047,F1059,F1069,F1079,F1091,F1101,F1111,F1123,F1133,F1143)/(Misc!$I$6*3)</f>
        <v>9.1666666666666661</v>
      </c>
      <c r="P3" s="227">
        <f>SUM(G3,G13,G23,G35,G45,G55,G67,G77,G87,G99,G109,G119,G131,G141,G151,G163,G173,G183,G195,G205,G215,G227,G237,G247,G259,G269,G279,G291,G301,G311,G323,G333,G343,G355,G365,G375,G387,G397,G407,G419,G429,G439,G451,G461,G471,G483,G493,G503,G515,G525,G535,G547,G557,G567,G579,G589,G599,G611,G621,G631,G643,G653,G663,G675,G685,G695,G707,G717,G727,G739,G749,G759,G771,G781,G791,G803,G813,G823,G835,G845,G855,G867,G877,G887,G899,G909,G919,G931,G941,G951,G963,G973,G983,G995,G1005,G1015,G1027,G1037,G1047,G1059,G1069,G1079,G1091,G1101,G1111,G1123,G1133,G1143)/(Ron!$L$2*3)</f>
        <v>10</v>
      </c>
    </row>
    <row r="4" spans="1:20" x14ac:dyDescent="0.35">
      <c r="A4" s="13" t="s">
        <v>244</v>
      </c>
      <c r="B4" s="218">
        <v>10</v>
      </c>
      <c r="C4" s="219">
        <v>10</v>
      </c>
      <c r="D4" s="220">
        <v>10</v>
      </c>
      <c r="E4" s="221">
        <v>10</v>
      </c>
      <c r="F4" s="54">
        <v>10</v>
      </c>
      <c r="G4" s="177"/>
      <c r="J4" s="190">
        <v>3</v>
      </c>
      <c r="K4" s="197">
        <f>SUM(B4,B14,B24,B36,B46,B56,B68,B78,B88,B100,B110,B120,B132,B142,B152,B164,B174,B184,B196,B206,B216,B228,B238,B248,B260,B270,B280,B292,B302,B312,B324,B334,B344,B356,B366,B376,B388,B398,B408,B420,B430,B440,B452,B462,B472,B484,B494,B504,B516,B526,B536,B548,B558,B568,B580,B590,B600,B612,B622,B632,B644,B654,B664,B676,B686,B696,B708,B718,B728,B740,B750,B760,B772,B782,B792,B804,B814,B824,B836,B846,B856,B868,B878,B888,B900,B910,B920,B932,B942,B952,B964,B974,B984,B996,B1006,B1016,B1028,B1038,B1048,B1060,B1070,B1080,B1092,B1102,B1112,B1124,B1134,B1144)/(Misc!$I$2*3)</f>
        <v>10</v>
      </c>
      <c r="L4" s="58">
        <f>SUM(C4,C14,C24,C36,C46,C56,C68,C78,C88,C100,C110,C120,C132,C142,C152,C164,C174,C184,C196,C206,C216,C228,C238,C248,C260,C270,C280,C292,C302,C312,C324,C334,C344,C356,C366,C376,C388,C398,C408,C420,C430,C440,C452,C462,C472,C484,C494,C504,C516,C526,C536,C548,C558,C568,C580,C590,C600,C612,C622,C632,C644,C654,C664,C676,C686,C696,C708,C718,C728,C740,C750,C760,C772,C782,C792,C804,C814,C824,C836,C846,C856,C868,C878,C888,C900,C910,C920,C932,C942,C952,C964,C974,C984,C996,C1006,C1016,C1028,C1038,C1048,C1060,C1070,C1080,C1092,C1102,C1112,C1124,C1134,C1144)/(Misc!$I$3*3)</f>
        <v>9.8888888888888893</v>
      </c>
      <c r="M4" s="62">
        <f>SUM(D4,D14,D24,D36,D46,D56,D68,D78,D88,D100,D110,D120,D132,D142,D152,D164,D174,D184,D196,D206,D216,D228,D238,D248,D260,D270,D280,D292,D302,D312,D324,D334,D344,D356,D366,D376,D388,D398,D408,D420,D430,D440,D452,D462,D472,D484,D494,D504,D516,D526,D536,D548,D558,D568,D580,D590,D600,D612,D622,D632,D644,D654,D664,D676,D686,D696,D708,D718,D728,D740,D750,D760,D772,D782,D792,D804,D814,D824,D836,D846,D856,D868,D878,D888,D900,D910,D920,D932,D942,D952,D964,D974,D984,D996,D1006,D1016,D1028,D1038,D1048,D1060,D1070,D1080,D1092,D1102,D1112,D1124,D1134,D1144)/(Misc!$I$4*3)</f>
        <v>10</v>
      </c>
      <c r="N4" s="67">
        <f>SUM(E4,E14,E24,E36,E46,E56,E68,E78,E88,E100,E110,E120,E132,E142,E152,E164,E174,E184,E196,E206,E216,E228,E238,E248,E260,E270,E280,E292,E302,E312,E324,E334,E344,E356,E366,E376,E388,E398,E408,E420,E430,E440,E452,E462,E472,E484,E494,E504,E516,E526,E536,E548,E558,E568,E580,E590,E600,E612,E622,E632,E644,E654,E664,E676,E686,E696,E708,E718,E728,E740,E750,E760,E772,E782,E792,E804,E814,E824,E836,E846,E856,E868,E878,E888,E900,E910,E920,E932,E942,E952,E964,E974,E984,E996,E1006,E1016,E1028,E1038,E1048,E1060,E1070,E1080,E1092,E1102,E1112,E1124,E1134,E1144)/(Misc!$I$5*3)</f>
        <v>9.7777777777777786</v>
      </c>
      <c r="O4" s="71">
        <f>SUM(F4,F14,F24,F36,F46,F56,F68,F78,F88,F100,F110,F120,F132,F142,F152,F164,F174,F184,F196,F206,F216,F228,F238,F248,F260,F270,F280,F292,F302,F312,F324,F334,F344,F356,F366,F376,F388,F398,F408,F420,F430,F440,F452,F462,F472,F484,F494,F504,F516,F526,F536,F548,F558,F568,F580,F590,F600,F612,F622,F632,F644,F654,F664,F676,F686,F696,F708,F718,F728,F740,F750,F760,F772,F782,F792,F804,F814,F824,F836,F846,F856,F868,F878,F888,F900,F910,F920,F932,F942,F952,F964,F974,F984,F996,F1006,F1016,F1028,F1038,F1048,F1060,F1070,F1080,F1092,F1102,F1112,F1124,F1134,F1144)/(Misc!$I$6*3)</f>
        <v>9.6666666666666661</v>
      </c>
      <c r="P4" s="227">
        <f>SUM(G4,G14,G24,G36,G46,G56,G68,G78,G88,G100,G110,G120,G132,G142,G152,G164,G174,G184,G196,G206,G216,G228,G238,G248,G260,G270,G280,G292,G302,G312,G324,G334,G344,G356,G366,G376,G388,G398,G408,G420,G430,G440,G452,G462,G472,G484,G494,G504,G516,G526,G536,G548,G558,G568,G580,G590,G600,G612,G622,G632,G644,G654,G664,G676,G686,G696,G708,G718,G728,G740,G750,G760,G772,G782,G792,G804,G814,G824,G836,G846,G856,G868,G878,G888,G900,G910,G920,G932,G942,G952,G964,G974,G984,G996,G1006,G1016,G1028,G1038,G1048,G1060,G1070,G1080,G1092,G1102,G1112,G1124,G1134,G1144)/(Ron!$L$2*3)</f>
        <v>9.3333333333333339</v>
      </c>
    </row>
    <row r="5" spans="1:20" x14ac:dyDescent="0.35">
      <c r="A5" s="13" t="s">
        <v>245</v>
      </c>
      <c r="B5" s="218">
        <v>10</v>
      </c>
      <c r="C5" s="219">
        <v>10</v>
      </c>
      <c r="D5" s="220">
        <v>10</v>
      </c>
      <c r="E5" s="221">
        <v>9</v>
      </c>
      <c r="F5" s="54">
        <v>10</v>
      </c>
      <c r="G5" s="177"/>
      <c r="J5" s="190">
        <v>4</v>
      </c>
      <c r="K5" s="197">
        <f>SUM(B5,B15,B25,B37,B47,B57,B69,B79,B89,B101,B111,B121,B133,B143,B153,B165,B175,B185,B197,B207,B217,B229,B239,B249,B261,B271,B281,B293,B303,B313,B325,B335,B345,B357,B367,B377,B389,B399,B409,B421,B431,B441,B453,B463,B473,B485,B495,B505,B517,B527,B537,B549,B559,B569,B581,B591,B601,B613,B623,B633,B645,B655,B665,B677,B687,B697,B709,B719,B729,B741,B751,B761,B773,B783,B793,B805,B815,B825,B837,B847,B857,B869,B879,B889,B901,B911,B921,B933,B943,B953,B965,B975,B985,B997,B1007,B1017,B1029,B1039,B1049,B1061,B1071,B1081,B1093,B1103,B1113,B1125,B1135,B1145)/(Misc!$I$2*3)</f>
        <v>9.8333333333333339</v>
      </c>
      <c r="L5" s="58">
        <f>SUM(C5,C15,C25,C37,C47,C57,C69,C79,C89,C101,C111,C121,C133,C143,C153,C165,C175,C185,C197,C207,C217,C229,C239,C249,C261,C271,C281,C293,C303,C313,C325,C335,C345,C357,C367,C377,C389,C399,C409,C421,C431,C441,C453,C463,C473,C485,C495,C505,C517,C527,C537,C549,C559,C569,C581,C591,C601,C613,C623,C633,C645,C655,C665,C677,C687,C697,C709,C719,C729,C741,C751,C761,C773,C783,C793,C805,C815,C825,C837,C847,C857,C869,C879,C889,C901,C911,C921,C933,C943,C953,C965,C975,C985,C997,C1007,C1017,C1029,C1039,C1049,C1061,C1071,C1081,C1093,C1103,C1113,C1125,C1135,C1145)/(Misc!$I$3*3)</f>
        <v>9.8888888888888893</v>
      </c>
      <c r="M5" s="62">
        <f>SUM(D5,D15,D25,D37,D47,D57,D69,D79,D89,D101,D111,D121,D133,D143,D153,D165,D175,D185,D197,D207,D217,D229,D239,D249,D261,D271,D281,D293,D303,D313,D325,D335,D345,D357,D367,D377,D389,D399,D409,D421,D431,D441,D453,D463,D473,D485,D495,D505,D517,D527,D537,D549,D559,D569,D581,D591,D601,D613,D623,D633,D645,D655,D665,D677,D687,D697,D709,D719,D729,D741,D751,D761,D773,D783,D793,D805,D815,D825,D837,D847,D857,D869,D879,D889,D901,D911,D921,D933,D943,D953,D965,D975,D985,D997,D1007,D1017,D1029,D1039,D1049,D1061,D1071,D1081,D1093,D1103,D1113,D1125,D1135,D1145)/(Misc!$I$4*3)</f>
        <v>10</v>
      </c>
      <c r="N5" s="67">
        <f>SUM(E5,E15,E25,E37,E47,E57,E69,E79,E89,E101,E111,E121,E133,E143,E153,E165,E175,E185,E197,E207,E217,E229,E239,E249,E261,E271,E281,E293,E303,E313,E325,E335,E345,E357,E367,E377,E389,E399,E409,E421,E431,E441,E453,E463,E473,E485,E495,E505,E517,E527,E537,E549,E559,E569,E581,E591,E601,E613,E623,E633,E645,E655,E665,E677,E687,E697,E709,E719,E729,E741,E751,E761,E773,E783,E793,E805,E815,E825,E837,E847,E857,E869,E879,E889,E901,E911,E921,E933,E943,E953,E965,E975,E985,E997,E1007,E1017,E1029,E1039,E1049,E1061,E1071,E1081,E1093,E1103,E1113,E1125,E1135,E1145)/(Misc!$I$5*3)</f>
        <v>9.5555555555555554</v>
      </c>
      <c r="O5" s="71">
        <f>SUM(F5,F15,F25,F37,F47,F57,F69,F79,F89,F101,F111,F121,F133,F143,F153,F165,F175,F185,F197,F207,F217,F229,F239,F249,F261,F271,F281,F293,F303,F313,F325,F335,F345,F357,F367,F377,F389,F399,F409,F421,F431,F441,F453,F463,F473,F485,F495,F505,F517,F527,F537,F549,F559,F569,F581,F591,F601,F613,F623,F633,F645,F655,F665,F677,F687,F697,F709,F719,F729,F741,F751,F761,F773,F783,F793,F805,F815,F825,F837,F847,F857,F869,F879,F889,F901,F911,F921,F933,F943,F953,F965,F975,F985,F997,F1007,F1017,F1029,F1039,F1049,F1061,F1071,F1081,F1093,F1103,F1113,F1125,F1135,F1145)/(Misc!$I$6*3)</f>
        <v>10</v>
      </c>
      <c r="P5" s="227">
        <f>SUM(G5,G15,G25,G37,G47,G57,G69,G79,G89,G101,G111,G121,G133,G143,G153,G165,G175,G185,G197,G207,G217,G229,G239,G249,G261,G271,G281,G293,G303,G313,G325,G335,G345,G357,G367,G377,G389,G399,G409,G421,G431,G441,G453,G463,G473,G485,G495,G505,G517,G527,G537,G549,G559,G569,G581,G591,G601,G613,G623,G633,G645,G655,G665,G677,G687,G697,G709,G719,G729,G741,G751,G761,G773,G783,G793,G805,G815,G825,G837,G847,G857,G869,G879,G889,G901,G911,G921,G933,G943,G953,G965,G975,G985,G997,G1007,G1017,G1029,G1039,G1049,G1061,G1071,G1081,G1093,G1103,G1113,G1125,G1135,G1145)/(Ron!$L$2*3)</f>
        <v>10</v>
      </c>
    </row>
    <row r="6" spans="1:20" x14ac:dyDescent="0.35">
      <c r="A6" s="13" t="s">
        <v>246</v>
      </c>
      <c r="B6" s="218">
        <v>10</v>
      </c>
      <c r="C6" s="219">
        <v>10</v>
      </c>
      <c r="D6" s="220">
        <v>10</v>
      </c>
      <c r="E6" s="221">
        <v>8</v>
      </c>
      <c r="F6" s="54">
        <v>10</v>
      </c>
      <c r="G6" s="177"/>
      <c r="J6" s="190">
        <v>5</v>
      </c>
      <c r="K6" s="197">
        <f>SUM(B6,B16,B26,B38,B48,B58,B70,B80,B90,B102,B112,B122,B134,B144,B154,B166,B176,B186,B198,B208,B218,B230,B240,B250,B262,B272,B282,B294,B304,B314,B326,B336,B346,B358,B368,B378,B390,B400,B410,B422,B432,B442,B454,B464,B474,B486,B496,B506,B518,B528,B538,B550,B560,B570,B582,B592,B602,B614,B624,B634,B646,B656,B666,B678,B688,B698,B710,B720,B730,B742,B752,B762,B774,B784,B794,B806,B816,B826,B838,B848,B858,B870,B880,B890,B902,B912,B922,B934,B944,B954,B966,B976,B986,B998,B1008,B1018,B1030,B1040,B1050,B1062,B1072,B1082,B1094,B1104,B1114,B1126,B1136,B1146)/(Misc!$I$2*3)</f>
        <v>10</v>
      </c>
      <c r="L6" s="58">
        <f>SUM(C6,C16,C26,C38,C48,C58,C70,C80,C90,C102,C112,C122,C134,C144,C154,C166,C176,C186,C198,C208,C218,C230,C240,C250,C262,C272,C282,C294,C304,C314,C326,C336,C346,C358,C368,C378,C390,C400,C410,C422,C432,C442,C454,C464,C474,C486,C496,C506,C518,C528,C538,C550,C560,C570,C582,C592,C602,C614,C624,C634,C646,C656,C666,C678,C688,C698,C710,C720,C730,C742,C752,C762,C774,C784,C794,C806,C816,C826,C838,C848,C858,C870,C880,C890,C902,C912,C922,C934,C944,C954,C966,C976,C986,C998,C1008,C1018,C1030,C1040,C1050,C1062,C1072,C1082,C1094,C1104,C1114,C1126,C1136,C1146)/(Misc!$I$3*3)</f>
        <v>9.8888888888888893</v>
      </c>
      <c r="M6" s="62">
        <f>SUM(D6,D16,D26,D38,D48,D58,D70,D80,D90,D102,D112,D122,D134,D144,D154,D166,D176,D186,D198,D208,D218,D230,D240,D250,D262,D272,D282,D294,D304,D314,D326,D336,D346,D358,D368,D378,D390,D400,D410,D422,D432,D442,D454,D464,D474,D486,D496,D506,D518,D528,D538,D550,D560,D570,D582,D592,D602,D614,D624,D634,D646,D656,D666,D678,D688,D698,D710,D720,D730,D742,D752,D762,D774,D784,D794,D806,D816,D826,D838,D848,D858,D870,D880,D890,D902,D912,D922,D934,D944,D954,D966,D976,D986,D998,D1008,D1018,D1030,D1040,D1050,D1062,D1072,D1082,D1094,D1104,D1114,D1126,D1136,D1146)/(Misc!$I$4*3)</f>
        <v>9.8888888888888893</v>
      </c>
      <c r="N6" s="67">
        <f>SUM(E6,E16,E26,E38,E48,E58,E70,E80,E90,E102,E112,E122,E134,E144,E154,E166,E176,E186,E198,E208,E218,E230,E240,E250,E262,E272,E282,E294,E304,E314,E326,E336,E346,E358,E368,E378,E390,E400,E410,E422,E432,E442,E454,E464,E474,E486,E496,E506,E518,E528,E538,E550,E560,E570,E582,E592,E602,E614,E624,E634,E646,E656,E666,E678,E688,E698,E710,E720,E730,E742,E752,E762,E774,E784,E794,E806,E816,E826,E838,E848,E858,E870,E880,E890,E902,E912,E922,E934,E944,E954,E966,E976,E986,E998,E1008,E1018,E1030,E1040,E1050,E1062,E1072,E1082,E1094,E1104,E1114,E1126,E1136,E1146)/(Misc!$I$5*3)</f>
        <v>9.3333333333333339</v>
      </c>
      <c r="O6" s="71">
        <f>SUM(F6,F16,F26,F38,F48,F58,F70,F80,F90,F102,F112,F122,F134,F144,F154,F166,F176,F186,F198,F208,F218,F230,F240,F250,F262,F272,F282,F294,F304,F314,F326,F336,F346,F358,F368,F378,F390,F400,F410,F422,F432,F442,F454,F464,F474,F486,F496,F506,F518,F528,F538,F550,F560,F570,F582,F592,F602,F614,F624,F634,F646,F656,F666,F678,F688,F698,F710,F720,F730,F742,F752,F762,F774,F784,F794,F806,F816,F826,F838,F848,F858,F870,F880,F890,F902,F912,F922,F934,F944,F954,F966,F976,F986,F998,F1008,F1018,F1030,F1040,F1050,F1062,F1072,F1082,F1094,F1104,F1114,F1126,F1136,F1146)/(Misc!$I$6*3)</f>
        <v>9.5</v>
      </c>
      <c r="P6" s="227">
        <f>SUM(G6,G16,G26,G38,G48,G58,G70,G80,G90,G102,G112,G122,G134,G144,G154,G166,G176,G186,G198,G208,G218,G230,G240,G250,G262,G272,G282,G294,G304,G314,G326,G336,G346,G358,G368,G378,G390,G400,G410,G422,G432,G442,G454,G464,G474,G486,G496,G506,G518,G528,G538,G550,G560,G570,G582,G592,G602,G614,G624,G634,G646,G656,G666,G678,G688,G698,G710,G720,G730,G742,G752,G762,G774,G784,G794,G806,G816,G826,G838,G848,G858,G870,G880,G890,G902,G912,G922,G934,G944,G954,G966,G976,G986,G998,G1008,G1018,G1030,G1040,G1050,G1062,G1072,G1082,G1094,G1104,G1114,G1126,G1136,G1146)/(Ron!$L$2*3)</f>
        <v>10</v>
      </c>
    </row>
    <row r="7" spans="1:20" x14ac:dyDescent="0.35">
      <c r="A7" s="13" t="s">
        <v>247</v>
      </c>
      <c r="B7" s="218">
        <v>10</v>
      </c>
      <c r="C7" s="219">
        <v>9</v>
      </c>
      <c r="D7" s="220">
        <v>10</v>
      </c>
      <c r="E7" s="221">
        <v>10</v>
      </c>
      <c r="F7" s="54">
        <v>10</v>
      </c>
      <c r="G7" s="177"/>
      <c r="J7" s="190">
        <v>6</v>
      </c>
      <c r="K7" s="197">
        <f>SUM(B7,B17,B27,B39,B49,B59,B71,B81,B91,B103,B113,B123,B135,B145,B155,B167,B177,B187,B199,B209,B219,B231,B241,B251,B263,B273,B283,B295,B305,B315,B327,B337,B347,B359,B369,B379,B391,B401,B411,B423,B433,B443,B455,B465,B475,B487,B497,B507,B519,B529,B539,B551,B561,B571,B583,B593,B603,B615,B625,B635,B647,B657,B667,B679,B689,B699,B711,B721,B731,B743,B753,B763,B775,B785,B795,B807,B817,B827,B839,B849,B859,B871,B881,B891,B903,B913,B923,B935,B945,B955,B967,B977,B987,B999,B1009,B1019,B1031,B1041,B1051,B1063,B1073,B1083,B1095,B1105,B1115,B1127,B1137,B1147)/(Misc!$I$2*3)</f>
        <v>9.6666666666666661</v>
      </c>
      <c r="L7" s="198">
        <f>SUM(C7,C17,C27,C39,C49,C59,C71,C81,C91,C103,C113,C123,C135,C145,C155,C167,C177,C187,C199,C209,C219,C231,C241,C251,C263,C273,C283,C295,C305,C315,C327,C337,C347,C359,C369,C379,C391,C401,C411,C423,C433,C443,C455,C465,C475,C487,C497,C507,C519,C529,C539,C551,C561,C571,C583,C593,C603,C615,C625,C635,C647,C657,C667,C679,C689,C699,C711,C721,C731,C743,C753,C763,C775,C785,C795,C807,C817,C827,C839,C849,C859,C871,C881,C891,C903,C913,C923,C935,C945,C955,C967,C977,C987,C999,C1009,C1019,C1031,C1041,C1051,C1063,C1073,C1083,C1095,C1105,C1115,C1127,C1137,C1147)/(Misc!$I$3*3)</f>
        <v>8.5555555555555554</v>
      </c>
      <c r="M7" s="62">
        <f>SUM(D7,D17,D27,D39,D49,D59,D71,D81,D91,D103,D113,D123,D135,D145,D155,D167,D177,D187,D199,D209,D219,D231,D241,D251,D263,D273,D283,D295,D305,D315,D327,D337,D347,D359,D369,D379,D391,D401,D411,D423,D433,D443,D455,D465,D475,D487,D497,D507,D519,D529,D539,D551,D561,D571,D583,D593,D603,D615,D625,D635,D647,D657,D667,D679,D689,D699,D711,D721,D731,D743,D753,D763,D775,D785,D795,D807,D817,D827,D839,D849,D859,D871,D881,D891,D903,D913,D923,D935,D945,D955,D967,D977,D987,D999,D1009,D1019,D1031,D1041,D1051,D1063,D1073,D1083,D1095,D1105,D1115,D1127,D1137,D1147)/(Misc!$I$4*3)</f>
        <v>9.6666666666666661</v>
      </c>
      <c r="N7" s="67">
        <f>SUM(E7,E17,E27,E39,E49,E59,E71,E81,E91,E103,E113,E123,E135,E145,E155,E167,E177,E187,E199,E209,E219,E231,E241,E251,E263,E273,E283,E295,E305,E315,E327,E337,E347,E359,E369,E379,E391,E401,E411,E423,E433,E443,E455,E465,E475,E487,E497,E507,E519,E529,E539,E551,E561,E571,E583,E593,E603,E615,E625,E635,E647,E657,E667,E679,E689,E699,E711,E721,E731,E743,E753,E763,E775,E785,E795,E807,E817,E827,E839,E849,E859,E871,E881,E891,E903,E913,E923,E935,E945,E955,E967,E977,E987,E999,E1009,E1019,E1031,E1041,E1051,E1063,E1073,E1083,E1095,E1105,E1115,E1127,E1137,E1147)/(Misc!$I$5*3)</f>
        <v>9.7777777777777786</v>
      </c>
      <c r="O7" s="71">
        <f>SUM(F7,F17,F27,F39,F49,F59,F71,F81,F91,F103,F113,F123,F135,F145,F155,F167,F177,F187,F199,F209,F219,F231,F241,F251,F263,F273,F283,F295,F305,F315,F327,F337,F347,F359,F369,F379,F391,F401,F411,F423,F433,F443,F455,F465,F475,F487,F497,F507,F519,F529,F539,F551,F561,F571,F583,F593,F603,F615,F625,F635,F647,F657,F667,F679,F689,F699,F711,F721,F731,F743,F753,F763,F775,F785,F795,F807,F817,F827,F839,F849,F859,F871,F881,F891,F903,F913,F923,F935,F945,F955,F967,F977,F987,F999,F1009,F1019,F1031,F1041,F1051,F1063,F1073,F1083,F1095,F1105,F1115,F1127,F1137,F1147)/(Misc!$I$6*3)</f>
        <v>9.3333333333333339</v>
      </c>
      <c r="P7" s="227">
        <f>SUM(G7,G17,G27,G39,G49,G59,G71,G81,G91,G103,G113,G123,G135,G145,G155,G167,G177,G187,G199,G209,G219,G231,G241,G251,G263,G273,G283,G295,G305,G315,G327,G337,G347,G359,G369,G379,G391,G401,G411,G423,G433,G443,G455,G465,G475,G487,G497,G507,G519,G529,G539,G551,G561,G571,G583,G593,G603,G615,G625,G635,G647,G657,G667,G679,G689,G699,G711,G721,G731,G743,G753,G763,G775,G785,G795,G807,G817,G827,G839,G849,G859,G871,G881,G891,G903,G913,G923,G935,G945,G955,G967,G977,G987,G999,G1009,G1019,G1031,G1041,G1051,G1063,G1073,G1083,G1095,G1105,G1115,G1127,G1137,G1147)/(Ron!$L$2*3)</f>
        <v>9.3333333333333339</v>
      </c>
    </row>
    <row r="8" spans="1:20" x14ac:dyDescent="0.35">
      <c r="A8" s="13" t="s">
        <v>248</v>
      </c>
      <c r="B8" s="218">
        <v>10</v>
      </c>
      <c r="C8" s="219">
        <v>10</v>
      </c>
      <c r="D8" s="220">
        <v>10</v>
      </c>
      <c r="E8" s="221">
        <v>10</v>
      </c>
      <c r="F8" s="54">
        <v>10</v>
      </c>
      <c r="G8" s="177"/>
      <c r="J8" s="190">
        <v>7</v>
      </c>
      <c r="K8" s="197">
        <f>SUM(B8,B18,B28,B40,B50,B60,B72,B82,B92,B104,B114,B124,B136,B146,B156,B168,B178,B188,B200,B210,B220,B232,B242,B252,B264,B274,B284,B296,B306,B316,B328,B338,B348,B360,B370,B380,B392,B402,B412,B424,B434,B444,B456,B466,B476,B488,B498,B508,B520,B530,B540,B552,B562,B572,B584,B594,B604,B616,B626,B636,B648,B658,B668,B680,B690,B700,B712,B722,B732,B744,B754,B764,B776,B786,B796,B808,B818,B828,B840,B850,B860,B872,B882,B892,B904,B914,B924,B936,B946,B956,B968,B978,B988,B1000,B1010,B1020,B1032,B1042,B1052,B1064,B1074,B1084,B1096,B1106,B1116,B1128,B1138,B1148)/(Misc!$I$2*3)</f>
        <v>9.8333333333333339</v>
      </c>
      <c r="L8" s="58">
        <f>SUM(C8,C18,C28,C40,C50,C60,C72,C82,C92,C104,C114,C124,C136,C146,C156,C168,C178,C188,C200,C210,C220,C232,C242,C252,C264,C274,C284,C296,C306,C316,C328,C338,C348,C360,C370,C380,C392,C402,C412,C424,C434,C444,C456,C466,C476,C488,C498,C508,C520,C530,C540,C552,C562,C572,C584,C594,C604,C616,C626,C636,C648,C658,C668,C680,C690,C700,C712,C722,C732,C744,C754,C764,C776,C786,C796,C808,C818,C828,C840,C850,C860,C872,C882,C892,C904,C914,C924,C936,C946,C956,C968,C978,C988,C1000,C1010,C1020,C1032,C1042,C1052,C1064,C1074,C1084,C1096,C1106,C1116,C1128,C1138,C1148)/(Misc!$I$3*3)</f>
        <v>10</v>
      </c>
      <c r="M8" s="62">
        <f>SUM(D8,D18,D28,D40,D50,D60,D72,D82,D92,D104,D114,D124,D136,D146,D156,D168,D178,D188,D200,D210,D220,D232,D242,D252,D264,D274,D284,D296,D306,D316,D328,D338,D348,D360,D370,D380,D392,D402,D412,D424,D434,D444,D456,D466,D476,D488,D498,D508,D520,D530,D540,D552,D562,D572,D584,D594,D604,D616,D626,D636,D648,D658,D668,D680,D690,D700,D712,D722,D732,D744,D754,D764,D776,D786,D796,D808,D818,D828,D840,D850,D860,D872,D882,D892,D904,D914,D924,D936,D946,D956,D968,D978,D988,D1000,D1010,D1020,D1032,D1042,D1052,D1064,D1074,D1084,D1096,D1106,D1116,D1128,D1138,D1148)/(Misc!$I$4*3)</f>
        <v>9.8888888888888893</v>
      </c>
      <c r="N8" s="67">
        <f>SUM(E8,E18,E28,E40,E50,E60,E72,E82,E92,E104,E114,E124,E136,E146,E156,E168,E178,E188,E200,E210,E220,E232,E242,E252,E264,E274,E284,E296,E306,E316,E328,E338,E348,E360,E370,E380,E392,E402,E412,E424,E434,E444,E456,E466,E476,E488,E498,E508,E520,E530,E540,E552,E562,E572,E584,E594,E604,E616,E626,E636,E648,E658,E668,E680,E690,E700,E712,E722,E732,E744,E754,E764,E776,E786,E796,E808,E818,E828,E840,E850,E860,E872,E882,E892,E904,E914,E924,E936,E946,E956,E968,E978,E988,E1000,E1010,E1020,E1032,E1042,E1052,E1064,E1074,E1084,E1096,E1106,E1116,E1128,E1138,E1148)/(Misc!$I$5*3)</f>
        <v>9.7777777777777786</v>
      </c>
      <c r="O8" s="71">
        <f>SUM(F8,F18,F28,F40,F50,F60,F72,F82,F92,F104,F114,F124,F136,F146,F156,F168,F178,F188,F200,F210,F220,F232,F242,F252,F264,F274,F284,F296,F306,F316,F328,F338,F348,F360,F370,F380,F392,F402,F412,F424,F434,F444,F456,F466,F476,F488,F498,F508,F520,F530,F540,F552,F562,F572,F584,F594,F604,F616,F626,F636,F648,F658,F668,F680,F690,F700,F712,F722,F732,F744,F754,F764,F776,F786,F796,F808,F818,F828,F840,F850,F860,F872,F882,F892,F904,F914,F924,F936,F946,F956,F968,F978,F988,F1000,F1010,F1020,F1032,F1042,F1052,F1064,F1074,F1084,F1096,F1106,F1116,F1128,F1138,F1148)/(Misc!$I$6*3)</f>
        <v>10</v>
      </c>
      <c r="P8" s="227">
        <f>SUM(G8,G18,G28,G40,G50,G60,G72,G82,G92,G104,G114,G124,G136,G146,G156,G168,G178,G188,G200,G210,G220,G232,G242,G252,G264,G274,G284,G296,G306,G316,G328,G338,G348,G360,G370,G380,G392,G402,G412,G424,G434,G444,G456,G466,G476,G488,G498,G508,G520,G530,G540,G552,G562,G572,G584,G594,G604,G616,G626,G636,G648,G658,G668,G680,G690,G700,G712,G722,G732,G744,G754,G764,G776,G786,G796,G808,G818,G828,G840,G850,G860,G872,G882,G892,G904,G914,G924,G936,G946,G956,G968,G978,G988,G1000,G1010,G1020,G1032,G1042,G1052,G1064,G1074,G1084,G1096,G1106,G1116,G1128,G1138,G1148)/(Ron!$L$2*3)</f>
        <v>9.6666666666666661</v>
      </c>
    </row>
    <row r="9" spans="1:20" x14ac:dyDescent="0.35">
      <c r="A9" s="13" t="s">
        <v>249</v>
      </c>
      <c r="B9" s="218">
        <v>10</v>
      </c>
      <c r="C9" s="219">
        <v>10</v>
      </c>
      <c r="D9" s="220">
        <v>10</v>
      </c>
      <c r="E9" s="221">
        <v>10</v>
      </c>
      <c r="F9" s="54">
        <v>10</v>
      </c>
      <c r="G9" s="177"/>
      <c r="J9" s="190">
        <v>8</v>
      </c>
      <c r="K9" s="197">
        <f>SUM(B9,B19,B29,B41,B51,B61,B73,B83,B93,B105,B115,B125,B137,B147,B157,B169,B179,B189,B201,B211,B221,B233,B243,B253,B265,B275,B285,B297,B307,B317,B329,B339,B349,B361,B371,B381,B393,B403,B413,B425,B435,B445,B457,B467,B477,B489,B499,B509,B521,B531,B541,B553,B563,B573,B585,B595,B605,B617,B627,B637,B649,B659,B669,B681,B691,B701,B713,B723,B733,B745,B755,B765,B777,B787,B797,B809,B819,B829,B841,B851,B861,B873,B883,B893,B905,B915,B925,B937,B947,B957,B969,B979,B989,B1001,B1011,B1021,B1033,B1043,B1053,B1065,B1075,B1085,B1097,B1107,B1117,B1129,B1139,B1149)/(Misc!$I$2*3)</f>
        <v>9.6666666666666661</v>
      </c>
      <c r="L9" s="198">
        <f>SUM(C9,C19,C29,C41,C51,C61,C73,C83,C93,C105,C115,C125,C137,C147,C157,C169,C179,C189,C201,C211,C221,C233,C243,C253,C265,C275,C285,C297,C307,C317,C329,C339,C349,C361,C371,C381,C393,C403,C413,C425,C435,C445,C457,C467,C477,C489,C499,C509,C521,C531,C541,C553,C563,C573,C585,C595,C605,C617,C627,C637,C649,C659,C669,C681,C691,C701,C713,C723,C733,C745,C755,C765,C777,C787,C797,C809,C819,C829,C841,C851,C861,C873,C883,C893,C905,C915,C925,C937,C947,C957,C969,C979,C989,C1001,C1011,C1021,C1033,C1043,C1053,C1065,C1075,C1085,C1097,C1107,C1117,C1129,C1139,C1149)/(Misc!$I$3*3)</f>
        <v>9.8888888888888893</v>
      </c>
      <c r="M9" s="62">
        <f>SUM(D9,D19,D29,D41,D51,D61,D73,D83,D93,D105,D115,D125,D137,D147,D157,D169,D179,D189,D201,D211,D221,D233,D243,D253,D265,D275,D285,D297,D307,D317,D329,D339,D349,D361,D371,D381,D393,D403,D413,D425,D435,D445,D457,D467,D477,D489,D499,D509,D521,D531,D541,D553,D563,D573,D585,D595,D605,D617,D627,D637,D649,D659,D669,D681,D691,D701,D713,D723,D733,D745,D755,D765,D777,D787,D797,D809,D819,D829,D841,D851,D861,D873,D883,D893,D905,D915,D925,D937,D947,D957,D969,D979,D989,D1001,D1011,D1021,D1033,D1043,D1053,D1065,D1075,D1085,D1097,D1107,D1117,D1129,D1139,D1149)/(Misc!$I$4*3)</f>
        <v>9.8888888888888893</v>
      </c>
      <c r="N9" s="67">
        <f>SUM(E9,E19,E29,E41,E51,E61,E73,E83,E93,E105,E115,E125,E137,E147,E157,E169,E179,E189,E201,E211,E221,E233,E243,E253,E265,E275,E285,E297,E307,E317,E329,E339,E349,E361,E371,E381,E393,E403,E413,E425,E435,E445,E457,E467,E477,E489,E499,E509,E521,E531,E541,E553,E563,E573,E585,E595,E605,E617,E627,E637,E649,E659,E669,E681,E691,E701,E713,E723,E733,E745,E755,E765,E777,E787,E797,E809,E819,E829,E841,E851,E861,E873,E883,E893,E905,E915,E925,E937,E947,E957,E969,E979,E989,E1001,E1011,E1021,E1033,E1043,E1053,E1065,E1075,E1085,E1097,E1107,E1117,E1129,E1139,E1149)/(Misc!$I$5*3)</f>
        <v>9.8888888888888893</v>
      </c>
      <c r="O9" s="71">
        <f>SUM(F9,F19,F29,F41,F51,F61,F73,F83,F93,F105,F115,F125,F137,F147,F157,F169,F179,F189,F201,F211,F221,F233,F243,F253,F265,F275,F285,F297,F307,F317,F329,F339,F349,F361,F371,F381,F393,F403,F413,F425,F435,F445,F457,F467,F477,F489,F499,F509,F521,F531,F541,F553,F563,F573,F585,F595,F605,F617,F627,F637,F649,F659,F669,F681,F691,F701,F713,F723,F733,F745,F755,F765,F777,F787,F797,F809,F819,F829,F841,F851,F861,F873,F883,F893,F905,F915,F925,F937,F947,F957,F969,F979,F989,F1001,F1011,F1021,F1033,F1043,F1053,F1065,F1075,F1085,F1097,F1107,F1117,F1129,F1139,F1149)/(Misc!$I$6*3)</f>
        <v>9</v>
      </c>
      <c r="P9" s="227">
        <f>SUM(G9,G19,G29,G41,G51,G61,G73,G83,G93,G105,G115,G125,G137,G147,G157,G169,G179,G189,G201,G211,G221,G233,G243,G253,G265,G275,G285,G297,G307,G317,G329,G339,G349,G361,G371,G381,G393,G403,G413,G425,G435,G445,G457,G467,G477,G489,G499,G509,G521,G531,G541,G553,G563,G573,G585,G595,G605,G617,G627,G637,G649,G659,G669,G681,G691,G701,G713,G723,G733,G745,G755,G765,G777,G787,G797,G809,G819,G829,G841,G851,G861,G873,G883,G893,G905,G915,G925,G937,G947,G957,G969,G979,G989,G1001,G1011,G1021,G1033,G1043,G1053,G1065,G1075,G1085,G1097,G1107,G1117,G1129,G1139,G1149)/(Ron!$L$2*3)</f>
        <v>10</v>
      </c>
    </row>
    <row r="10" spans="1:20" x14ac:dyDescent="0.35">
      <c r="A10" s="13" t="s">
        <v>250</v>
      </c>
      <c r="B10" s="218">
        <v>10</v>
      </c>
      <c r="C10" s="219">
        <v>10</v>
      </c>
      <c r="D10" s="220">
        <v>10</v>
      </c>
      <c r="E10" s="221">
        <v>10</v>
      </c>
      <c r="F10" s="54">
        <v>10</v>
      </c>
      <c r="G10" s="177"/>
      <c r="J10" s="190">
        <v>9</v>
      </c>
      <c r="K10" s="197">
        <f>SUM(B10,B20,B30,B42,B52,B62,B74,B84,B94,B106,B116,B126,B138,B148,B158,B170,B180,B190,B202,B212,B222,B234,B244,B254,B266,B276,B286,B298,B308,B318,B330,B340,B350,B362,B372,B382,B394,B404,B414,B426,B436,B446,B458,B468,B478,B490,B500,B510,B522,B532,B542,B554,B564,B574,B586,B596,B606,B618,B628,B638,B650,B660,B670,B682,B692,B702,B714,B724,B734,B746,B756,B766,B778,B788,B798,B810,B820,B830,B842,B852,B862,B874,B884,B894,B906,B916,B926,B938,B948,B958,B970,B980,B990,B1002,B1012,B1022,B1034,B1044,B1054,B1066,B1076,B1086,B1098,B1108,B1118,B1130,B1140,B1150)/(Misc!$I$2*3)</f>
        <v>10</v>
      </c>
      <c r="L10" s="58">
        <f>SUM(C10,C20,C30,C42,C52,C62,C74,C84,C94,C106,C116,C126,C138,C148,C158,C170,C180,C190,C202,C212,C222,C234,C244,C254,C266,C276,C286,C298,C308,C318,C330,C340,C350,C362,C372,C382,C394,C404,C414,C426,C436,C446,C458,C468,C478,C490,C500,C510,C522,C532,C542,C554,C564,C574,C586,C596,C606,C618,C628,C638,C650,C660,C670,C682,C692,C702,C714,C724,C734,C746,C756,C766,C778,C788,C798,C810,C820,C830,C842,C852,C862,C874,C884,C894,C906,C916,C926,C938,C948,C958,C970,C980,C990,C1002,C1012,C1022,C1034,C1044,C1054,C1066,C1076,C1086,C1098,C1108,C1118,C1130,C1140,C1150)/(Misc!$I$3*3)</f>
        <v>10</v>
      </c>
      <c r="M10" s="62">
        <f>SUM(D10,D20,D30,D42,D52,D62,D74,D84,D94,D106,D116,D126,D138,D148,D158,D170,D180,D190,D202,D212,D222,D234,D244,D254,D266,D276,D286,D298,D308,D318,D330,D340,D350,D362,D372,D382,D394,D404,D414,D426,D436,D446,D458,D468,D478,D490,D500,D510,D522,D532,D542,D554,D564,D574,D586,D596,D606,D618,D628,D638,D650,D660,D670,D682,D692,D702,D714,D724,D734,D746,D756,D766,D778,D788,D798,D810,D820,D830,D842,D852,D862,D874,D884,D894,D906,D916,D926,D938,D948,D958,D970,D980,D990,D1002,D1012,D1022,D1034,D1044,D1054,D1066,D1076,D1086,D1098,D1108,D1118,D1130,D1140,D1150)/(Misc!$I$4*3)</f>
        <v>9.6666666666666661</v>
      </c>
      <c r="N10" s="67">
        <f>SUM(E10,E20,E30,E42,E52,E62,E74,E84,E94,E106,E116,E126,E138,E148,E158,E170,E180,E190,E202,E212,E222,E234,E244,E254,E266,E276,E286,E298,E308,E318,E330,E340,E350,E362,E372,E382,E394,E404,E414,E426,E436,E446,E458,E468,E478,E490,E500,E510,E522,E532,E542,E554,E564,E574,E586,E596,E606,E618,E628,E638,E650,E660,E670,E682,E692,E702,E714,E724,E734,E746,E756,E766,E778,E788,E798,E810,E820,E830,E842,E852,E862,E874,E884,E894,E906,E916,E926,E938,E948,E958,E970,E980,E990,E1002,E1012,E1022,E1034,E1044,E1054,E1066,E1076,E1086,E1098,E1108,E1118,E1130,E1140,E1150)/(Misc!$I$5*3)</f>
        <v>9.6666666666666661</v>
      </c>
      <c r="O10" s="71">
        <f>SUM(F10,F20,F30,F42,F52,F62,F74,F84,F94,F106,F116,F126,F138,F148,F158,F170,F180,F190,F202,F212,F222,F234,F244,F254,F266,F276,F286,F298,F308,F318,F330,F340,F350,F362,F372,F382,F394,F404,F414,F426,F436,F446,F458,F468,F478,F490,F500,F510,F522,F532,F542,F554,F564,F574,F586,F596,F606,F618,F628,F638,F650,F660,F670,F682,F692,F702,F714,F724,F734,F746,F756,F766,F778,F788,F798,F810,F820,F830,F842,F852,F862,F874,F884,F894,F906,F916,F926,F938,F948,F958,F970,F980,F990,F1002,F1012,F1022,F1034,F1044,F1054,F1066,F1076,F1086,F1098,F1108,F1118,F1130,F1140,F1150)/(Misc!$I$6*3)</f>
        <v>9.5</v>
      </c>
      <c r="P10" s="227">
        <f>SUM(G10,G20,G30,G42,G52,G62,G74,G84,G94,G106,G116,G126,G138,G148,G158,G170,G180,G190,G202,G212,G222,G234,G244,G254,G266,G276,G286,G298,G308,G318,G330,G340,G350,G362,G372,G382,G394,G404,G414,G426,G436,G446,G458,G468,G478,G490,G500,G510,G522,G532,G542,G554,G564,G574,G586,G596,G606,G618,G628,G638,G650,G660,G670,G682,G692,G702,G714,G724,G734,G746,G756,G766,G778,G788,G798,G810,G820,G830,G842,G852,G862,G874,G884,G894,G906,G916,G926,G938,G948,G958,G970,G980,G990,G1002,G1012,G1022,G1034,G1044,G1054,G1066,G1076,G1086,G1098,G1108,G1118,G1130,G1140,G1150)/(Ron!$L$2*3)</f>
        <v>10</v>
      </c>
    </row>
    <row r="11" spans="1:20" x14ac:dyDescent="0.35">
      <c r="A11" s="13" t="s">
        <v>251</v>
      </c>
      <c r="B11" s="218">
        <v>19</v>
      </c>
      <c r="C11" s="219">
        <v>20</v>
      </c>
      <c r="D11" s="220">
        <v>16</v>
      </c>
      <c r="E11" s="221">
        <v>8</v>
      </c>
      <c r="F11" s="54">
        <v>20</v>
      </c>
      <c r="G11" s="177"/>
      <c r="J11" s="190">
        <v>10</v>
      </c>
      <c r="K11" s="197">
        <f>SUM(B11,B21,B31,B43,B53,B63,B75,B85,B95,B107,B117,B127,B139,B149,B159,B171,B181,B191,B203,B213,B223,B235,B245,B255,B267,B277,B287,B299,B309,B319,B331,B341,B351,B363,B373,B383,B395,B405,B415,B427,B437,B447,B459,B469,B479,B491,B501,B511,B523,B533,B543,B555,B565,B575,B587,B597,B607,B619,B629,B639,B651,B661,B671,B683,B693,B703,B715,B725,B735,B747,B757,B767,B779,B789,B799,B811,B821,B831,B843,B853,B863,B875,B885,B895,B907,B917,B927,B939,B949,B959,B971,B981,B991,B1003,B1013,B1023,B1035,B1045,B1055,B1067,B1077,B1087,B1099,B1109,B1119,B1131,B1141,B1151)/(Misc!$I$2*3)</f>
        <v>21.166666666666668</v>
      </c>
      <c r="L11" s="58">
        <f>SUM(C11,C21,C31,C43,C53,C63,C75,C85,C95,C107,C117,C127,C139,C149,C159,C171,C181,C191,C203,C213,C223,C235,C245,C255,C267,C277,C287,C299,C309,C319,C331,C341,C351,C363,C373,C383,C395,C405,C415,C427,C437,C447,C459,C469,C479,C491,C501,C511,C523,C533,C543,C555,C565,C575,C587,C597,C607,C619,C629,C639,C651,C661,C671,C683,C693,C703,C715,C725,C735,C747,C757,C767,C779,C789,C799,C811,C821,C831,C843,C853,C863,C875,C885,C895,C907,C917,C927,C939,C949,C959,C971,C981,C991,C1003,C1013,C1023,C1035,C1045,C1055,C1067,C1077,C1087,C1099,C1109,C1119,C1131,C1141,C1151)/(Misc!$I$3*3)</f>
        <v>20.333333333333332</v>
      </c>
      <c r="M11" s="62">
        <f>SUM(D11,D21,D31,D43,D53,D63,D75,D85,D95,D107,D117,D127,D139,D149,D159,D171,D181,D191,D203,D213,D223,D235,D245,D255,D267,D277,D287,D299,D309,D319,D331,D341,D351,D363,D373,D383,D395,D405,D415,D427,D437,D447,D459,D469,D479,D491,D501,D511,D523,D533,D543,D555,D565,D575,D587,D597,D607,D619,D629,D639,D651,D661,D671,D683,D693,D703,D715,D725,D735,D747,D757,D767,D779,D789,D799,D811,D821,D831,D843,D853,D863,D875,D885,D895,D907,D917,D927,D939,D949,D959,D971,D981,D991,D1003,D1013,D1023,D1035,D1045,D1055,D1067,D1077,D1087,D1099,D1109,D1119,D1131,D1141,D1151)/(Misc!$I$4*3)</f>
        <v>21.222222222222221</v>
      </c>
      <c r="N11" s="67">
        <f>SUM(E11,E21,E31,E43,E53,E63,E75,E85,E95,E107,E117,E127,E139,E149,E159,E171,E181,E191,E203,E213,E223,E235,E245,E255,E267,E277,E287,E299,E309,E319,E331,E341,E351,E363,E373,E383,E395,E405,E415,E427,E437,E447,E459,E469,E479,E491,E501,E511,E523,E533,E543,E555,E565,E575,E587,E597,E607,E619,E629,E639,E651,E661,E671,E683,E693,E703,E715,E725,E735,E747,E757,E767,E779,E789,E799,E811,E821,E831,E843,E853,E863,E875,E885,E895,E907,E917,E927,E939,E949,E959,E971,E981,E991,E1003,E1013,E1023,E1035,E1045,E1055,E1067,E1077,E1087,E1099,E1109,E1119,E1131,E1141,E1151)/(Misc!$I$5*3)</f>
        <v>20.222222222222221</v>
      </c>
      <c r="O11" s="71">
        <f>SUM(F11,F21,F31,F43,F53,F63,F75,F85,F95,F107,F117,F127,F139,F149,F159,F171,F181,F191,F203,F213,F223,F235,F245,F255,F267,F277,F287,F299,F309,F319,F331,F341,F351,F363,F373,F383,F395,F405,F415,F427,F437,F447,F459,F469,F479,F491,F501,F511,F523,F533,F543,F555,F565,F575,F587,F597,F607,F619,F629,F639,F651,F661,F671,F683,F693,F703,F715,F725,F735,F747,F757,F767,F779,F789,F799,F811,F821,F831,F843,F853,F863,F875,F885,F895,F907,F917,F927,F939,F949,F959,F971,F981,F991,F1003,F1013,F1023,F1035,F1045,F1055,F1067,F1077,F1087,F1099,F1109,F1119,F1131,F1141,F1151)/(Misc!$I$6*3)</f>
        <v>22.666666666666668</v>
      </c>
      <c r="P11" s="227">
        <f>SUM(G11,G21,G31,G43,G53,G63,G75,G85,G95,G107,G117,G127,G139,G149,G159,G171,G181,G191,G203,G213,G223,G235,G245,G255,G267,G277,G287,G299,G309,G319,G331,G341,G351,G363,G373,G383,G395,G405,G415,G427,G437,G447,G459,G469,G479,G491,G501,G511,G523,G533,G543,G555,G565,G575,G587,G597,G607,G619,G629,G639,G651,G661,G671,G683,G693,G703,G715,G725,G735,G747,G757,G767,G779,G789,G799,G811,G821,G831,G843,G853,G863,G875,G885,G895,G907,G917,G927,G939,G949,G959,G971,G981,G991,G1003,G1013,G1023,G1035,G1045,G1055,G1067,G1077,G1087,G1099,G1109,G1119,G1131,G1141,G1151)/(Ron!$L$2*3)</f>
        <v>16</v>
      </c>
    </row>
    <row r="12" spans="1:20" x14ac:dyDescent="0.35">
      <c r="A12" s="13" t="s">
        <v>252</v>
      </c>
      <c r="B12" s="218">
        <v>10</v>
      </c>
      <c r="C12" s="219">
        <v>10</v>
      </c>
      <c r="D12" s="220">
        <v>7</v>
      </c>
      <c r="E12" s="221">
        <v>10</v>
      </c>
      <c r="F12" s="54">
        <v>10</v>
      </c>
      <c r="G12" s="177"/>
    </row>
    <row r="13" spans="1:20" x14ac:dyDescent="0.35">
      <c r="A13" s="13" t="s">
        <v>253</v>
      </c>
      <c r="B13" s="218">
        <v>10</v>
      </c>
      <c r="C13" s="219">
        <v>10</v>
      </c>
      <c r="D13" s="220">
        <v>10</v>
      </c>
      <c r="E13" s="221">
        <v>10</v>
      </c>
      <c r="F13" s="54">
        <v>9</v>
      </c>
      <c r="G13" s="177"/>
    </row>
    <row r="14" spans="1:20" x14ac:dyDescent="0.35">
      <c r="A14" s="13" t="s">
        <v>254</v>
      </c>
      <c r="B14" s="218">
        <v>10</v>
      </c>
      <c r="C14" s="219">
        <v>10</v>
      </c>
      <c r="D14" s="220">
        <v>10</v>
      </c>
      <c r="E14" s="221">
        <v>10</v>
      </c>
      <c r="F14" s="54">
        <v>10</v>
      </c>
      <c r="G14" s="177"/>
    </row>
    <row r="15" spans="1:20" x14ac:dyDescent="0.35">
      <c r="A15" s="13" t="s">
        <v>255</v>
      </c>
      <c r="B15" s="218">
        <v>10</v>
      </c>
      <c r="C15" s="219">
        <v>10</v>
      </c>
      <c r="D15" s="220">
        <v>10</v>
      </c>
      <c r="E15" s="221">
        <v>10</v>
      </c>
      <c r="F15" s="54">
        <v>10</v>
      </c>
      <c r="G15" s="177"/>
    </row>
    <row r="16" spans="1:20" x14ac:dyDescent="0.35">
      <c r="A16" s="13" t="s">
        <v>256</v>
      </c>
      <c r="B16" s="218">
        <v>10</v>
      </c>
      <c r="C16" s="219">
        <v>10</v>
      </c>
      <c r="D16" s="220">
        <v>10</v>
      </c>
      <c r="E16" s="221">
        <v>10</v>
      </c>
      <c r="F16" s="54">
        <v>8</v>
      </c>
      <c r="G16" s="177"/>
      <c r="J16" s="204" t="s">
        <v>157</v>
      </c>
      <c r="K16" s="205" t="s">
        <v>306</v>
      </c>
      <c r="L16" s="205" t="s">
        <v>307</v>
      </c>
      <c r="M16" s="205" t="s">
        <v>308</v>
      </c>
      <c r="N16" s="205" t="s">
        <v>309</v>
      </c>
      <c r="O16" s="205" t="s">
        <v>310</v>
      </c>
      <c r="P16" s="205" t="s">
        <v>311</v>
      </c>
      <c r="Q16" s="205" t="s">
        <v>312</v>
      </c>
      <c r="R16" s="205" t="s">
        <v>313</v>
      </c>
      <c r="S16" s="205" t="s">
        <v>314</v>
      </c>
      <c r="T16" s="206" t="s">
        <v>315</v>
      </c>
    </row>
    <row r="17" spans="1:20" x14ac:dyDescent="0.35">
      <c r="A17" s="13" t="s">
        <v>257</v>
      </c>
      <c r="B17" s="218">
        <v>9</v>
      </c>
      <c r="C17" s="219">
        <v>10</v>
      </c>
      <c r="D17" s="220">
        <v>10</v>
      </c>
      <c r="E17" s="221">
        <v>10</v>
      </c>
      <c r="F17" s="54">
        <v>8</v>
      </c>
      <c r="G17" s="177"/>
      <c r="J17" s="199" t="s">
        <v>0</v>
      </c>
      <c r="K17" s="183">
        <f>K2</f>
        <v>9.8333333333333339</v>
      </c>
      <c r="L17" s="183">
        <f>K3</f>
        <v>9.6666666666666661</v>
      </c>
      <c r="M17" s="183">
        <f>K4</f>
        <v>10</v>
      </c>
      <c r="N17" s="183">
        <f>K5</f>
        <v>9.8333333333333339</v>
      </c>
      <c r="O17" s="183">
        <f>K6</f>
        <v>10</v>
      </c>
      <c r="P17" s="183">
        <f>K7</f>
        <v>9.6666666666666661</v>
      </c>
      <c r="Q17" s="183">
        <f>K8</f>
        <v>9.8333333333333339</v>
      </c>
      <c r="R17" s="183">
        <f>K9</f>
        <v>9.6666666666666661</v>
      </c>
      <c r="S17" s="183">
        <f>K10</f>
        <v>10</v>
      </c>
      <c r="T17" s="203">
        <f>K11</f>
        <v>21.166666666666668</v>
      </c>
    </row>
    <row r="18" spans="1:20" x14ac:dyDescent="0.35">
      <c r="A18" s="13" t="s">
        <v>258</v>
      </c>
      <c r="B18" s="218">
        <v>10</v>
      </c>
      <c r="C18" s="219">
        <v>10</v>
      </c>
      <c r="D18" s="220">
        <v>10</v>
      </c>
      <c r="E18" s="221">
        <v>10</v>
      </c>
      <c r="F18" s="54">
        <v>10</v>
      </c>
      <c r="G18" s="177"/>
      <c r="J18" s="200" t="s">
        <v>1</v>
      </c>
      <c r="K18" s="183">
        <f>L2</f>
        <v>10</v>
      </c>
      <c r="L18" s="183">
        <f>L3</f>
        <v>9.8888888888888893</v>
      </c>
      <c r="M18" s="183">
        <f>L4</f>
        <v>9.8888888888888893</v>
      </c>
      <c r="N18" s="183">
        <f>L5</f>
        <v>9.8888888888888893</v>
      </c>
      <c r="O18" s="183">
        <f>L6</f>
        <v>9.8888888888888893</v>
      </c>
      <c r="P18" s="183">
        <f>L7</f>
        <v>8.5555555555555554</v>
      </c>
      <c r="Q18" s="183">
        <f>L8</f>
        <v>10</v>
      </c>
      <c r="R18" s="183">
        <f>L9</f>
        <v>9.8888888888888893</v>
      </c>
      <c r="S18" s="183">
        <f>L10</f>
        <v>10</v>
      </c>
      <c r="T18" s="203">
        <f>L11</f>
        <v>20.333333333333332</v>
      </c>
    </row>
    <row r="19" spans="1:20" x14ac:dyDescent="0.35">
      <c r="A19" s="13" t="s">
        <v>259</v>
      </c>
      <c r="B19" s="218">
        <v>10</v>
      </c>
      <c r="C19" s="219">
        <v>10</v>
      </c>
      <c r="D19" s="220">
        <v>9</v>
      </c>
      <c r="E19" s="221">
        <v>10</v>
      </c>
      <c r="F19" s="54">
        <v>8</v>
      </c>
      <c r="G19" s="177"/>
      <c r="J19" s="201" t="s">
        <v>2</v>
      </c>
      <c r="K19" s="183">
        <f>M2</f>
        <v>9.5555555555555554</v>
      </c>
      <c r="L19" s="183">
        <f>M3</f>
        <v>9.8888888888888893</v>
      </c>
      <c r="M19" s="183">
        <f>M4</f>
        <v>10</v>
      </c>
      <c r="N19" s="183">
        <f>M5</f>
        <v>10</v>
      </c>
      <c r="O19" s="183">
        <f>M6</f>
        <v>9.8888888888888893</v>
      </c>
      <c r="P19" s="183">
        <f>M7</f>
        <v>9.6666666666666661</v>
      </c>
      <c r="Q19" s="183">
        <f>M8</f>
        <v>9.8888888888888893</v>
      </c>
      <c r="R19" s="183">
        <f>M9</f>
        <v>9.8888888888888893</v>
      </c>
      <c r="S19" s="183">
        <f>M10</f>
        <v>9.6666666666666661</v>
      </c>
      <c r="T19" s="203">
        <f>M11</f>
        <v>21.222222222222221</v>
      </c>
    </row>
    <row r="20" spans="1:20" x14ac:dyDescent="0.35">
      <c r="A20" s="13" t="s">
        <v>260</v>
      </c>
      <c r="B20" s="218">
        <v>10</v>
      </c>
      <c r="C20" s="219">
        <v>10</v>
      </c>
      <c r="D20" s="220">
        <v>10</v>
      </c>
      <c r="E20" s="221">
        <v>10</v>
      </c>
      <c r="F20" s="54">
        <v>10</v>
      </c>
      <c r="G20" s="177"/>
      <c r="J20" s="202" t="s">
        <v>3</v>
      </c>
      <c r="K20" s="183">
        <f>N2</f>
        <v>9.8888888888888893</v>
      </c>
      <c r="L20" s="183">
        <f>N3</f>
        <v>9.7777777777777786</v>
      </c>
      <c r="M20" s="183">
        <f>N4</f>
        <v>9.7777777777777786</v>
      </c>
      <c r="N20" s="183">
        <f>N5</f>
        <v>9.5555555555555554</v>
      </c>
      <c r="O20" s="183">
        <f>N6</f>
        <v>9.3333333333333339</v>
      </c>
      <c r="P20" s="183">
        <f>N7</f>
        <v>9.7777777777777786</v>
      </c>
      <c r="Q20" s="183">
        <f>N8</f>
        <v>9.7777777777777786</v>
      </c>
      <c r="R20" s="183">
        <f>N9</f>
        <v>9.8888888888888893</v>
      </c>
      <c r="S20" s="183">
        <f>N10</f>
        <v>9.6666666666666661</v>
      </c>
      <c r="T20" s="203">
        <f>N11</f>
        <v>20.222222222222221</v>
      </c>
    </row>
    <row r="21" spans="1:20" x14ac:dyDescent="0.35">
      <c r="A21" s="13" t="s">
        <v>261</v>
      </c>
      <c r="B21" s="218">
        <v>19</v>
      </c>
      <c r="C21" s="219">
        <v>20</v>
      </c>
      <c r="D21" s="220">
        <v>8</v>
      </c>
      <c r="E21" s="221">
        <v>30</v>
      </c>
      <c r="F21" s="54">
        <v>20</v>
      </c>
      <c r="G21" s="177"/>
      <c r="J21" s="207" t="s">
        <v>4</v>
      </c>
      <c r="K21" s="208">
        <f>O2</f>
        <v>9.8333333333333339</v>
      </c>
      <c r="L21" s="208">
        <f>O3</f>
        <v>9.1666666666666661</v>
      </c>
      <c r="M21" s="208">
        <f>O4</f>
        <v>9.6666666666666661</v>
      </c>
      <c r="N21" s="208">
        <f>O5</f>
        <v>10</v>
      </c>
      <c r="O21" s="208">
        <f>O6</f>
        <v>9.5</v>
      </c>
      <c r="P21" s="208">
        <f>O7</f>
        <v>9.3333333333333339</v>
      </c>
      <c r="Q21" s="208">
        <f>O8</f>
        <v>10</v>
      </c>
      <c r="R21" s="208">
        <f>O9</f>
        <v>9</v>
      </c>
      <c r="S21" s="208">
        <f>O10</f>
        <v>9.5</v>
      </c>
      <c r="T21" s="209">
        <f>O11</f>
        <v>22.666666666666668</v>
      </c>
    </row>
    <row r="22" spans="1:20" x14ac:dyDescent="0.35">
      <c r="A22" s="13" t="s">
        <v>262</v>
      </c>
      <c r="B22" s="218">
        <v>10</v>
      </c>
      <c r="C22" s="219">
        <v>10</v>
      </c>
      <c r="D22" s="220">
        <v>10</v>
      </c>
      <c r="E22" s="221">
        <v>10</v>
      </c>
      <c r="F22" s="54">
        <v>10</v>
      </c>
      <c r="G22" s="177"/>
      <c r="J22" s="18" t="s">
        <v>5</v>
      </c>
      <c r="K22" s="208">
        <f>P2</f>
        <v>9.3333333333333339</v>
      </c>
      <c r="L22" s="208">
        <f>P3</f>
        <v>10</v>
      </c>
      <c r="M22" s="208">
        <f>P4</f>
        <v>9.3333333333333339</v>
      </c>
      <c r="N22" s="208">
        <f>P5</f>
        <v>10</v>
      </c>
      <c r="O22" s="208">
        <f>P6</f>
        <v>10</v>
      </c>
      <c r="P22" s="208">
        <f>P7</f>
        <v>9.3333333333333339</v>
      </c>
      <c r="Q22" s="208">
        <f>P8</f>
        <v>9.6666666666666661</v>
      </c>
      <c r="R22" s="208">
        <f>P9</f>
        <v>10</v>
      </c>
      <c r="S22" s="208">
        <f>P10</f>
        <v>10</v>
      </c>
      <c r="T22" s="209">
        <f>P11</f>
        <v>16</v>
      </c>
    </row>
    <row r="23" spans="1:20" x14ac:dyDescent="0.35">
      <c r="A23" s="13" t="s">
        <v>263</v>
      </c>
      <c r="B23" s="218">
        <v>10</v>
      </c>
      <c r="C23" s="219">
        <v>10</v>
      </c>
      <c r="D23" s="220">
        <v>9</v>
      </c>
      <c r="E23" s="221">
        <v>10</v>
      </c>
      <c r="F23" s="54">
        <v>10</v>
      </c>
      <c r="G23" s="177"/>
    </row>
    <row r="24" spans="1:20" x14ac:dyDescent="0.35">
      <c r="A24" s="13" t="s">
        <v>264</v>
      </c>
      <c r="B24" s="218">
        <v>10</v>
      </c>
      <c r="C24" s="219">
        <v>10</v>
      </c>
      <c r="D24" s="220">
        <v>10</v>
      </c>
      <c r="E24" s="221">
        <v>9</v>
      </c>
      <c r="F24" s="54">
        <v>9</v>
      </c>
      <c r="G24" s="177"/>
    </row>
    <row r="25" spans="1:20" x14ac:dyDescent="0.35">
      <c r="A25" s="13" t="s">
        <v>265</v>
      </c>
      <c r="B25" s="218">
        <v>10</v>
      </c>
      <c r="C25" s="219">
        <v>10</v>
      </c>
      <c r="D25" s="220">
        <v>10</v>
      </c>
      <c r="E25" s="221">
        <v>10</v>
      </c>
      <c r="F25" s="54">
        <v>10</v>
      </c>
      <c r="G25" s="177"/>
    </row>
    <row r="26" spans="1:20" x14ac:dyDescent="0.35">
      <c r="A26" s="13" t="s">
        <v>266</v>
      </c>
      <c r="B26" s="218">
        <v>10</v>
      </c>
      <c r="C26" s="219">
        <v>10</v>
      </c>
      <c r="D26" s="220">
        <v>9</v>
      </c>
      <c r="E26" s="221">
        <v>10</v>
      </c>
      <c r="F26" s="54">
        <v>10</v>
      </c>
      <c r="G26" s="177"/>
    </row>
    <row r="27" spans="1:20" x14ac:dyDescent="0.35">
      <c r="A27" s="13" t="s">
        <v>267</v>
      </c>
      <c r="B27" s="218">
        <v>10</v>
      </c>
      <c r="C27" s="219">
        <v>10</v>
      </c>
      <c r="D27" s="220">
        <v>9</v>
      </c>
      <c r="E27" s="221">
        <v>10</v>
      </c>
      <c r="F27" s="54">
        <v>10</v>
      </c>
      <c r="G27" s="177"/>
    </row>
    <row r="28" spans="1:20" x14ac:dyDescent="0.35">
      <c r="A28" s="13" t="s">
        <v>268</v>
      </c>
      <c r="B28" s="218">
        <v>10</v>
      </c>
      <c r="C28" s="219">
        <v>10</v>
      </c>
      <c r="D28" s="220">
        <v>9</v>
      </c>
      <c r="E28" s="221">
        <v>10</v>
      </c>
      <c r="F28" s="54">
        <v>10</v>
      </c>
      <c r="G28" s="177"/>
    </row>
    <row r="29" spans="1:20" x14ac:dyDescent="0.35">
      <c r="A29" s="13" t="s">
        <v>269</v>
      </c>
      <c r="B29" s="218">
        <v>10</v>
      </c>
      <c r="C29" s="219">
        <v>9</v>
      </c>
      <c r="D29" s="220">
        <v>10</v>
      </c>
      <c r="E29" s="221">
        <v>10</v>
      </c>
      <c r="F29" s="54">
        <v>10</v>
      </c>
      <c r="G29" s="177"/>
    </row>
    <row r="30" spans="1:20" x14ac:dyDescent="0.35">
      <c r="A30" s="13" t="s">
        <v>270</v>
      </c>
      <c r="B30" s="218">
        <v>10</v>
      </c>
      <c r="C30" s="219">
        <v>10</v>
      </c>
      <c r="D30" s="220">
        <v>10</v>
      </c>
      <c r="E30" s="221">
        <v>9</v>
      </c>
      <c r="F30" s="54">
        <v>10</v>
      </c>
      <c r="G30" s="177"/>
    </row>
    <row r="31" spans="1:20" x14ac:dyDescent="0.35">
      <c r="A31" s="13" t="s">
        <v>271</v>
      </c>
      <c r="B31" s="218">
        <v>19</v>
      </c>
      <c r="C31" s="219">
        <v>17</v>
      </c>
      <c r="D31" s="220">
        <v>28</v>
      </c>
      <c r="E31" s="221">
        <v>20</v>
      </c>
      <c r="F31" s="54">
        <v>19</v>
      </c>
      <c r="G31" s="177"/>
    </row>
    <row r="32" spans="1:20" x14ac:dyDescent="0.35">
      <c r="A32" s="29"/>
      <c r="B32" s="177"/>
      <c r="C32" s="177"/>
      <c r="D32" s="177"/>
      <c r="E32" s="177"/>
      <c r="F32" s="177"/>
      <c r="G32" s="177"/>
    </row>
    <row r="33" spans="1:7" x14ac:dyDescent="0.35">
      <c r="A33" s="13" t="s">
        <v>7</v>
      </c>
      <c r="B33" s="15" t="s">
        <v>0</v>
      </c>
      <c r="C33" s="16" t="s">
        <v>1</v>
      </c>
      <c r="D33" s="17" t="s">
        <v>2</v>
      </c>
      <c r="E33" s="24" t="s">
        <v>3</v>
      </c>
      <c r="F33" s="23" t="s">
        <v>4</v>
      </c>
      <c r="G33" s="18" t="s">
        <v>5</v>
      </c>
    </row>
    <row r="34" spans="1:7" x14ac:dyDescent="0.35">
      <c r="A34" s="13" t="s">
        <v>242</v>
      </c>
      <c r="B34" s="218">
        <v>10</v>
      </c>
      <c r="C34" s="219">
        <v>10</v>
      </c>
      <c r="D34" s="10">
        <v>9</v>
      </c>
      <c r="E34" s="221">
        <v>10</v>
      </c>
      <c r="F34" s="54">
        <v>10</v>
      </c>
      <c r="G34" s="177"/>
    </row>
    <row r="35" spans="1:7" x14ac:dyDescent="0.35">
      <c r="A35" s="13" t="s">
        <v>243</v>
      </c>
      <c r="B35" s="218">
        <v>10</v>
      </c>
      <c r="C35" s="219">
        <v>10</v>
      </c>
      <c r="D35" s="220">
        <v>10</v>
      </c>
      <c r="E35" s="221">
        <v>10</v>
      </c>
      <c r="F35" s="22">
        <v>8</v>
      </c>
      <c r="G35" s="177"/>
    </row>
    <row r="36" spans="1:7" x14ac:dyDescent="0.35">
      <c r="A36" s="13" t="s">
        <v>244</v>
      </c>
      <c r="B36" s="218">
        <v>10</v>
      </c>
      <c r="C36" s="219">
        <v>9</v>
      </c>
      <c r="D36" s="220">
        <v>10</v>
      </c>
      <c r="E36" s="221">
        <v>10</v>
      </c>
      <c r="F36" s="22">
        <v>9</v>
      </c>
      <c r="G36" s="177"/>
    </row>
    <row r="37" spans="1:7" x14ac:dyDescent="0.35">
      <c r="A37" s="13" t="s">
        <v>245</v>
      </c>
      <c r="B37" s="218">
        <v>10</v>
      </c>
      <c r="C37" s="219">
        <v>10</v>
      </c>
      <c r="D37" s="220">
        <v>10</v>
      </c>
      <c r="E37" s="221">
        <v>10</v>
      </c>
      <c r="F37" s="54">
        <v>10</v>
      </c>
      <c r="G37" s="177"/>
    </row>
    <row r="38" spans="1:7" x14ac:dyDescent="0.35">
      <c r="A38" s="13" t="s">
        <v>246</v>
      </c>
      <c r="B38" s="218">
        <v>10</v>
      </c>
      <c r="C38" s="219">
        <v>10</v>
      </c>
      <c r="D38" s="220">
        <v>10</v>
      </c>
      <c r="E38" s="221">
        <v>9</v>
      </c>
      <c r="F38" s="54">
        <v>10</v>
      </c>
      <c r="G38" s="177"/>
    </row>
    <row r="39" spans="1:7" x14ac:dyDescent="0.35">
      <c r="A39" s="13" t="s">
        <v>247</v>
      </c>
      <c r="B39" s="218">
        <v>10</v>
      </c>
      <c r="C39" s="219">
        <v>10</v>
      </c>
      <c r="D39" s="220">
        <v>10</v>
      </c>
      <c r="E39" s="221">
        <v>10</v>
      </c>
      <c r="F39" s="22">
        <v>9</v>
      </c>
      <c r="G39" s="177"/>
    </row>
    <row r="40" spans="1:7" x14ac:dyDescent="0.35">
      <c r="A40" s="13" t="s">
        <v>248</v>
      </c>
      <c r="B40" s="218">
        <v>9</v>
      </c>
      <c r="C40" s="219">
        <v>10</v>
      </c>
      <c r="D40" s="220">
        <v>10</v>
      </c>
      <c r="E40" s="221">
        <v>10</v>
      </c>
      <c r="F40" s="54">
        <v>10</v>
      </c>
      <c r="G40" s="177"/>
    </row>
    <row r="41" spans="1:7" x14ac:dyDescent="0.35">
      <c r="A41" s="13" t="s">
        <v>249</v>
      </c>
      <c r="B41" s="218">
        <v>10</v>
      </c>
      <c r="C41" s="219">
        <v>10</v>
      </c>
      <c r="D41" s="220">
        <v>10</v>
      </c>
      <c r="E41" s="221">
        <v>10</v>
      </c>
      <c r="F41" s="22">
        <v>9</v>
      </c>
      <c r="G41" s="177"/>
    </row>
    <row r="42" spans="1:7" x14ac:dyDescent="0.35">
      <c r="A42" s="13" t="s">
        <v>250</v>
      </c>
      <c r="B42" s="218">
        <v>10</v>
      </c>
      <c r="C42" s="219">
        <v>10</v>
      </c>
      <c r="D42" s="220">
        <v>10</v>
      </c>
      <c r="E42" s="221">
        <v>10</v>
      </c>
      <c r="F42" s="22">
        <v>7</v>
      </c>
      <c r="G42" s="177"/>
    </row>
    <row r="43" spans="1:7" x14ac:dyDescent="0.35">
      <c r="A43" s="13" t="s">
        <v>251</v>
      </c>
      <c r="B43" s="218">
        <v>20</v>
      </c>
      <c r="C43" s="219">
        <v>20</v>
      </c>
      <c r="D43" s="220">
        <v>19</v>
      </c>
      <c r="E43" s="221">
        <v>30</v>
      </c>
      <c r="F43" s="22">
        <v>27</v>
      </c>
      <c r="G43" s="177"/>
    </row>
    <row r="44" spans="1:7" x14ac:dyDescent="0.35">
      <c r="A44" s="13" t="s">
        <v>252</v>
      </c>
      <c r="B44" s="218">
        <v>10</v>
      </c>
      <c r="C44" s="219">
        <v>10</v>
      </c>
      <c r="D44" s="220">
        <v>10</v>
      </c>
      <c r="E44" s="221">
        <v>10</v>
      </c>
      <c r="F44" s="22">
        <v>9</v>
      </c>
      <c r="G44" s="177"/>
    </row>
    <row r="45" spans="1:7" x14ac:dyDescent="0.35">
      <c r="A45" s="13" t="s">
        <v>253</v>
      </c>
      <c r="B45" s="218">
        <v>10</v>
      </c>
      <c r="C45" s="219">
        <v>10</v>
      </c>
      <c r="D45" s="220">
        <v>10</v>
      </c>
      <c r="E45" s="221">
        <v>10</v>
      </c>
      <c r="F45" s="22">
        <v>9</v>
      </c>
      <c r="G45" s="177"/>
    </row>
    <row r="46" spans="1:7" x14ac:dyDescent="0.35">
      <c r="A46" s="13" t="s">
        <v>254</v>
      </c>
      <c r="B46" s="218">
        <v>10</v>
      </c>
      <c r="C46" s="219">
        <v>10</v>
      </c>
      <c r="D46" s="220">
        <v>10</v>
      </c>
      <c r="E46" s="221">
        <v>10</v>
      </c>
      <c r="F46" s="54">
        <v>10</v>
      </c>
      <c r="G46" s="177"/>
    </row>
    <row r="47" spans="1:7" x14ac:dyDescent="0.35">
      <c r="A47" s="13" t="s">
        <v>255</v>
      </c>
      <c r="B47" s="218">
        <v>10</v>
      </c>
      <c r="C47" s="219">
        <v>10</v>
      </c>
      <c r="D47" s="220">
        <v>10</v>
      </c>
      <c r="E47" s="221">
        <v>9</v>
      </c>
      <c r="F47" s="54">
        <v>10</v>
      </c>
      <c r="G47" s="177"/>
    </row>
    <row r="48" spans="1:7" x14ac:dyDescent="0.35">
      <c r="A48" s="13" t="s">
        <v>256</v>
      </c>
      <c r="B48" s="218">
        <v>10</v>
      </c>
      <c r="C48" s="219">
        <v>10</v>
      </c>
      <c r="D48" s="220">
        <v>10</v>
      </c>
      <c r="E48" s="221">
        <v>8</v>
      </c>
      <c r="F48" s="54">
        <v>10</v>
      </c>
      <c r="G48" s="177"/>
    </row>
    <row r="49" spans="1:7" x14ac:dyDescent="0.35">
      <c r="A49" s="13" t="s">
        <v>257</v>
      </c>
      <c r="B49" s="218">
        <v>9</v>
      </c>
      <c r="C49" s="219">
        <v>10</v>
      </c>
      <c r="D49" s="220">
        <v>10</v>
      </c>
      <c r="E49" s="221">
        <v>9</v>
      </c>
      <c r="F49" s="22">
        <v>9</v>
      </c>
      <c r="G49" s="177"/>
    </row>
    <row r="50" spans="1:7" x14ac:dyDescent="0.35">
      <c r="A50" s="13" t="s">
        <v>258</v>
      </c>
      <c r="B50" s="218">
        <v>10</v>
      </c>
      <c r="C50" s="219">
        <v>10</v>
      </c>
      <c r="D50" s="220">
        <v>10</v>
      </c>
      <c r="E50" s="221">
        <v>10</v>
      </c>
      <c r="F50" s="54">
        <v>10</v>
      </c>
      <c r="G50" s="177"/>
    </row>
    <row r="51" spans="1:7" x14ac:dyDescent="0.35">
      <c r="A51" s="13" t="s">
        <v>259</v>
      </c>
      <c r="B51" s="8">
        <v>8</v>
      </c>
      <c r="C51" s="219">
        <v>10</v>
      </c>
      <c r="D51" s="220">
        <v>10</v>
      </c>
      <c r="E51" s="221">
        <v>10</v>
      </c>
      <c r="F51" s="54">
        <v>10</v>
      </c>
      <c r="G51" s="177"/>
    </row>
    <row r="52" spans="1:7" x14ac:dyDescent="0.35">
      <c r="A52" s="13" t="s">
        <v>260</v>
      </c>
      <c r="B52" s="218">
        <v>10</v>
      </c>
      <c r="C52" s="219">
        <v>10</v>
      </c>
      <c r="D52" s="220">
        <v>10</v>
      </c>
      <c r="E52" s="221">
        <v>10</v>
      </c>
      <c r="F52" s="54">
        <v>10</v>
      </c>
      <c r="G52" s="177"/>
    </row>
    <row r="53" spans="1:7" x14ac:dyDescent="0.35">
      <c r="A53" s="13" t="s">
        <v>261</v>
      </c>
      <c r="B53" s="218">
        <v>20</v>
      </c>
      <c r="C53" s="219">
        <v>20</v>
      </c>
      <c r="D53" s="220">
        <v>20</v>
      </c>
      <c r="E53" s="221">
        <v>9</v>
      </c>
      <c r="F53" s="22">
        <v>20</v>
      </c>
      <c r="G53" s="177"/>
    </row>
    <row r="54" spans="1:7" x14ac:dyDescent="0.35">
      <c r="A54" s="13" t="s">
        <v>262</v>
      </c>
      <c r="B54" s="218">
        <v>9</v>
      </c>
      <c r="C54" s="219">
        <v>10</v>
      </c>
      <c r="D54" s="220">
        <v>10</v>
      </c>
      <c r="E54" s="221">
        <v>10</v>
      </c>
      <c r="F54" s="54">
        <v>10</v>
      </c>
      <c r="G54" s="177"/>
    </row>
    <row r="55" spans="1:7" x14ac:dyDescent="0.35">
      <c r="A55" s="13" t="s">
        <v>263</v>
      </c>
      <c r="B55" s="8">
        <v>8</v>
      </c>
      <c r="C55" s="219">
        <v>9</v>
      </c>
      <c r="D55" s="220">
        <v>10</v>
      </c>
      <c r="E55" s="221">
        <v>10</v>
      </c>
      <c r="F55" s="22">
        <v>9</v>
      </c>
      <c r="G55" s="177"/>
    </row>
    <row r="56" spans="1:7" x14ac:dyDescent="0.35">
      <c r="A56" s="13" t="s">
        <v>264</v>
      </c>
      <c r="B56" s="218">
        <v>10</v>
      </c>
      <c r="C56" s="219">
        <v>10</v>
      </c>
      <c r="D56" s="220">
        <v>10</v>
      </c>
      <c r="E56" s="21">
        <v>9</v>
      </c>
      <c r="F56" s="54">
        <v>10</v>
      </c>
      <c r="G56" s="177"/>
    </row>
    <row r="57" spans="1:7" x14ac:dyDescent="0.35">
      <c r="A57" s="13" t="s">
        <v>265</v>
      </c>
      <c r="B57" s="218">
        <v>9</v>
      </c>
      <c r="C57" s="219">
        <v>10</v>
      </c>
      <c r="D57" s="220">
        <v>10</v>
      </c>
      <c r="E57" s="221">
        <v>8</v>
      </c>
      <c r="F57" s="54">
        <v>10</v>
      </c>
      <c r="G57" s="177"/>
    </row>
    <row r="58" spans="1:7" x14ac:dyDescent="0.35">
      <c r="A58" s="13" t="s">
        <v>266</v>
      </c>
      <c r="B58" s="218">
        <v>10</v>
      </c>
      <c r="C58" s="9">
        <v>9</v>
      </c>
      <c r="D58" s="220">
        <v>10</v>
      </c>
      <c r="E58" s="221">
        <v>10</v>
      </c>
      <c r="F58" s="22">
        <v>9</v>
      </c>
      <c r="G58" s="177"/>
    </row>
    <row r="59" spans="1:7" x14ac:dyDescent="0.35">
      <c r="A59" s="13" t="s">
        <v>267</v>
      </c>
      <c r="B59" s="218">
        <v>10</v>
      </c>
      <c r="C59" s="219">
        <v>10</v>
      </c>
      <c r="D59" s="220">
        <v>10</v>
      </c>
      <c r="E59" s="221">
        <v>10</v>
      </c>
      <c r="F59" s="54">
        <v>10</v>
      </c>
      <c r="G59" s="177"/>
    </row>
    <row r="60" spans="1:7" x14ac:dyDescent="0.35">
      <c r="A60" s="13" t="s">
        <v>268</v>
      </c>
      <c r="B60" s="218">
        <v>10</v>
      </c>
      <c r="C60" s="219">
        <v>10</v>
      </c>
      <c r="D60" s="220">
        <v>10</v>
      </c>
      <c r="E60" s="221">
        <v>10</v>
      </c>
      <c r="F60" s="54">
        <v>10</v>
      </c>
      <c r="G60" s="177"/>
    </row>
    <row r="61" spans="1:7" x14ac:dyDescent="0.35">
      <c r="A61" s="13" t="s">
        <v>269</v>
      </c>
      <c r="B61" s="218">
        <v>10</v>
      </c>
      <c r="C61" s="219">
        <v>10</v>
      </c>
      <c r="D61" s="220">
        <v>10</v>
      </c>
      <c r="E61" s="221">
        <v>10</v>
      </c>
      <c r="F61" s="22">
        <v>7</v>
      </c>
      <c r="G61" s="177"/>
    </row>
    <row r="62" spans="1:7" x14ac:dyDescent="0.35">
      <c r="A62" s="13" t="s">
        <v>270</v>
      </c>
      <c r="B62" s="218">
        <v>10</v>
      </c>
      <c r="C62" s="219">
        <v>10</v>
      </c>
      <c r="D62" s="220">
        <v>10</v>
      </c>
      <c r="E62" s="221">
        <v>9</v>
      </c>
      <c r="F62" s="54">
        <v>10</v>
      </c>
      <c r="G62" s="177"/>
    </row>
    <row r="63" spans="1:7" x14ac:dyDescent="0.35">
      <c r="A63" s="13" t="s">
        <v>271</v>
      </c>
      <c r="B63" s="218">
        <v>30</v>
      </c>
      <c r="C63" s="219">
        <v>30</v>
      </c>
      <c r="D63" s="220">
        <v>30</v>
      </c>
      <c r="E63" s="221">
        <v>29</v>
      </c>
      <c r="F63" s="22">
        <v>30</v>
      </c>
      <c r="G63" s="177"/>
    </row>
    <row r="64" spans="1:7" x14ac:dyDescent="0.35">
      <c r="A64" s="29" t="s">
        <v>111</v>
      </c>
      <c r="B64" s="177"/>
      <c r="C64" s="177"/>
      <c r="D64" s="177"/>
      <c r="E64" s="177"/>
      <c r="F64" s="177"/>
      <c r="G64" s="177"/>
    </row>
    <row r="65" spans="1:7" x14ac:dyDescent="0.35">
      <c r="A65" s="13" t="s">
        <v>8</v>
      </c>
      <c r="B65" s="15" t="s">
        <v>0</v>
      </c>
      <c r="C65" s="16" t="s">
        <v>1</v>
      </c>
      <c r="D65" s="17" t="s">
        <v>2</v>
      </c>
      <c r="E65" s="24" t="s">
        <v>3</v>
      </c>
      <c r="F65" s="23" t="s">
        <v>4</v>
      </c>
      <c r="G65" s="18" t="s">
        <v>5</v>
      </c>
    </row>
    <row r="66" spans="1:7" x14ac:dyDescent="0.35">
      <c r="A66" s="13" t="s">
        <v>242</v>
      </c>
      <c r="B66" s="177"/>
      <c r="C66" s="219">
        <v>10</v>
      </c>
      <c r="D66" s="220">
        <v>10</v>
      </c>
      <c r="E66" s="221">
        <v>10</v>
      </c>
      <c r="F66" s="177"/>
      <c r="G66" s="226">
        <v>8</v>
      </c>
    </row>
    <row r="67" spans="1:7" x14ac:dyDescent="0.35">
      <c r="A67" s="13" t="s">
        <v>243</v>
      </c>
      <c r="B67" s="177"/>
      <c r="C67" s="219">
        <v>10</v>
      </c>
      <c r="D67" s="220">
        <v>10</v>
      </c>
      <c r="E67" s="221">
        <v>10</v>
      </c>
      <c r="F67" s="177"/>
      <c r="G67" s="226">
        <v>10</v>
      </c>
    </row>
    <row r="68" spans="1:7" x14ac:dyDescent="0.35">
      <c r="A68" s="13" t="s">
        <v>244</v>
      </c>
      <c r="B68" s="177"/>
      <c r="C68" s="219">
        <v>10</v>
      </c>
      <c r="D68" s="220">
        <v>10</v>
      </c>
      <c r="E68" s="221">
        <v>10</v>
      </c>
      <c r="F68" s="177"/>
      <c r="G68" s="226">
        <v>8</v>
      </c>
    </row>
    <row r="69" spans="1:7" x14ac:dyDescent="0.35">
      <c r="A69" s="13" t="s">
        <v>245</v>
      </c>
      <c r="B69" s="177"/>
      <c r="C69" s="219">
        <v>10</v>
      </c>
      <c r="D69" s="220">
        <v>10</v>
      </c>
      <c r="E69" s="221">
        <v>10</v>
      </c>
      <c r="F69" s="177"/>
      <c r="G69" s="226">
        <v>10</v>
      </c>
    </row>
    <row r="70" spans="1:7" x14ac:dyDescent="0.35">
      <c r="A70" s="13" t="s">
        <v>246</v>
      </c>
      <c r="B70" s="177"/>
      <c r="C70" s="219">
        <v>10</v>
      </c>
      <c r="D70" s="220">
        <v>10</v>
      </c>
      <c r="E70" s="221">
        <v>10</v>
      </c>
      <c r="F70" s="177"/>
      <c r="G70" s="226">
        <v>10</v>
      </c>
    </row>
    <row r="71" spans="1:7" x14ac:dyDescent="0.35">
      <c r="A71" s="13" t="s">
        <v>247</v>
      </c>
      <c r="B71" s="177"/>
      <c r="C71" s="219">
        <v>8</v>
      </c>
      <c r="D71" s="220">
        <v>10</v>
      </c>
      <c r="E71" s="221">
        <v>9</v>
      </c>
      <c r="F71" s="177"/>
      <c r="G71" s="226">
        <v>9</v>
      </c>
    </row>
    <row r="72" spans="1:7" x14ac:dyDescent="0.35">
      <c r="A72" s="13" t="s">
        <v>248</v>
      </c>
      <c r="B72" s="177"/>
      <c r="C72" s="219">
        <v>10</v>
      </c>
      <c r="D72" s="220">
        <v>10</v>
      </c>
      <c r="E72" s="221">
        <v>9</v>
      </c>
      <c r="F72" s="177"/>
      <c r="G72" s="226">
        <v>10</v>
      </c>
    </row>
    <row r="73" spans="1:7" x14ac:dyDescent="0.35">
      <c r="A73" s="13" t="s">
        <v>249</v>
      </c>
      <c r="B73" s="177"/>
      <c r="C73" s="219">
        <v>10</v>
      </c>
      <c r="D73" s="220">
        <v>10</v>
      </c>
      <c r="E73" s="221">
        <v>10</v>
      </c>
      <c r="F73" s="177"/>
      <c r="G73" s="226">
        <v>10</v>
      </c>
    </row>
    <row r="74" spans="1:7" x14ac:dyDescent="0.35">
      <c r="A74" s="13" t="s">
        <v>250</v>
      </c>
      <c r="B74" s="177"/>
      <c r="C74" s="219">
        <v>10</v>
      </c>
      <c r="D74" s="220">
        <v>9</v>
      </c>
      <c r="E74" s="221">
        <v>10</v>
      </c>
      <c r="F74" s="177"/>
      <c r="G74" s="226">
        <v>10</v>
      </c>
    </row>
    <row r="75" spans="1:7" x14ac:dyDescent="0.35">
      <c r="A75" s="13" t="s">
        <v>251</v>
      </c>
      <c r="B75" s="177"/>
      <c r="C75" s="219">
        <v>18</v>
      </c>
      <c r="D75" s="220">
        <v>20</v>
      </c>
      <c r="E75" s="221">
        <v>18</v>
      </c>
      <c r="F75" s="177"/>
      <c r="G75" s="226">
        <v>20</v>
      </c>
    </row>
    <row r="76" spans="1:7" x14ac:dyDescent="0.35">
      <c r="A76" s="13" t="s">
        <v>252</v>
      </c>
      <c r="B76" s="177"/>
      <c r="C76" s="219">
        <v>10</v>
      </c>
      <c r="D76" s="220">
        <v>10</v>
      </c>
      <c r="E76" s="221">
        <v>9</v>
      </c>
      <c r="F76" s="177"/>
      <c r="G76" s="226">
        <v>10</v>
      </c>
    </row>
    <row r="77" spans="1:7" x14ac:dyDescent="0.35">
      <c r="A77" s="13" t="s">
        <v>253</v>
      </c>
      <c r="B77" s="177"/>
      <c r="C77" s="219">
        <v>10</v>
      </c>
      <c r="D77" s="220">
        <v>10</v>
      </c>
      <c r="E77" s="221">
        <v>8</v>
      </c>
      <c r="F77" s="177"/>
      <c r="G77" s="226">
        <v>10</v>
      </c>
    </row>
    <row r="78" spans="1:7" x14ac:dyDescent="0.35">
      <c r="A78" s="13" t="s">
        <v>254</v>
      </c>
      <c r="B78" s="177"/>
      <c r="C78" s="219">
        <v>10</v>
      </c>
      <c r="D78" s="220">
        <v>10</v>
      </c>
      <c r="E78" s="221">
        <v>10</v>
      </c>
      <c r="F78" s="177"/>
      <c r="G78" s="226">
        <v>10</v>
      </c>
    </row>
    <row r="79" spans="1:7" x14ac:dyDescent="0.35">
      <c r="A79" s="13" t="s">
        <v>255</v>
      </c>
      <c r="B79" s="177"/>
      <c r="C79" s="219">
        <v>10</v>
      </c>
      <c r="D79" s="220">
        <v>10</v>
      </c>
      <c r="E79" s="221">
        <v>10</v>
      </c>
      <c r="F79" s="177"/>
      <c r="G79" s="226">
        <v>10</v>
      </c>
    </row>
    <row r="80" spans="1:7" x14ac:dyDescent="0.35">
      <c r="A80" s="13" t="s">
        <v>256</v>
      </c>
      <c r="B80" s="177"/>
      <c r="C80" s="219">
        <v>10</v>
      </c>
      <c r="D80" s="220">
        <v>10</v>
      </c>
      <c r="E80" s="221">
        <v>10</v>
      </c>
      <c r="F80" s="177"/>
      <c r="G80" s="226">
        <v>10</v>
      </c>
    </row>
    <row r="81" spans="1:7" x14ac:dyDescent="0.35">
      <c r="A81" s="13" t="s">
        <v>257</v>
      </c>
      <c r="B81" s="177"/>
      <c r="C81" s="219" t="s">
        <v>227</v>
      </c>
      <c r="D81" s="220">
        <v>9</v>
      </c>
      <c r="E81" s="221">
        <v>10</v>
      </c>
      <c r="F81" s="177"/>
      <c r="G81" s="226">
        <v>10</v>
      </c>
    </row>
    <row r="82" spans="1:7" x14ac:dyDescent="0.35">
      <c r="A82" s="13" t="s">
        <v>258</v>
      </c>
      <c r="B82" s="177"/>
      <c r="C82" s="219">
        <v>10</v>
      </c>
      <c r="D82" s="220">
        <v>10</v>
      </c>
      <c r="E82" s="221">
        <v>9</v>
      </c>
      <c r="F82" s="177"/>
      <c r="G82" s="226">
        <v>10</v>
      </c>
    </row>
    <row r="83" spans="1:7" x14ac:dyDescent="0.35">
      <c r="A83" s="13" t="s">
        <v>259</v>
      </c>
      <c r="B83" s="177"/>
      <c r="C83" s="219">
        <v>10</v>
      </c>
      <c r="D83" s="220">
        <v>10</v>
      </c>
      <c r="E83" s="221">
        <v>9</v>
      </c>
      <c r="F83" s="177"/>
      <c r="G83" s="226">
        <v>10</v>
      </c>
    </row>
    <row r="84" spans="1:7" x14ac:dyDescent="0.35">
      <c r="A84" s="13" t="s">
        <v>260</v>
      </c>
      <c r="B84" s="177"/>
      <c r="C84" s="219">
        <v>10</v>
      </c>
      <c r="D84" s="220">
        <v>10</v>
      </c>
      <c r="E84" s="221">
        <v>10</v>
      </c>
      <c r="F84" s="177"/>
      <c r="G84" s="226">
        <v>10</v>
      </c>
    </row>
    <row r="85" spans="1:7" x14ac:dyDescent="0.35">
      <c r="A85" s="13" t="s">
        <v>261</v>
      </c>
      <c r="B85" s="177"/>
      <c r="C85" s="219">
        <v>18</v>
      </c>
      <c r="D85" s="220">
        <v>20</v>
      </c>
      <c r="E85" s="21">
        <v>8</v>
      </c>
      <c r="F85" s="177"/>
      <c r="G85" s="226">
        <v>9</v>
      </c>
    </row>
    <row r="86" spans="1:7" x14ac:dyDescent="0.35">
      <c r="A86" s="13" t="s">
        <v>262</v>
      </c>
      <c r="B86" s="177"/>
      <c r="C86" s="219">
        <v>10</v>
      </c>
      <c r="D86" s="220">
        <v>10</v>
      </c>
      <c r="E86" s="221">
        <v>10</v>
      </c>
      <c r="F86" s="177"/>
      <c r="G86" s="226">
        <v>10</v>
      </c>
    </row>
    <row r="87" spans="1:7" x14ac:dyDescent="0.35">
      <c r="A87" s="13" t="s">
        <v>263</v>
      </c>
      <c r="B87" s="177"/>
      <c r="C87" s="219">
        <v>10</v>
      </c>
      <c r="D87" s="220">
        <v>10</v>
      </c>
      <c r="E87" s="221">
        <v>10</v>
      </c>
      <c r="F87" s="177"/>
      <c r="G87" s="226">
        <v>10</v>
      </c>
    </row>
    <row r="88" spans="1:7" x14ac:dyDescent="0.35">
      <c r="A88" s="13" t="s">
        <v>264</v>
      </c>
      <c r="B88" s="177"/>
      <c r="C88" s="219">
        <v>10</v>
      </c>
      <c r="D88" s="220">
        <v>10</v>
      </c>
      <c r="E88" s="221">
        <v>10</v>
      </c>
      <c r="F88" s="177"/>
      <c r="G88" s="226">
        <v>10</v>
      </c>
    </row>
    <row r="89" spans="1:7" x14ac:dyDescent="0.35">
      <c r="A89" s="13" t="s">
        <v>265</v>
      </c>
      <c r="B89" s="177"/>
      <c r="C89" s="219">
        <v>9</v>
      </c>
      <c r="D89" s="220">
        <v>10</v>
      </c>
      <c r="E89" s="221">
        <v>10</v>
      </c>
      <c r="F89" s="177"/>
      <c r="G89" s="226">
        <v>10</v>
      </c>
    </row>
    <row r="90" spans="1:7" x14ac:dyDescent="0.35">
      <c r="A90" s="13" t="s">
        <v>266</v>
      </c>
      <c r="B90" s="177"/>
      <c r="C90" s="219">
        <v>10</v>
      </c>
      <c r="D90" s="220">
        <v>10</v>
      </c>
      <c r="E90" s="221">
        <v>9</v>
      </c>
      <c r="F90" s="177"/>
      <c r="G90" s="226">
        <v>10</v>
      </c>
    </row>
    <row r="91" spans="1:7" x14ac:dyDescent="0.35">
      <c r="A91" s="13" t="s">
        <v>267</v>
      </c>
      <c r="B91" s="177"/>
      <c r="C91" s="219">
        <v>10</v>
      </c>
      <c r="D91" s="220">
        <v>9</v>
      </c>
      <c r="E91" s="221">
        <v>10</v>
      </c>
      <c r="F91" s="177"/>
      <c r="G91" s="226">
        <v>9</v>
      </c>
    </row>
    <row r="92" spans="1:7" x14ac:dyDescent="0.35">
      <c r="A92" s="13" t="s">
        <v>268</v>
      </c>
      <c r="B92" s="177"/>
      <c r="C92" s="219">
        <v>10</v>
      </c>
      <c r="D92" s="220">
        <v>10</v>
      </c>
      <c r="E92" s="221">
        <v>10</v>
      </c>
      <c r="F92" s="177"/>
      <c r="G92" s="226">
        <v>9</v>
      </c>
    </row>
    <row r="93" spans="1:7" x14ac:dyDescent="0.35">
      <c r="A93" s="13" t="s">
        <v>269</v>
      </c>
      <c r="B93" s="177"/>
      <c r="C93" s="219">
        <v>10</v>
      </c>
      <c r="D93" s="220">
        <v>10</v>
      </c>
      <c r="E93" s="221">
        <v>10</v>
      </c>
      <c r="F93" s="177"/>
      <c r="G93" s="226">
        <v>10</v>
      </c>
    </row>
    <row r="94" spans="1:7" x14ac:dyDescent="0.35">
      <c r="A94" s="13" t="s">
        <v>270</v>
      </c>
      <c r="B94" s="177"/>
      <c r="C94" s="219">
        <v>10</v>
      </c>
      <c r="D94" s="220">
        <v>8</v>
      </c>
      <c r="E94" s="221">
        <v>9</v>
      </c>
      <c r="F94" s="177"/>
      <c r="G94" s="226">
        <v>10</v>
      </c>
    </row>
    <row r="95" spans="1:7" x14ac:dyDescent="0.35">
      <c r="A95" s="13" t="s">
        <v>271</v>
      </c>
      <c r="B95" s="177"/>
      <c r="C95" s="219">
        <v>20</v>
      </c>
      <c r="D95" s="220">
        <v>30</v>
      </c>
      <c r="E95" s="221">
        <v>30</v>
      </c>
      <c r="F95" s="177"/>
      <c r="G95" s="226">
        <v>19</v>
      </c>
    </row>
    <row r="96" spans="1:7" x14ac:dyDescent="0.35">
      <c r="A96" s="29" t="s">
        <v>143</v>
      </c>
      <c r="B96" s="177"/>
      <c r="C96" s="177"/>
      <c r="D96" s="177"/>
      <c r="E96" s="177"/>
      <c r="F96" s="177"/>
      <c r="G96" s="177"/>
    </row>
    <row r="97" spans="1:7" x14ac:dyDescent="0.35">
      <c r="A97" s="13" t="s">
        <v>9</v>
      </c>
      <c r="B97" s="15" t="s">
        <v>0</v>
      </c>
      <c r="C97" s="16" t="s">
        <v>1</v>
      </c>
      <c r="D97" s="17" t="s">
        <v>2</v>
      </c>
      <c r="E97" s="24" t="s">
        <v>3</v>
      </c>
      <c r="F97" s="23" t="s">
        <v>4</v>
      </c>
      <c r="G97" s="18" t="s">
        <v>5</v>
      </c>
    </row>
    <row r="98" spans="1:7" x14ac:dyDescent="0.35">
      <c r="A98" s="13" t="s">
        <v>242</v>
      </c>
      <c r="B98" s="8"/>
      <c r="C98" s="9"/>
      <c r="D98" s="10"/>
      <c r="E98" s="21"/>
      <c r="F98" s="22"/>
      <c r="G98" s="6"/>
    </row>
    <row r="99" spans="1:7" x14ac:dyDescent="0.35">
      <c r="A99" s="13" t="s">
        <v>243</v>
      </c>
      <c r="B99" s="8"/>
      <c r="C99" s="9"/>
      <c r="D99" s="10"/>
      <c r="E99" s="21"/>
      <c r="F99" s="22"/>
      <c r="G99" s="6"/>
    </row>
    <row r="100" spans="1:7" x14ac:dyDescent="0.35">
      <c r="A100" s="13" t="s">
        <v>244</v>
      </c>
      <c r="B100" s="8"/>
      <c r="C100" s="9"/>
      <c r="D100" s="10"/>
      <c r="E100" s="21"/>
      <c r="F100" s="22"/>
      <c r="G100" s="6"/>
    </row>
    <row r="101" spans="1:7" x14ac:dyDescent="0.35">
      <c r="A101" s="13" t="s">
        <v>245</v>
      </c>
      <c r="B101" s="8"/>
      <c r="C101" s="9"/>
      <c r="D101" s="10"/>
      <c r="E101" s="21"/>
      <c r="F101" s="22"/>
      <c r="G101" s="6"/>
    </row>
    <row r="102" spans="1:7" x14ac:dyDescent="0.35">
      <c r="A102" s="13" t="s">
        <v>246</v>
      </c>
      <c r="B102" s="8"/>
      <c r="C102" s="9"/>
      <c r="D102" s="10"/>
      <c r="E102" s="21"/>
      <c r="F102" s="22"/>
      <c r="G102" s="6"/>
    </row>
    <row r="103" spans="1:7" x14ac:dyDescent="0.35">
      <c r="A103" s="13" t="s">
        <v>247</v>
      </c>
      <c r="B103" s="8"/>
      <c r="C103" s="9"/>
      <c r="D103" s="10"/>
      <c r="E103" s="21"/>
      <c r="F103" s="22"/>
      <c r="G103" s="6"/>
    </row>
    <row r="104" spans="1:7" x14ac:dyDescent="0.35">
      <c r="A104" s="13" t="s">
        <v>248</v>
      </c>
      <c r="B104" s="8"/>
      <c r="C104" s="9"/>
      <c r="D104" s="10"/>
      <c r="E104" s="21"/>
      <c r="F104" s="22"/>
      <c r="G104" s="6"/>
    </row>
    <row r="105" spans="1:7" x14ac:dyDescent="0.35">
      <c r="A105" s="13" t="s">
        <v>249</v>
      </c>
      <c r="B105" s="8"/>
      <c r="C105" s="9"/>
      <c r="D105" s="10"/>
      <c r="E105" s="21"/>
      <c r="F105" s="22"/>
      <c r="G105" s="6"/>
    </row>
    <row r="106" spans="1:7" x14ac:dyDescent="0.35">
      <c r="A106" s="13" t="s">
        <v>250</v>
      </c>
      <c r="B106" s="8"/>
      <c r="C106" s="9"/>
      <c r="D106" s="10"/>
      <c r="E106" s="21"/>
      <c r="F106" s="22"/>
      <c r="G106" s="6"/>
    </row>
    <row r="107" spans="1:7" x14ac:dyDescent="0.35">
      <c r="A107" s="13" t="s">
        <v>251</v>
      </c>
      <c r="B107" s="8"/>
      <c r="C107" s="9"/>
      <c r="D107" s="10"/>
      <c r="E107" s="21"/>
      <c r="F107" s="22"/>
      <c r="G107" s="6"/>
    </row>
    <row r="108" spans="1:7" x14ac:dyDescent="0.35">
      <c r="A108" s="13" t="s">
        <v>252</v>
      </c>
      <c r="B108" s="8"/>
      <c r="C108" s="9"/>
      <c r="D108" s="10"/>
      <c r="E108" s="21"/>
      <c r="F108" s="22"/>
      <c r="G108" s="6"/>
    </row>
    <row r="109" spans="1:7" x14ac:dyDescent="0.35">
      <c r="A109" s="13" t="s">
        <v>253</v>
      </c>
      <c r="B109" s="8"/>
      <c r="C109" s="9"/>
      <c r="D109" s="10"/>
      <c r="E109" s="21"/>
      <c r="F109" s="22"/>
      <c r="G109" s="6"/>
    </row>
    <row r="110" spans="1:7" x14ac:dyDescent="0.35">
      <c r="A110" s="13" t="s">
        <v>254</v>
      </c>
      <c r="B110" s="8"/>
      <c r="C110" s="9"/>
      <c r="D110" s="10"/>
      <c r="E110" s="21"/>
      <c r="F110" s="22"/>
      <c r="G110" s="6"/>
    </row>
    <row r="111" spans="1:7" x14ac:dyDescent="0.35">
      <c r="A111" s="13" t="s">
        <v>255</v>
      </c>
      <c r="B111" s="8"/>
      <c r="C111" s="9"/>
      <c r="D111" s="10"/>
      <c r="E111" s="21"/>
      <c r="F111" s="22"/>
      <c r="G111" s="6"/>
    </row>
    <row r="112" spans="1:7" x14ac:dyDescent="0.35">
      <c r="A112" s="13" t="s">
        <v>256</v>
      </c>
      <c r="B112" s="8"/>
      <c r="C112" s="9"/>
      <c r="D112" s="10"/>
      <c r="E112" s="21"/>
      <c r="F112" s="22"/>
      <c r="G112" s="6"/>
    </row>
    <row r="113" spans="1:7" x14ac:dyDescent="0.35">
      <c r="A113" s="13" t="s">
        <v>257</v>
      </c>
      <c r="B113" s="8"/>
      <c r="C113" s="9"/>
      <c r="D113" s="10"/>
      <c r="E113" s="21"/>
      <c r="F113" s="22"/>
      <c r="G113" s="6"/>
    </row>
    <row r="114" spans="1:7" x14ac:dyDescent="0.35">
      <c r="A114" s="13" t="s">
        <v>258</v>
      </c>
      <c r="B114" s="8"/>
      <c r="C114" s="9"/>
      <c r="D114" s="10"/>
      <c r="E114" s="21"/>
      <c r="F114" s="22"/>
      <c r="G114" s="6"/>
    </row>
    <row r="115" spans="1:7" x14ac:dyDescent="0.35">
      <c r="A115" s="13" t="s">
        <v>259</v>
      </c>
      <c r="B115" s="8"/>
      <c r="C115" s="9"/>
      <c r="D115" s="10"/>
      <c r="E115" s="21"/>
      <c r="F115" s="22"/>
      <c r="G115" s="6"/>
    </row>
    <row r="116" spans="1:7" x14ac:dyDescent="0.35">
      <c r="A116" s="13" t="s">
        <v>260</v>
      </c>
      <c r="B116" s="8"/>
      <c r="C116" s="9"/>
      <c r="D116" s="10"/>
      <c r="E116" s="21"/>
      <c r="F116" s="22"/>
      <c r="G116" s="6"/>
    </row>
    <row r="117" spans="1:7" x14ac:dyDescent="0.35">
      <c r="A117" s="13" t="s">
        <v>261</v>
      </c>
      <c r="B117" s="8"/>
      <c r="C117" s="9"/>
      <c r="D117" s="10"/>
      <c r="E117" s="21"/>
      <c r="F117" s="22"/>
      <c r="G117" s="6"/>
    </row>
    <row r="118" spans="1:7" x14ac:dyDescent="0.35">
      <c r="A118" s="13" t="s">
        <v>262</v>
      </c>
      <c r="B118" s="8"/>
      <c r="C118" s="9"/>
      <c r="D118" s="10"/>
      <c r="E118" s="21"/>
      <c r="F118" s="22"/>
      <c r="G118" s="6"/>
    </row>
    <row r="119" spans="1:7" x14ac:dyDescent="0.35">
      <c r="A119" s="13" t="s">
        <v>263</v>
      </c>
      <c r="B119" s="8"/>
      <c r="C119" s="9"/>
      <c r="D119" s="10"/>
      <c r="E119" s="21"/>
      <c r="F119" s="22"/>
      <c r="G119" s="6"/>
    </row>
    <row r="120" spans="1:7" x14ac:dyDescent="0.35">
      <c r="A120" s="13" t="s">
        <v>264</v>
      </c>
      <c r="B120" s="8"/>
      <c r="C120" s="9"/>
      <c r="D120" s="10"/>
      <c r="E120" s="21"/>
      <c r="F120" s="22"/>
      <c r="G120" s="6"/>
    </row>
    <row r="121" spans="1:7" x14ac:dyDescent="0.35">
      <c r="A121" s="13" t="s">
        <v>265</v>
      </c>
      <c r="B121" s="8"/>
      <c r="C121" s="9"/>
      <c r="D121" s="10"/>
      <c r="E121" s="21"/>
      <c r="F121" s="22"/>
      <c r="G121" s="6"/>
    </row>
    <row r="122" spans="1:7" x14ac:dyDescent="0.35">
      <c r="A122" s="13" t="s">
        <v>266</v>
      </c>
      <c r="B122" s="8"/>
      <c r="C122" s="9"/>
      <c r="D122" s="10"/>
      <c r="E122" s="21"/>
      <c r="F122" s="22"/>
      <c r="G122" s="6"/>
    </row>
    <row r="123" spans="1:7" x14ac:dyDescent="0.35">
      <c r="A123" s="13" t="s">
        <v>267</v>
      </c>
      <c r="B123" s="8"/>
      <c r="C123" s="9"/>
      <c r="D123" s="10"/>
      <c r="E123" s="21"/>
      <c r="F123" s="22"/>
      <c r="G123" s="6"/>
    </row>
    <row r="124" spans="1:7" x14ac:dyDescent="0.35">
      <c r="A124" s="13" t="s">
        <v>268</v>
      </c>
      <c r="B124" s="8"/>
      <c r="C124" s="9"/>
      <c r="D124" s="10"/>
      <c r="E124" s="21"/>
      <c r="F124" s="22"/>
      <c r="G124" s="6"/>
    </row>
    <row r="125" spans="1:7" x14ac:dyDescent="0.35">
      <c r="A125" s="13" t="s">
        <v>269</v>
      </c>
      <c r="B125" s="8"/>
      <c r="C125" s="9"/>
      <c r="D125" s="10"/>
      <c r="E125" s="21"/>
      <c r="F125" s="22"/>
      <c r="G125" s="6"/>
    </row>
    <row r="126" spans="1:7" x14ac:dyDescent="0.35">
      <c r="A126" s="13" t="s">
        <v>270</v>
      </c>
      <c r="B126" s="8"/>
      <c r="C126" s="9"/>
      <c r="D126" s="10"/>
      <c r="E126" s="21"/>
      <c r="F126" s="22"/>
      <c r="G126" s="6"/>
    </row>
    <row r="127" spans="1:7" x14ac:dyDescent="0.35">
      <c r="A127" s="13" t="s">
        <v>271</v>
      </c>
      <c r="B127" s="8"/>
      <c r="C127" s="9"/>
      <c r="D127" s="10"/>
      <c r="E127" s="21"/>
      <c r="F127" s="22"/>
      <c r="G127" s="6"/>
    </row>
    <row r="128" spans="1:7" x14ac:dyDescent="0.35">
      <c r="A128" s="2"/>
      <c r="B128" s="2"/>
      <c r="C128" s="2"/>
      <c r="D128" s="2"/>
      <c r="E128" s="2"/>
      <c r="F128" s="2"/>
      <c r="G128" s="2"/>
    </row>
    <row r="129" spans="1:7" x14ac:dyDescent="0.35">
      <c r="A129" s="13" t="s">
        <v>10</v>
      </c>
      <c r="B129" s="15" t="s">
        <v>0</v>
      </c>
      <c r="C129" s="16" t="s">
        <v>1</v>
      </c>
      <c r="D129" s="17" t="s">
        <v>2</v>
      </c>
      <c r="E129" s="24" t="s">
        <v>3</v>
      </c>
      <c r="F129" s="23" t="s">
        <v>4</v>
      </c>
      <c r="G129" s="18" t="s">
        <v>5</v>
      </c>
    </row>
    <row r="130" spans="1:7" x14ac:dyDescent="0.35">
      <c r="A130" s="13" t="s">
        <v>242</v>
      </c>
      <c r="B130" s="8"/>
      <c r="C130" s="9"/>
      <c r="D130" s="10"/>
      <c r="E130" s="21"/>
      <c r="F130" s="22"/>
      <c r="G130" s="6"/>
    </row>
    <row r="131" spans="1:7" x14ac:dyDescent="0.35">
      <c r="A131" s="13" t="s">
        <v>243</v>
      </c>
      <c r="B131" s="8"/>
      <c r="C131" s="9"/>
      <c r="D131" s="10"/>
      <c r="E131" s="21"/>
      <c r="F131" s="22"/>
      <c r="G131" s="6"/>
    </row>
    <row r="132" spans="1:7" x14ac:dyDescent="0.35">
      <c r="A132" s="13" t="s">
        <v>244</v>
      </c>
      <c r="B132" s="8"/>
      <c r="C132" s="9"/>
      <c r="D132" s="10"/>
      <c r="E132" s="21"/>
      <c r="F132" s="22"/>
      <c r="G132" s="6"/>
    </row>
    <row r="133" spans="1:7" x14ac:dyDescent="0.35">
      <c r="A133" s="13" t="s">
        <v>245</v>
      </c>
      <c r="B133" s="8"/>
      <c r="C133" s="9"/>
      <c r="D133" s="10"/>
      <c r="E133" s="21"/>
      <c r="F133" s="22"/>
      <c r="G133" s="6"/>
    </row>
    <row r="134" spans="1:7" x14ac:dyDescent="0.35">
      <c r="A134" s="13" t="s">
        <v>246</v>
      </c>
      <c r="B134" s="8"/>
      <c r="C134" s="9"/>
      <c r="D134" s="10"/>
      <c r="E134" s="21"/>
      <c r="F134" s="22"/>
      <c r="G134" s="6"/>
    </row>
    <row r="135" spans="1:7" x14ac:dyDescent="0.35">
      <c r="A135" s="13" t="s">
        <v>247</v>
      </c>
      <c r="B135" s="8"/>
      <c r="C135" s="9"/>
      <c r="D135" s="10"/>
      <c r="E135" s="21"/>
      <c r="F135" s="22"/>
      <c r="G135" s="6"/>
    </row>
    <row r="136" spans="1:7" x14ac:dyDescent="0.35">
      <c r="A136" s="13" t="s">
        <v>248</v>
      </c>
      <c r="B136" s="8"/>
      <c r="C136" s="9"/>
      <c r="D136" s="10"/>
      <c r="E136" s="21"/>
      <c r="F136" s="22"/>
      <c r="G136" s="6"/>
    </row>
    <row r="137" spans="1:7" x14ac:dyDescent="0.35">
      <c r="A137" s="13" t="s">
        <v>249</v>
      </c>
      <c r="B137" s="8"/>
      <c r="C137" s="9"/>
      <c r="D137" s="10"/>
      <c r="E137" s="21"/>
      <c r="F137" s="22"/>
      <c r="G137" s="6"/>
    </row>
    <row r="138" spans="1:7" x14ac:dyDescent="0.35">
      <c r="A138" s="13" t="s">
        <v>250</v>
      </c>
      <c r="B138" s="8"/>
      <c r="C138" s="9"/>
      <c r="D138" s="10"/>
      <c r="E138" s="21"/>
      <c r="F138" s="22"/>
      <c r="G138" s="6"/>
    </row>
    <row r="139" spans="1:7" x14ac:dyDescent="0.35">
      <c r="A139" s="13" t="s">
        <v>251</v>
      </c>
      <c r="B139" s="8"/>
      <c r="C139" s="9"/>
      <c r="D139" s="10"/>
      <c r="E139" s="21"/>
      <c r="F139" s="22"/>
      <c r="G139" s="6"/>
    </row>
    <row r="140" spans="1:7" x14ac:dyDescent="0.35">
      <c r="A140" s="13" t="s">
        <v>252</v>
      </c>
      <c r="B140" s="8"/>
      <c r="C140" s="9"/>
      <c r="D140" s="10"/>
      <c r="E140" s="21"/>
      <c r="F140" s="22"/>
      <c r="G140" s="6"/>
    </row>
    <row r="141" spans="1:7" x14ac:dyDescent="0.35">
      <c r="A141" s="13" t="s">
        <v>253</v>
      </c>
      <c r="B141" s="8"/>
      <c r="C141" s="9"/>
      <c r="D141" s="10"/>
      <c r="E141" s="21"/>
      <c r="F141" s="22"/>
      <c r="G141" s="6"/>
    </row>
    <row r="142" spans="1:7" x14ac:dyDescent="0.35">
      <c r="A142" s="13" t="s">
        <v>254</v>
      </c>
      <c r="B142" s="8"/>
      <c r="C142" s="9"/>
      <c r="D142" s="10"/>
      <c r="E142" s="21"/>
      <c r="F142" s="22"/>
      <c r="G142" s="6"/>
    </row>
    <row r="143" spans="1:7" x14ac:dyDescent="0.35">
      <c r="A143" s="13" t="s">
        <v>255</v>
      </c>
      <c r="B143" s="8"/>
      <c r="C143" s="9"/>
      <c r="D143" s="10"/>
      <c r="E143" s="21"/>
      <c r="F143" s="22"/>
      <c r="G143" s="6"/>
    </row>
    <row r="144" spans="1:7" x14ac:dyDescent="0.35">
      <c r="A144" s="13" t="s">
        <v>256</v>
      </c>
      <c r="B144" s="8"/>
      <c r="C144" s="9"/>
      <c r="D144" s="10"/>
      <c r="E144" s="21"/>
      <c r="F144" s="22"/>
      <c r="G144" s="6"/>
    </row>
    <row r="145" spans="1:7" x14ac:dyDescent="0.35">
      <c r="A145" s="13" t="s">
        <v>257</v>
      </c>
      <c r="B145" s="8"/>
      <c r="C145" s="9"/>
      <c r="D145" s="10"/>
      <c r="E145" s="21"/>
      <c r="F145" s="22"/>
      <c r="G145" s="6"/>
    </row>
    <row r="146" spans="1:7" x14ac:dyDescent="0.35">
      <c r="A146" s="13" t="s">
        <v>258</v>
      </c>
      <c r="B146" s="8"/>
      <c r="C146" s="9"/>
      <c r="D146" s="10"/>
      <c r="E146" s="21"/>
      <c r="F146" s="22"/>
      <c r="G146" s="6"/>
    </row>
    <row r="147" spans="1:7" x14ac:dyDescent="0.35">
      <c r="A147" s="13" t="s">
        <v>259</v>
      </c>
      <c r="B147" s="8"/>
      <c r="C147" s="9"/>
      <c r="D147" s="10"/>
      <c r="E147" s="21"/>
      <c r="F147" s="22"/>
      <c r="G147" s="6"/>
    </row>
    <row r="148" spans="1:7" x14ac:dyDescent="0.35">
      <c r="A148" s="13" t="s">
        <v>260</v>
      </c>
      <c r="B148" s="8"/>
      <c r="C148" s="9"/>
      <c r="D148" s="10"/>
      <c r="E148" s="21"/>
      <c r="F148" s="22"/>
      <c r="G148" s="6"/>
    </row>
    <row r="149" spans="1:7" x14ac:dyDescent="0.35">
      <c r="A149" s="13" t="s">
        <v>261</v>
      </c>
      <c r="B149" s="8"/>
      <c r="C149" s="9"/>
      <c r="D149" s="10"/>
      <c r="E149" s="21"/>
      <c r="F149" s="22"/>
      <c r="G149" s="6"/>
    </row>
    <row r="150" spans="1:7" x14ac:dyDescent="0.35">
      <c r="A150" s="13" t="s">
        <v>262</v>
      </c>
      <c r="B150" s="8"/>
      <c r="C150" s="9"/>
      <c r="D150" s="10"/>
      <c r="E150" s="21"/>
      <c r="F150" s="22"/>
      <c r="G150" s="6"/>
    </row>
    <row r="151" spans="1:7" x14ac:dyDescent="0.35">
      <c r="A151" s="13" t="s">
        <v>263</v>
      </c>
      <c r="B151" s="8"/>
      <c r="C151" s="9"/>
      <c r="D151" s="10"/>
      <c r="E151" s="21"/>
      <c r="F151" s="22"/>
      <c r="G151" s="6"/>
    </row>
    <row r="152" spans="1:7" x14ac:dyDescent="0.35">
      <c r="A152" s="13" t="s">
        <v>264</v>
      </c>
      <c r="B152" s="8"/>
      <c r="C152" s="9"/>
      <c r="D152" s="10"/>
      <c r="E152" s="21"/>
      <c r="F152" s="22"/>
      <c r="G152" s="6"/>
    </row>
    <row r="153" spans="1:7" x14ac:dyDescent="0.35">
      <c r="A153" s="13" t="s">
        <v>265</v>
      </c>
      <c r="B153" s="8"/>
      <c r="C153" s="9"/>
      <c r="D153" s="10"/>
      <c r="E153" s="21"/>
      <c r="F153" s="22"/>
      <c r="G153" s="6"/>
    </row>
    <row r="154" spans="1:7" x14ac:dyDescent="0.35">
      <c r="A154" s="13" t="s">
        <v>266</v>
      </c>
      <c r="B154" s="8"/>
      <c r="C154" s="9"/>
      <c r="D154" s="10"/>
      <c r="E154" s="21"/>
      <c r="F154" s="22"/>
      <c r="G154" s="6"/>
    </row>
    <row r="155" spans="1:7" x14ac:dyDescent="0.35">
      <c r="A155" s="13" t="s">
        <v>267</v>
      </c>
      <c r="B155" s="8"/>
      <c r="C155" s="9"/>
      <c r="D155" s="10"/>
      <c r="E155" s="21"/>
      <c r="F155" s="22"/>
      <c r="G155" s="6"/>
    </row>
    <row r="156" spans="1:7" x14ac:dyDescent="0.35">
      <c r="A156" s="13" t="s">
        <v>268</v>
      </c>
      <c r="B156" s="8"/>
      <c r="C156" s="9"/>
      <c r="D156" s="10"/>
      <c r="E156" s="21"/>
      <c r="F156" s="22"/>
      <c r="G156" s="6"/>
    </row>
    <row r="157" spans="1:7" x14ac:dyDescent="0.35">
      <c r="A157" s="13" t="s">
        <v>269</v>
      </c>
      <c r="B157" s="8"/>
      <c r="C157" s="9"/>
      <c r="D157" s="10"/>
      <c r="E157" s="21"/>
      <c r="F157" s="22"/>
      <c r="G157" s="6"/>
    </row>
    <row r="158" spans="1:7" x14ac:dyDescent="0.35">
      <c r="A158" s="13" t="s">
        <v>270</v>
      </c>
      <c r="B158" s="8"/>
      <c r="C158" s="9"/>
      <c r="D158" s="10"/>
      <c r="E158" s="21"/>
      <c r="F158" s="22"/>
      <c r="G158" s="6"/>
    </row>
    <row r="159" spans="1:7" x14ac:dyDescent="0.35">
      <c r="A159" s="13" t="s">
        <v>271</v>
      </c>
      <c r="B159" s="8"/>
      <c r="C159" s="9"/>
      <c r="D159" s="10"/>
      <c r="E159" s="21"/>
      <c r="F159" s="22"/>
      <c r="G159" s="6"/>
    </row>
    <row r="160" spans="1:7" x14ac:dyDescent="0.35">
      <c r="A160" s="2"/>
      <c r="B160" s="2"/>
      <c r="C160" s="2"/>
      <c r="D160" s="2"/>
      <c r="E160" s="2"/>
      <c r="F160" s="2"/>
      <c r="G160" s="2"/>
    </row>
    <row r="161" spans="1:7" x14ac:dyDescent="0.35">
      <c r="A161" s="13" t="s">
        <v>11</v>
      </c>
      <c r="B161" s="15" t="s">
        <v>0</v>
      </c>
      <c r="C161" s="16" t="s">
        <v>1</v>
      </c>
      <c r="D161" s="17" t="s">
        <v>2</v>
      </c>
      <c r="E161" s="24" t="s">
        <v>3</v>
      </c>
      <c r="F161" s="23" t="s">
        <v>4</v>
      </c>
      <c r="G161" s="18" t="s">
        <v>5</v>
      </c>
    </row>
    <row r="162" spans="1:7" x14ac:dyDescent="0.35">
      <c r="A162" s="13" t="s">
        <v>242</v>
      </c>
      <c r="B162" s="8"/>
      <c r="C162" s="9"/>
      <c r="D162" s="10"/>
      <c r="E162" s="21"/>
      <c r="F162" s="22"/>
      <c r="G162" s="6"/>
    </row>
    <row r="163" spans="1:7" x14ac:dyDescent="0.35">
      <c r="A163" s="13" t="s">
        <v>243</v>
      </c>
      <c r="B163" s="8"/>
      <c r="C163" s="9"/>
      <c r="D163" s="10"/>
      <c r="E163" s="21"/>
      <c r="F163" s="22"/>
      <c r="G163" s="6"/>
    </row>
    <row r="164" spans="1:7" x14ac:dyDescent="0.35">
      <c r="A164" s="13" t="s">
        <v>244</v>
      </c>
      <c r="B164" s="8"/>
      <c r="C164" s="9"/>
      <c r="D164" s="10"/>
      <c r="E164" s="21"/>
      <c r="F164" s="22"/>
      <c r="G164" s="6"/>
    </row>
    <row r="165" spans="1:7" x14ac:dyDescent="0.35">
      <c r="A165" s="13" t="s">
        <v>245</v>
      </c>
      <c r="B165" s="8"/>
      <c r="C165" s="9"/>
      <c r="D165" s="10"/>
      <c r="E165" s="21"/>
      <c r="F165" s="22"/>
      <c r="G165" s="6"/>
    </row>
    <row r="166" spans="1:7" x14ac:dyDescent="0.35">
      <c r="A166" s="13" t="s">
        <v>246</v>
      </c>
      <c r="B166" s="8"/>
      <c r="C166" s="9"/>
      <c r="D166" s="10"/>
      <c r="E166" s="21"/>
      <c r="F166" s="22"/>
      <c r="G166" s="6"/>
    </row>
    <row r="167" spans="1:7" x14ac:dyDescent="0.35">
      <c r="A167" s="13" t="s">
        <v>247</v>
      </c>
      <c r="B167" s="8"/>
      <c r="C167" s="9"/>
      <c r="D167" s="10"/>
      <c r="E167" s="21"/>
      <c r="F167" s="22"/>
      <c r="G167" s="6"/>
    </row>
    <row r="168" spans="1:7" x14ac:dyDescent="0.35">
      <c r="A168" s="13" t="s">
        <v>248</v>
      </c>
      <c r="B168" s="8"/>
      <c r="C168" s="9"/>
      <c r="D168" s="10"/>
      <c r="E168" s="21"/>
      <c r="F168" s="22"/>
      <c r="G168" s="6"/>
    </row>
    <row r="169" spans="1:7" x14ac:dyDescent="0.35">
      <c r="A169" s="13" t="s">
        <v>249</v>
      </c>
      <c r="B169" s="8"/>
      <c r="C169" s="9"/>
      <c r="D169" s="10"/>
      <c r="E169" s="21"/>
      <c r="F169" s="22"/>
      <c r="G169" s="6"/>
    </row>
    <row r="170" spans="1:7" x14ac:dyDescent="0.35">
      <c r="A170" s="13" t="s">
        <v>250</v>
      </c>
      <c r="B170" s="8"/>
      <c r="C170" s="9"/>
      <c r="D170" s="10"/>
      <c r="E170" s="21"/>
      <c r="F170" s="22"/>
      <c r="G170" s="6"/>
    </row>
    <row r="171" spans="1:7" x14ac:dyDescent="0.35">
      <c r="A171" s="13" t="s">
        <v>251</v>
      </c>
      <c r="B171" s="8"/>
      <c r="C171" s="9"/>
      <c r="D171" s="10"/>
      <c r="E171" s="21"/>
      <c r="F171" s="22"/>
      <c r="G171" s="6"/>
    </row>
    <row r="172" spans="1:7" x14ac:dyDescent="0.35">
      <c r="A172" s="13" t="s">
        <v>252</v>
      </c>
      <c r="B172" s="8"/>
      <c r="C172" s="9"/>
      <c r="D172" s="10"/>
      <c r="E172" s="21"/>
      <c r="F172" s="22"/>
      <c r="G172" s="6"/>
    </row>
    <row r="173" spans="1:7" x14ac:dyDescent="0.35">
      <c r="A173" s="13" t="s">
        <v>253</v>
      </c>
      <c r="B173" s="8"/>
      <c r="C173" s="9"/>
      <c r="D173" s="10"/>
      <c r="E173" s="21"/>
      <c r="F173" s="22"/>
      <c r="G173" s="6"/>
    </row>
    <row r="174" spans="1:7" x14ac:dyDescent="0.35">
      <c r="A174" s="13" t="s">
        <v>254</v>
      </c>
      <c r="B174" s="8"/>
      <c r="C174" s="9"/>
      <c r="D174" s="10"/>
      <c r="E174" s="21"/>
      <c r="F174" s="22"/>
      <c r="G174" s="6"/>
    </row>
    <row r="175" spans="1:7" x14ac:dyDescent="0.35">
      <c r="A175" s="13" t="s">
        <v>255</v>
      </c>
      <c r="B175" s="8"/>
      <c r="C175" s="9"/>
      <c r="D175" s="10"/>
      <c r="E175" s="21"/>
      <c r="F175" s="22"/>
      <c r="G175" s="6"/>
    </row>
    <row r="176" spans="1:7" x14ac:dyDescent="0.35">
      <c r="A176" s="13" t="s">
        <v>256</v>
      </c>
      <c r="B176" s="8"/>
      <c r="C176" s="9"/>
      <c r="D176" s="10"/>
      <c r="E176" s="21"/>
      <c r="F176" s="22"/>
      <c r="G176" s="6"/>
    </row>
    <row r="177" spans="1:7" x14ac:dyDescent="0.35">
      <c r="A177" s="13" t="s">
        <v>257</v>
      </c>
      <c r="B177" s="8"/>
      <c r="C177" s="9"/>
      <c r="D177" s="10"/>
      <c r="E177" s="21"/>
      <c r="F177" s="22"/>
      <c r="G177" s="6"/>
    </row>
    <row r="178" spans="1:7" x14ac:dyDescent="0.35">
      <c r="A178" s="13" t="s">
        <v>258</v>
      </c>
      <c r="B178" s="8"/>
      <c r="C178" s="9"/>
      <c r="D178" s="10"/>
      <c r="E178" s="21"/>
      <c r="F178" s="22"/>
      <c r="G178" s="6"/>
    </row>
    <row r="179" spans="1:7" x14ac:dyDescent="0.35">
      <c r="A179" s="13" t="s">
        <v>259</v>
      </c>
      <c r="B179" s="8"/>
      <c r="C179" s="9"/>
      <c r="D179" s="10"/>
      <c r="E179" s="21"/>
      <c r="F179" s="22"/>
      <c r="G179" s="6"/>
    </row>
    <row r="180" spans="1:7" x14ac:dyDescent="0.35">
      <c r="A180" s="13" t="s">
        <v>260</v>
      </c>
      <c r="B180" s="8"/>
      <c r="C180" s="9"/>
      <c r="D180" s="10"/>
      <c r="E180" s="21"/>
      <c r="F180" s="22"/>
      <c r="G180" s="6"/>
    </row>
    <row r="181" spans="1:7" x14ac:dyDescent="0.35">
      <c r="A181" s="13" t="s">
        <v>261</v>
      </c>
      <c r="B181" s="8"/>
      <c r="C181" s="9"/>
      <c r="D181" s="10"/>
      <c r="E181" s="21"/>
      <c r="F181" s="22"/>
      <c r="G181" s="6"/>
    </row>
    <row r="182" spans="1:7" x14ac:dyDescent="0.35">
      <c r="A182" s="13" t="s">
        <v>262</v>
      </c>
      <c r="B182" s="8"/>
      <c r="C182" s="9"/>
      <c r="D182" s="10"/>
      <c r="E182" s="21"/>
      <c r="F182" s="22"/>
      <c r="G182" s="6"/>
    </row>
    <row r="183" spans="1:7" x14ac:dyDescent="0.35">
      <c r="A183" s="13" t="s">
        <v>263</v>
      </c>
      <c r="B183" s="8"/>
      <c r="C183" s="9"/>
      <c r="D183" s="10"/>
      <c r="E183" s="21"/>
      <c r="F183" s="22"/>
      <c r="G183" s="6"/>
    </row>
    <row r="184" spans="1:7" x14ac:dyDescent="0.35">
      <c r="A184" s="13" t="s">
        <v>264</v>
      </c>
      <c r="B184" s="8"/>
      <c r="C184" s="9"/>
      <c r="D184" s="10"/>
      <c r="E184" s="21"/>
      <c r="F184" s="22"/>
      <c r="G184" s="6"/>
    </row>
    <row r="185" spans="1:7" x14ac:dyDescent="0.35">
      <c r="A185" s="13" t="s">
        <v>265</v>
      </c>
      <c r="B185" s="8"/>
      <c r="C185" s="9"/>
      <c r="D185" s="10"/>
      <c r="E185" s="21"/>
      <c r="F185" s="22"/>
      <c r="G185" s="6"/>
    </row>
    <row r="186" spans="1:7" x14ac:dyDescent="0.35">
      <c r="A186" s="13" t="s">
        <v>266</v>
      </c>
      <c r="B186" s="8"/>
      <c r="C186" s="9"/>
      <c r="D186" s="10"/>
      <c r="E186" s="21"/>
      <c r="F186" s="22"/>
      <c r="G186" s="6"/>
    </row>
    <row r="187" spans="1:7" x14ac:dyDescent="0.35">
      <c r="A187" s="13" t="s">
        <v>267</v>
      </c>
      <c r="B187" s="8"/>
      <c r="C187" s="9"/>
      <c r="D187" s="10"/>
      <c r="E187" s="21"/>
      <c r="F187" s="22"/>
      <c r="G187" s="6"/>
    </row>
    <row r="188" spans="1:7" x14ac:dyDescent="0.35">
      <c r="A188" s="13" t="s">
        <v>268</v>
      </c>
      <c r="B188" s="8"/>
      <c r="C188" s="9"/>
      <c r="D188" s="10"/>
      <c r="E188" s="21"/>
      <c r="F188" s="22"/>
      <c r="G188" s="6"/>
    </row>
    <row r="189" spans="1:7" x14ac:dyDescent="0.35">
      <c r="A189" s="13" t="s">
        <v>269</v>
      </c>
      <c r="B189" s="8"/>
      <c r="C189" s="9"/>
      <c r="D189" s="10"/>
      <c r="E189" s="21"/>
      <c r="F189" s="22"/>
      <c r="G189" s="6"/>
    </row>
    <row r="190" spans="1:7" x14ac:dyDescent="0.35">
      <c r="A190" s="13" t="s">
        <v>270</v>
      </c>
      <c r="B190" s="8"/>
      <c r="C190" s="9"/>
      <c r="D190" s="10"/>
      <c r="E190" s="21"/>
      <c r="F190" s="22"/>
      <c r="G190" s="6"/>
    </row>
    <row r="191" spans="1:7" x14ac:dyDescent="0.35">
      <c r="A191" s="13" t="s">
        <v>271</v>
      </c>
      <c r="B191" s="8"/>
      <c r="C191" s="9"/>
      <c r="D191" s="10"/>
      <c r="E191" s="21"/>
      <c r="F191" s="22"/>
      <c r="G191" s="6"/>
    </row>
    <row r="192" spans="1:7" x14ac:dyDescent="0.35">
      <c r="A192" s="2"/>
      <c r="B192" s="2"/>
      <c r="C192" s="2"/>
      <c r="D192" s="2"/>
      <c r="E192" s="2"/>
      <c r="F192" s="2"/>
      <c r="G192" s="2"/>
    </row>
    <row r="193" spans="1:7" x14ac:dyDescent="0.35">
      <c r="A193" s="13" t="s">
        <v>12</v>
      </c>
      <c r="B193" s="15" t="s">
        <v>0</v>
      </c>
      <c r="C193" s="16" t="s">
        <v>1</v>
      </c>
      <c r="D193" s="17" t="s">
        <v>2</v>
      </c>
      <c r="E193" s="24" t="s">
        <v>3</v>
      </c>
      <c r="F193" s="23" t="s">
        <v>4</v>
      </c>
      <c r="G193" s="18" t="s">
        <v>5</v>
      </c>
    </row>
    <row r="194" spans="1:7" x14ac:dyDescent="0.35">
      <c r="A194" s="13" t="s">
        <v>242</v>
      </c>
      <c r="B194" s="8"/>
      <c r="C194" s="9"/>
      <c r="D194" s="10"/>
      <c r="E194" s="21"/>
      <c r="F194" s="22"/>
      <c r="G194" s="6"/>
    </row>
    <row r="195" spans="1:7" x14ac:dyDescent="0.35">
      <c r="A195" s="13" t="s">
        <v>243</v>
      </c>
      <c r="B195" s="8"/>
      <c r="C195" s="9"/>
      <c r="D195" s="10"/>
      <c r="E195" s="21"/>
      <c r="F195" s="22"/>
      <c r="G195" s="6"/>
    </row>
    <row r="196" spans="1:7" x14ac:dyDescent="0.35">
      <c r="A196" s="13" t="s">
        <v>244</v>
      </c>
      <c r="B196" s="8"/>
      <c r="C196" s="9"/>
      <c r="D196" s="10"/>
      <c r="E196" s="21"/>
      <c r="F196" s="22"/>
      <c r="G196" s="6"/>
    </row>
    <row r="197" spans="1:7" x14ac:dyDescent="0.35">
      <c r="A197" s="13" t="s">
        <v>245</v>
      </c>
      <c r="B197" s="8"/>
      <c r="C197" s="9"/>
      <c r="D197" s="10"/>
      <c r="E197" s="21"/>
      <c r="F197" s="22"/>
      <c r="G197" s="6"/>
    </row>
    <row r="198" spans="1:7" x14ac:dyDescent="0.35">
      <c r="A198" s="13" t="s">
        <v>246</v>
      </c>
      <c r="B198" s="8"/>
      <c r="C198" s="9"/>
      <c r="D198" s="10"/>
      <c r="E198" s="21"/>
      <c r="F198" s="22"/>
      <c r="G198" s="6"/>
    </row>
    <row r="199" spans="1:7" x14ac:dyDescent="0.35">
      <c r="A199" s="13" t="s">
        <v>247</v>
      </c>
      <c r="B199" s="8"/>
      <c r="C199" s="9"/>
      <c r="D199" s="10"/>
      <c r="E199" s="21"/>
      <c r="F199" s="22"/>
      <c r="G199" s="6"/>
    </row>
    <row r="200" spans="1:7" x14ac:dyDescent="0.35">
      <c r="A200" s="13" t="s">
        <v>248</v>
      </c>
      <c r="B200" s="8"/>
      <c r="C200" s="9"/>
      <c r="D200" s="10"/>
      <c r="E200" s="21"/>
      <c r="F200" s="22"/>
      <c r="G200" s="6"/>
    </row>
    <row r="201" spans="1:7" x14ac:dyDescent="0.35">
      <c r="A201" s="13" t="s">
        <v>249</v>
      </c>
      <c r="B201" s="8"/>
      <c r="C201" s="9"/>
      <c r="D201" s="10"/>
      <c r="E201" s="21"/>
      <c r="F201" s="22"/>
      <c r="G201" s="6"/>
    </row>
    <row r="202" spans="1:7" x14ac:dyDescent="0.35">
      <c r="A202" s="13" t="s">
        <v>250</v>
      </c>
      <c r="B202" s="8"/>
      <c r="C202" s="9"/>
      <c r="D202" s="10"/>
      <c r="E202" s="21"/>
      <c r="F202" s="22"/>
      <c r="G202" s="6"/>
    </row>
    <row r="203" spans="1:7" x14ac:dyDescent="0.35">
      <c r="A203" s="13" t="s">
        <v>251</v>
      </c>
      <c r="B203" s="8"/>
      <c r="C203" s="9"/>
      <c r="D203" s="10"/>
      <c r="E203" s="21"/>
      <c r="F203" s="22"/>
      <c r="G203" s="6"/>
    </row>
    <row r="204" spans="1:7" x14ac:dyDescent="0.35">
      <c r="A204" s="13" t="s">
        <v>252</v>
      </c>
      <c r="B204" s="8"/>
      <c r="C204" s="9"/>
      <c r="D204" s="10"/>
      <c r="E204" s="21"/>
      <c r="F204" s="22"/>
      <c r="G204" s="6"/>
    </row>
    <row r="205" spans="1:7" x14ac:dyDescent="0.35">
      <c r="A205" s="13" t="s">
        <v>253</v>
      </c>
      <c r="B205" s="8"/>
      <c r="C205" s="9"/>
      <c r="D205" s="10"/>
      <c r="E205" s="21"/>
      <c r="F205" s="22"/>
      <c r="G205" s="6"/>
    </row>
    <row r="206" spans="1:7" x14ac:dyDescent="0.35">
      <c r="A206" s="13" t="s">
        <v>254</v>
      </c>
      <c r="B206" s="8"/>
      <c r="C206" s="9"/>
      <c r="D206" s="10"/>
      <c r="E206" s="21"/>
      <c r="F206" s="22"/>
      <c r="G206" s="6"/>
    </row>
    <row r="207" spans="1:7" x14ac:dyDescent="0.35">
      <c r="A207" s="13" t="s">
        <v>255</v>
      </c>
      <c r="B207" s="8"/>
      <c r="C207" s="9"/>
      <c r="D207" s="10"/>
      <c r="E207" s="21"/>
      <c r="F207" s="22"/>
      <c r="G207" s="6"/>
    </row>
    <row r="208" spans="1:7" x14ac:dyDescent="0.35">
      <c r="A208" s="13" t="s">
        <v>256</v>
      </c>
      <c r="B208" s="8"/>
      <c r="C208" s="9"/>
      <c r="D208" s="10"/>
      <c r="E208" s="21"/>
      <c r="F208" s="22"/>
      <c r="G208" s="6"/>
    </row>
    <row r="209" spans="1:7" x14ac:dyDescent="0.35">
      <c r="A209" s="13" t="s">
        <v>257</v>
      </c>
      <c r="B209" s="8"/>
      <c r="C209" s="9"/>
      <c r="D209" s="10"/>
      <c r="E209" s="21"/>
      <c r="F209" s="22"/>
      <c r="G209" s="6"/>
    </row>
    <row r="210" spans="1:7" x14ac:dyDescent="0.35">
      <c r="A210" s="13" t="s">
        <v>258</v>
      </c>
      <c r="B210" s="8"/>
      <c r="C210" s="9"/>
      <c r="D210" s="10"/>
      <c r="E210" s="21"/>
      <c r="F210" s="22"/>
      <c r="G210" s="6"/>
    </row>
    <row r="211" spans="1:7" x14ac:dyDescent="0.35">
      <c r="A211" s="13" t="s">
        <v>259</v>
      </c>
      <c r="B211" s="8"/>
      <c r="C211" s="9"/>
      <c r="D211" s="10"/>
      <c r="E211" s="21"/>
      <c r="F211" s="22"/>
      <c r="G211" s="6"/>
    </row>
    <row r="212" spans="1:7" x14ac:dyDescent="0.35">
      <c r="A212" s="13" t="s">
        <v>260</v>
      </c>
      <c r="B212" s="8"/>
      <c r="C212" s="9"/>
      <c r="D212" s="10"/>
      <c r="E212" s="21"/>
      <c r="F212" s="22"/>
      <c r="G212" s="6"/>
    </row>
    <row r="213" spans="1:7" x14ac:dyDescent="0.35">
      <c r="A213" s="13" t="s">
        <v>261</v>
      </c>
      <c r="B213" s="8"/>
      <c r="C213" s="9"/>
      <c r="D213" s="10"/>
      <c r="E213" s="21"/>
      <c r="F213" s="22"/>
      <c r="G213" s="6"/>
    </row>
    <row r="214" spans="1:7" x14ac:dyDescent="0.35">
      <c r="A214" s="13" t="s">
        <v>262</v>
      </c>
      <c r="B214" s="8"/>
      <c r="C214" s="9"/>
      <c r="D214" s="10"/>
      <c r="E214" s="21"/>
      <c r="F214" s="22"/>
      <c r="G214" s="6"/>
    </row>
    <row r="215" spans="1:7" x14ac:dyDescent="0.35">
      <c r="A215" s="13" t="s">
        <v>263</v>
      </c>
      <c r="B215" s="8"/>
      <c r="C215" s="9"/>
      <c r="D215" s="10"/>
      <c r="E215" s="21"/>
      <c r="F215" s="22"/>
      <c r="G215" s="6"/>
    </row>
    <row r="216" spans="1:7" x14ac:dyDescent="0.35">
      <c r="A216" s="13" t="s">
        <v>264</v>
      </c>
      <c r="B216" s="8"/>
      <c r="C216" s="9"/>
      <c r="D216" s="10"/>
      <c r="E216" s="21"/>
      <c r="F216" s="22"/>
      <c r="G216" s="6"/>
    </row>
    <row r="217" spans="1:7" x14ac:dyDescent="0.35">
      <c r="A217" s="13" t="s">
        <v>265</v>
      </c>
      <c r="B217" s="8"/>
      <c r="C217" s="9"/>
      <c r="D217" s="10"/>
      <c r="E217" s="21"/>
      <c r="F217" s="22"/>
      <c r="G217" s="6"/>
    </row>
    <row r="218" spans="1:7" x14ac:dyDescent="0.35">
      <c r="A218" s="13" t="s">
        <v>266</v>
      </c>
      <c r="B218" s="8"/>
      <c r="C218" s="9"/>
      <c r="D218" s="10"/>
      <c r="E218" s="21"/>
      <c r="F218" s="22"/>
      <c r="G218" s="6"/>
    </row>
    <row r="219" spans="1:7" x14ac:dyDescent="0.35">
      <c r="A219" s="13" t="s">
        <v>267</v>
      </c>
      <c r="B219" s="8"/>
      <c r="C219" s="9"/>
      <c r="D219" s="10"/>
      <c r="E219" s="21"/>
      <c r="F219" s="22"/>
      <c r="G219" s="6"/>
    </row>
    <row r="220" spans="1:7" x14ac:dyDescent="0.35">
      <c r="A220" s="13" t="s">
        <v>268</v>
      </c>
      <c r="B220" s="8"/>
      <c r="C220" s="9"/>
      <c r="D220" s="10"/>
      <c r="E220" s="21"/>
      <c r="F220" s="22"/>
      <c r="G220" s="6"/>
    </row>
    <row r="221" spans="1:7" x14ac:dyDescent="0.35">
      <c r="A221" s="13" t="s">
        <v>269</v>
      </c>
      <c r="B221" s="8"/>
      <c r="C221" s="9"/>
      <c r="D221" s="10"/>
      <c r="E221" s="21"/>
      <c r="F221" s="22"/>
      <c r="G221" s="6"/>
    </row>
    <row r="222" spans="1:7" x14ac:dyDescent="0.35">
      <c r="A222" s="13" t="s">
        <v>270</v>
      </c>
      <c r="B222" s="8"/>
      <c r="C222" s="9"/>
      <c r="D222" s="10"/>
      <c r="E222" s="21"/>
      <c r="F222" s="22"/>
      <c r="G222" s="6"/>
    </row>
    <row r="223" spans="1:7" x14ac:dyDescent="0.35">
      <c r="A223" s="13" t="s">
        <v>271</v>
      </c>
      <c r="B223" s="8"/>
      <c r="C223" s="9"/>
      <c r="D223" s="10"/>
      <c r="E223" s="21"/>
      <c r="F223" s="22"/>
      <c r="G223" s="6"/>
    </row>
    <row r="224" spans="1:7" x14ac:dyDescent="0.35">
      <c r="A224" s="2"/>
      <c r="B224" s="2"/>
      <c r="C224" s="2"/>
      <c r="D224" s="2"/>
      <c r="E224" s="2"/>
      <c r="F224" s="2"/>
      <c r="G224" s="2"/>
    </row>
    <row r="225" spans="1:7" x14ac:dyDescent="0.35">
      <c r="A225" s="13" t="s">
        <v>13</v>
      </c>
      <c r="B225" s="15" t="s">
        <v>0</v>
      </c>
      <c r="C225" s="16" t="s">
        <v>1</v>
      </c>
      <c r="D225" s="17" t="s">
        <v>2</v>
      </c>
      <c r="E225" s="24" t="s">
        <v>3</v>
      </c>
      <c r="F225" s="23" t="s">
        <v>4</v>
      </c>
      <c r="G225" s="18" t="s">
        <v>5</v>
      </c>
    </row>
    <row r="226" spans="1:7" x14ac:dyDescent="0.35">
      <c r="A226" s="13" t="s">
        <v>242</v>
      </c>
      <c r="B226" s="8"/>
      <c r="C226" s="9"/>
      <c r="D226" s="10"/>
      <c r="E226" s="21"/>
      <c r="F226" s="22"/>
      <c r="G226" s="6"/>
    </row>
    <row r="227" spans="1:7" x14ac:dyDescent="0.35">
      <c r="A227" s="13" t="s">
        <v>243</v>
      </c>
      <c r="B227" s="8"/>
      <c r="C227" s="9"/>
      <c r="D227" s="10"/>
      <c r="E227" s="21"/>
      <c r="F227" s="22"/>
      <c r="G227" s="6"/>
    </row>
    <row r="228" spans="1:7" x14ac:dyDescent="0.35">
      <c r="A228" s="13" t="s">
        <v>244</v>
      </c>
      <c r="B228" s="8"/>
      <c r="C228" s="9"/>
      <c r="D228" s="10"/>
      <c r="E228" s="21"/>
      <c r="F228" s="22"/>
      <c r="G228" s="6"/>
    </row>
    <row r="229" spans="1:7" x14ac:dyDescent="0.35">
      <c r="A229" s="13" t="s">
        <v>245</v>
      </c>
      <c r="B229" s="8"/>
      <c r="C229" s="9"/>
      <c r="D229" s="10"/>
      <c r="E229" s="21"/>
      <c r="F229" s="22"/>
      <c r="G229" s="6"/>
    </row>
    <row r="230" spans="1:7" x14ac:dyDescent="0.35">
      <c r="A230" s="13" t="s">
        <v>246</v>
      </c>
      <c r="B230" s="8"/>
      <c r="C230" s="9"/>
      <c r="D230" s="10"/>
      <c r="E230" s="21"/>
      <c r="F230" s="22"/>
      <c r="G230" s="6"/>
    </row>
    <row r="231" spans="1:7" x14ac:dyDescent="0.35">
      <c r="A231" s="13" t="s">
        <v>247</v>
      </c>
      <c r="B231" s="8"/>
      <c r="C231" s="9"/>
      <c r="D231" s="10"/>
      <c r="E231" s="21"/>
      <c r="F231" s="22"/>
      <c r="G231" s="6"/>
    </row>
    <row r="232" spans="1:7" x14ac:dyDescent="0.35">
      <c r="A232" s="13" t="s">
        <v>248</v>
      </c>
      <c r="B232" s="8"/>
      <c r="C232" s="9"/>
      <c r="D232" s="10"/>
      <c r="E232" s="21"/>
      <c r="F232" s="22"/>
      <c r="G232" s="6"/>
    </row>
    <row r="233" spans="1:7" x14ac:dyDescent="0.35">
      <c r="A233" s="13" t="s">
        <v>249</v>
      </c>
      <c r="B233" s="8"/>
      <c r="C233" s="9"/>
      <c r="D233" s="10"/>
      <c r="E233" s="21"/>
      <c r="F233" s="22"/>
      <c r="G233" s="6"/>
    </row>
    <row r="234" spans="1:7" x14ac:dyDescent="0.35">
      <c r="A234" s="13" t="s">
        <v>250</v>
      </c>
      <c r="B234" s="8"/>
      <c r="C234" s="9"/>
      <c r="D234" s="10"/>
      <c r="E234" s="21"/>
      <c r="F234" s="22"/>
      <c r="G234" s="6"/>
    </row>
    <row r="235" spans="1:7" x14ac:dyDescent="0.35">
      <c r="A235" s="13" t="s">
        <v>251</v>
      </c>
      <c r="B235" s="8"/>
      <c r="C235" s="9"/>
      <c r="D235" s="10"/>
      <c r="E235" s="21"/>
      <c r="F235" s="22"/>
      <c r="G235" s="6"/>
    </row>
    <row r="236" spans="1:7" x14ac:dyDescent="0.35">
      <c r="A236" s="13" t="s">
        <v>252</v>
      </c>
      <c r="B236" s="8"/>
      <c r="C236" s="9"/>
      <c r="D236" s="10"/>
      <c r="E236" s="21"/>
      <c r="F236" s="22"/>
      <c r="G236" s="6"/>
    </row>
    <row r="237" spans="1:7" x14ac:dyDescent="0.35">
      <c r="A237" s="13" t="s">
        <v>253</v>
      </c>
      <c r="B237" s="8"/>
      <c r="C237" s="9"/>
      <c r="D237" s="10"/>
      <c r="E237" s="21"/>
      <c r="F237" s="22"/>
      <c r="G237" s="6"/>
    </row>
    <row r="238" spans="1:7" x14ac:dyDescent="0.35">
      <c r="A238" s="13" t="s">
        <v>254</v>
      </c>
      <c r="B238" s="8"/>
      <c r="C238" s="9"/>
      <c r="D238" s="10"/>
      <c r="E238" s="21"/>
      <c r="F238" s="22"/>
      <c r="G238" s="6"/>
    </row>
    <row r="239" spans="1:7" x14ac:dyDescent="0.35">
      <c r="A239" s="13" t="s">
        <v>255</v>
      </c>
      <c r="B239" s="8"/>
      <c r="C239" s="9"/>
      <c r="D239" s="10"/>
      <c r="E239" s="21"/>
      <c r="F239" s="22"/>
      <c r="G239" s="6"/>
    </row>
    <row r="240" spans="1:7" x14ac:dyDescent="0.35">
      <c r="A240" s="13" t="s">
        <v>256</v>
      </c>
      <c r="B240" s="8"/>
      <c r="C240" s="9"/>
      <c r="D240" s="10"/>
      <c r="E240" s="21"/>
      <c r="F240" s="22"/>
      <c r="G240" s="6"/>
    </row>
    <row r="241" spans="1:7" x14ac:dyDescent="0.35">
      <c r="A241" s="13" t="s">
        <v>257</v>
      </c>
      <c r="B241" s="8"/>
      <c r="C241" s="9"/>
      <c r="D241" s="10"/>
      <c r="E241" s="21"/>
      <c r="F241" s="22"/>
      <c r="G241" s="6"/>
    </row>
    <row r="242" spans="1:7" x14ac:dyDescent="0.35">
      <c r="A242" s="13" t="s">
        <v>258</v>
      </c>
      <c r="B242" s="8"/>
      <c r="C242" s="9"/>
      <c r="D242" s="10"/>
      <c r="E242" s="21"/>
      <c r="F242" s="22"/>
      <c r="G242" s="6"/>
    </row>
    <row r="243" spans="1:7" x14ac:dyDescent="0.35">
      <c r="A243" s="13" t="s">
        <v>259</v>
      </c>
      <c r="B243" s="8"/>
      <c r="C243" s="9"/>
      <c r="D243" s="10"/>
      <c r="E243" s="21"/>
      <c r="F243" s="22"/>
      <c r="G243" s="6"/>
    </row>
    <row r="244" spans="1:7" x14ac:dyDescent="0.35">
      <c r="A244" s="13" t="s">
        <v>260</v>
      </c>
      <c r="B244" s="8"/>
      <c r="C244" s="9"/>
      <c r="D244" s="10"/>
      <c r="E244" s="21"/>
      <c r="F244" s="22"/>
      <c r="G244" s="6"/>
    </row>
    <row r="245" spans="1:7" x14ac:dyDescent="0.35">
      <c r="A245" s="13" t="s">
        <v>261</v>
      </c>
      <c r="B245" s="8"/>
      <c r="C245" s="9"/>
      <c r="D245" s="10"/>
      <c r="E245" s="21"/>
      <c r="F245" s="22"/>
      <c r="G245" s="6"/>
    </row>
    <row r="246" spans="1:7" x14ac:dyDescent="0.35">
      <c r="A246" s="13" t="s">
        <v>262</v>
      </c>
      <c r="B246" s="8"/>
      <c r="C246" s="9"/>
      <c r="D246" s="10"/>
      <c r="E246" s="21"/>
      <c r="F246" s="22"/>
      <c r="G246" s="6"/>
    </row>
    <row r="247" spans="1:7" x14ac:dyDescent="0.35">
      <c r="A247" s="13" t="s">
        <v>263</v>
      </c>
      <c r="B247" s="8"/>
      <c r="C247" s="9"/>
      <c r="D247" s="10"/>
      <c r="E247" s="21"/>
      <c r="F247" s="22"/>
      <c r="G247" s="6"/>
    </row>
    <row r="248" spans="1:7" x14ac:dyDescent="0.35">
      <c r="A248" s="13" t="s">
        <v>264</v>
      </c>
      <c r="B248" s="8"/>
      <c r="C248" s="9"/>
      <c r="D248" s="10"/>
      <c r="E248" s="21"/>
      <c r="F248" s="22"/>
      <c r="G248" s="6"/>
    </row>
    <row r="249" spans="1:7" x14ac:dyDescent="0.35">
      <c r="A249" s="13" t="s">
        <v>265</v>
      </c>
      <c r="B249" s="8"/>
      <c r="C249" s="9"/>
      <c r="D249" s="10"/>
      <c r="E249" s="21"/>
      <c r="F249" s="22"/>
      <c r="G249" s="6"/>
    </row>
    <row r="250" spans="1:7" x14ac:dyDescent="0.35">
      <c r="A250" s="13" t="s">
        <v>266</v>
      </c>
      <c r="B250" s="8"/>
      <c r="C250" s="9"/>
      <c r="D250" s="10"/>
      <c r="E250" s="21"/>
      <c r="F250" s="22"/>
      <c r="G250" s="6"/>
    </row>
    <row r="251" spans="1:7" x14ac:dyDescent="0.35">
      <c r="A251" s="13" t="s">
        <v>267</v>
      </c>
      <c r="B251" s="8"/>
      <c r="C251" s="9"/>
      <c r="D251" s="10"/>
      <c r="E251" s="21"/>
      <c r="F251" s="22"/>
      <c r="G251" s="6"/>
    </row>
    <row r="252" spans="1:7" x14ac:dyDescent="0.35">
      <c r="A252" s="13" t="s">
        <v>268</v>
      </c>
      <c r="B252" s="8"/>
      <c r="C252" s="9"/>
      <c r="D252" s="10"/>
      <c r="E252" s="21"/>
      <c r="F252" s="22"/>
      <c r="G252" s="6"/>
    </row>
    <row r="253" spans="1:7" x14ac:dyDescent="0.35">
      <c r="A253" s="13" t="s">
        <v>269</v>
      </c>
      <c r="B253" s="8"/>
      <c r="C253" s="9"/>
      <c r="D253" s="10"/>
      <c r="E253" s="21"/>
      <c r="F253" s="22"/>
      <c r="G253" s="6"/>
    </row>
    <row r="254" spans="1:7" x14ac:dyDescent="0.35">
      <c r="A254" s="13" t="s">
        <v>270</v>
      </c>
      <c r="B254" s="8"/>
      <c r="C254" s="9"/>
      <c r="D254" s="10"/>
      <c r="E254" s="21"/>
      <c r="F254" s="22"/>
      <c r="G254" s="6"/>
    </row>
    <row r="255" spans="1:7" x14ac:dyDescent="0.35">
      <c r="A255" s="13" t="s">
        <v>271</v>
      </c>
      <c r="B255" s="8"/>
      <c r="C255" s="9"/>
      <c r="D255" s="10"/>
      <c r="E255" s="21"/>
      <c r="F255" s="22"/>
      <c r="G255" s="6"/>
    </row>
    <row r="256" spans="1:7" x14ac:dyDescent="0.35">
      <c r="A256" s="2"/>
      <c r="B256" s="2"/>
      <c r="C256" s="2"/>
      <c r="D256" s="2"/>
      <c r="E256" s="2"/>
      <c r="F256" s="2"/>
      <c r="G256" s="2"/>
    </row>
    <row r="257" spans="1:7" x14ac:dyDescent="0.35">
      <c r="A257" s="13" t="s">
        <v>14</v>
      </c>
      <c r="B257" s="15" t="s">
        <v>0</v>
      </c>
      <c r="C257" s="16" t="s">
        <v>1</v>
      </c>
      <c r="D257" s="17" t="s">
        <v>2</v>
      </c>
      <c r="E257" s="24" t="s">
        <v>3</v>
      </c>
      <c r="F257" s="23" t="s">
        <v>4</v>
      </c>
      <c r="G257" s="18" t="s">
        <v>5</v>
      </c>
    </row>
    <row r="258" spans="1:7" x14ac:dyDescent="0.35">
      <c r="A258" s="13" t="s">
        <v>242</v>
      </c>
      <c r="B258" s="8"/>
      <c r="C258" s="9"/>
      <c r="D258" s="10"/>
      <c r="E258" s="21"/>
      <c r="F258" s="22"/>
      <c r="G258" s="6"/>
    </row>
    <row r="259" spans="1:7" x14ac:dyDescent="0.35">
      <c r="A259" s="13" t="s">
        <v>243</v>
      </c>
      <c r="B259" s="8"/>
      <c r="C259" s="9"/>
      <c r="D259" s="10"/>
      <c r="E259" s="21"/>
      <c r="F259" s="22"/>
      <c r="G259" s="6"/>
    </row>
    <row r="260" spans="1:7" x14ac:dyDescent="0.35">
      <c r="A260" s="13" t="s">
        <v>244</v>
      </c>
      <c r="B260" s="8"/>
      <c r="C260" s="9"/>
      <c r="D260" s="10"/>
      <c r="E260" s="21"/>
      <c r="F260" s="22"/>
      <c r="G260" s="6"/>
    </row>
    <row r="261" spans="1:7" x14ac:dyDescent="0.35">
      <c r="A261" s="13" t="s">
        <v>245</v>
      </c>
      <c r="B261" s="8"/>
      <c r="C261" s="9"/>
      <c r="D261" s="10"/>
      <c r="E261" s="21"/>
      <c r="F261" s="22"/>
      <c r="G261" s="6"/>
    </row>
    <row r="262" spans="1:7" x14ac:dyDescent="0.35">
      <c r="A262" s="13" t="s">
        <v>246</v>
      </c>
      <c r="B262" s="8"/>
      <c r="C262" s="9"/>
      <c r="D262" s="10"/>
      <c r="E262" s="21"/>
      <c r="F262" s="22"/>
      <c r="G262" s="6"/>
    </row>
    <row r="263" spans="1:7" x14ac:dyDescent="0.35">
      <c r="A263" s="13" t="s">
        <v>247</v>
      </c>
      <c r="B263" s="8"/>
      <c r="C263" s="9"/>
      <c r="D263" s="10"/>
      <c r="E263" s="21"/>
      <c r="F263" s="22"/>
      <c r="G263" s="6"/>
    </row>
    <row r="264" spans="1:7" x14ac:dyDescent="0.35">
      <c r="A264" s="13" t="s">
        <v>248</v>
      </c>
      <c r="B264" s="8"/>
      <c r="C264" s="9"/>
      <c r="D264" s="10"/>
      <c r="E264" s="21"/>
      <c r="F264" s="22"/>
      <c r="G264" s="6"/>
    </row>
    <row r="265" spans="1:7" x14ac:dyDescent="0.35">
      <c r="A265" s="13" t="s">
        <v>249</v>
      </c>
      <c r="B265" s="8"/>
      <c r="C265" s="9"/>
      <c r="D265" s="10"/>
      <c r="E265" s="21"/>
      <c r="F265" s="22"/>
      <c r="G265" s="6"/>
    </row>
    <row r="266" spans="1:7" x14ac:dyDescent="0.35">
      <c r="A266" s="13" t="s">
        <v>250</v>
      </c>
      <c r="B266" s="8"/>
      <c r="C266" s="9"/>
      <c r="D266" s="10"/>
      <c r="E266" s="21"/>
      <c r="F266" s="22"/>
      <c r="G266" s="6"/>
    </row>
    <row r="267" spans="1:7" x14ac:dyDescent="0.35">
      <c r="A267" s="13" t="s">
        <v>251</v>
      </c>
      <c r="B267" s="8"/>
      <c r="C267" s="9"/>
      <c r="D267" s="10"/>
      <c r="E267" s="21"/>
      <c r="F267" s="22"/>
      <c r="G267" s="6"/>
    </row>
    <row r="268" spans="1:7" x14ac:dyDescent="0.35">
      <c r="A268" s="13" t="s">
        <v>252</v>
      </c>
      <c r="B268" s="8"/>
      <c r="C268" s="9"/>
      <c r="D268" s="10"/>
      <c r="E268" s="21"/>
      <c r="F268" s="22"/>
      <c r="G268" s="6"/>
    </row>
    <row r="269" spans="1:7" x14ac:dyDescent="0.35">
      <c r="A269" s="13" t="s">
        <v>253</v>
      </c>
      <c r="B269" s="8"/>
      <c r="C269" s="9"/>
      <c r="D269" s="10"/>
      <c r="E269" s="21"/>
      <c r="F269" s="22"/>
      <c r="G269" s="6"/>
    </row>
    <row r="270" spans="1:7" x14ac:dyDescent="0.35">
      <c r="A270" s="13" t="s">
        <v>254</v>
      </c>
      <c r="B270" s="8"/>
      <c r="C270" s="9"/>
      <c r="D270" s="10"/>
      <c r="E270" s="21"/>
      <c r="F270" s="22"/>
      <c r="G270" s="6"/>
    </row>
    <row r="271" spans="1:7" x14ac:dyDescent="0.35">
      <c r="A271" s="13" t="s">
        <v>255</v>
      </c>
      <c r="B271" s="8"/>
      <c r="C271" s="9"/>
      <c r="D271" s="10"/>
      <c r="E271" s="21"/>
      <c r="F271" s="22"/>
      <c r="G271" s="6"/>
    </row>
    <row r="272" spans="1:7" x14ac:dyDescent="0.35">
      <c r="A272" s="13" t="s">
        <v>256</v>
      </c>
      <c r="B272" s="8"/>
      <c r="C272" s="9"/>
      <c r="D272" s="10"/>
      <c r="E272" s="21"/>
      <c r="F272" s="22"/>
      <c r="G272" s="6"/>
    </row>
    <row r="273" spans="1:7" x14ac:dyDescent="0.35">
      <c r="A273" s="13" t="s">
        <v>257</v>
      </c>
      <c r="B273" s="8"/>
      <c r="C273" s="9"/>
      <c r="D273" s="10"/>
      <c r="E273" s="21"/>
      <c r="F273" s="22"/>
      <c r="G273" s="6"/>
    </row>
    <row r="274" spans="1:7" x14ac:dyDescent="0.35">
      <c r="A274" s="13" t="s">
        <v>258</v>
      </c>
      <c r="B274" s="8"/>
      <c r="C274" s="9"/>
      <c r="D274" s="10"/>
      <c r="E274" s="21"/>
      <c r="F274" s="22"/>
      <c r="G274" s="6"/>
    </row>
    <row r="275" spans="1:7" x14ac:dyDescent="0.35">
      <c r="A275" s="13" t="s">
        <v>259</v>
      </c>
      <c r="B275" s="8"/>
      <c r="C275" s="9"/>
      <c r="D275" s="10"/>
      <c r="E275" s="21"/>
      <c r="F275" s="22"/>
      <c r="G275" s="6"/>
    </row>
    <row r="276" spans="1:7" x14ac:dyDescent="0.35">
      <c r="A276" s="13" t="s">
        <v>260</v>
      </c>
      <c r="B276" s="8"/>
      <c r="C276" s="9"/>
      <c r="D276" s="10"/>
      <c r="E276" s="21"/>
      <c r="F276" s="22"/>
      <c r="G276" s="6"/>
    </row>
    <row r="277" spans="1:7" x14ac:dyDescent="0.35">
      <c r="A277" s="13" t="s">
        <v>261</v>
      </c>
      <c r="B277" s="8"/>
      <c r="C277" s="9"/>
      <c r="D277" s="10"/>
      <c r="E277" s="21"/>
      <c r="F277" s="22"/>
      <c r="G277" s="6"/>
    </row>
    <row r="278" spans="1:7" x14ac:dyDescent="0.35">
      <c r="A278" s="13" t="s">
        <v>262</v>
      </c>
      <c r="B278" s="8"/>
      <c r="C278" s="9"/>
      <c r="D278" s="10"/>
      <c r="E278" s="21"/>
      <c r="F278" s="22"/>
      <c r="G278" s="6"/>
    </row>
    <row r="279" spans="1:7" x14ac:dyDescent="0.35">
      <c r="A279" s="13" t="s">
        <v>263</v>
      </c>
      <c r="B279" s="8"/>
      <c r="C279" s="9"/>
      <c r="D279" s="10"/>
      <c r="E279" s="21"/>
      <c r="F279" s="22"/>
      <c r="G279" s="6"/>
    </row>
    <row r="280" spans="1:7" x14ac:dyDescent="0.35">
      <c r="A280" s="13" t="s">
        <v>264</v>
      </c>
      <c r="B280" s="8"/>
      <c r="C280" s="9"/>
      <c r="D280" s="10"/>
      <c r="E280" s="21"/>
      <c r="F280" s="22"/>
      <c r="G280" s="6"/>
    </row>
    <row r="281" spans="1:7" x14ac:dyDescent="0.35">
      <c r="A281" s="13" t="s">
        <v>265</v>
      </c>
      <c r="B281" s="8"/>
      <c r="C281" s="9"/>
      <c r="D281" s="10"/>
      <c r="E281" s="21"/>
      <c r="F281" s="22"/>
      <c r="G281" s="6"/>
    </row>
    <row r="282" spans="1:7" x14ac:dyDescent="0.35">
      <c r="A282" s="13" t="s">
        <v>266</v>
      </c>
      <c r="B282" s="8"/>
      <c r="C282" s="9"/>
      <c r="D282" s="10"/>
      <c r="E282" s="21"/>
      <c r="F282" s="22"/>
      <c r="G282" s="6"/>
    </row>
    <row r="283" spans="1:7" x14ac:dyDescent="0.35">
      <c r="A283" s="13" t="s">
        <v>267</v>
      </c>
      <c r="B283" s="8"/>
      <c r="C283" s="9"/>
      <c r="D283" s="10"/>
      <c r="E283" s="21"/>
      <c r="F283" s="22"/>
      <c r="G283" s="6"/>
    </row>
    <row r="284" spans="1:7" x14ac:dyDescent="0.35">
      <c r="A284" s="13" t="s">
        <v>268</v>
      </c>
      <c r="B284" s="8"/>
      <c r="C284" s="9"/>
      <c r="D284" s="10"/>
      <c r="E284" s="21"/>
      <c r="F284" s="22"/>
      <c r="G284" s="6"/>
    </row>
    <row r="285" spans="1:7" x14ac:dyDescent="0.35">
      <c r="A285" s="13" t="s">
        <v>269</v>
      </c>
      <c r="B285" s="8"/>
      <c r="C285" s="9"/>
      <c r="D285" s="10"/>
      <c r="E285" s="21"/>
      <c r="F285" s="22"/>
      <c r="G285" s="6"/>
    </row>
    <row r="286" spans="1:7" x14ac:dyDescent="0.35">
      <c r="A286" s="13" t="s">
        <v>270</v>
      </c>
      <c r="B286" s="8"/>
      <c r="C286" s="9"/>
      <c r="D286" s="10"/>
      <c r="E286" s="21"/>
      <c r="F286" s="22"/>
      <c r="G286" s="6"/>
    </row>
    <row r="287" spans="1:7" x14ac:dyDescent="0.35">
      <c r="A287" s="13" t="s">
        <v>271</v>
      </c>
      <c r="B287" s="8"/>
      <c r="C287" s="9"/>
      <c r="D287" s="10"/>
      <c r="E287" s="21"/>
      <c r="F287" s="22"/>
      <c r="G287" s="6"/>
    </row>
    <row r="288" spans="1:7" x14ac:dyDescent="0.35">
      <c r="A288" s="2"/>
      <c r="B288" s="2"/>
      <c r="C288" s="2"/>
      <c r="D288" s="2"/>
      <c r="E288" s="2"/>
      <c r="F288" s="2"/>
      <c r="G288" s="2"/>
    </row>
    <row r="289" spans="1:7" x14ac:dyDescent="0.35">
      <c r="A289" s="13" t="s">
        <v>15</v>
      </c>
      <c r="B289" s="15" t="s">
        <v>0</v>
      </c>
      <c r="C289" s="16" t="s">
        <v>1</v>
      </c>
      <c r="D289" s="17" t="s">
        <v>2</v>
      </c>
      <c r="E289" s="24" t="s">
        <v>3</v>
      </c>
      <c r="F289" s="23" t="s">
        <v>4</v>
      </c>
      <c r="G289" s="18" t="s">
        <v>5</v>
      </c>
    </row>
    <row r="290" spans="1:7" x14ac:dyDescent="0.35">
      <c r="A290" s="13" t="s">
        <v>242</v>
      </c>
      <c r="B290" s="8"/>
      <c r="C290" s="9"/>
      <c r="D290" s="10"/>
      <c r="E290" s="21"/>
      <c r="F290" s="22"/>
      <c r="G290" s="6"/>
    </row>
    <row r="291" spans="1:7" x14ac:dyDescent="0.35">
      <c r="A291" s="13" t="s">
        <v>243</v>
      </c>
      <c r="B291" s="8"/>
      <c r="C291" s="9"/>
      <c r="D291" s="10"/>
      <c r="E291" s="21"/>
      <c r="F291" s="22"/>
      <c r="G291" s="6"/>
    </row>
    <row r="292" spans="1:7" x14ac:dyDescent="0.35">
      <c r="A292" s="13" t="s">
        <v>244</v>
      </c>
      <c r="B292" s="8"/>
      <c r="C292" s="9"/>
      <c r="D292" s="10"/>
      <c r="E292" s="21"/>
      <c r="F292" s="22"/>
      <c r="G292" s="6"/>
    </row>
    <row r="293" spans="1:7" x14ac:dyDescent="0.35">
      <c r="A293" s="13" t="s">
        <v>245</v>
      </c>
      <c r="B293" s="8"/>
      <c r="C293" s="9"/>
      <c r="D293" s="10"/>
      <c r="E293" s="21"/>
      <c r="F293" s="22"/>
      <c r="G293" s="6"/>
    </row>
    <row r="294" spans="1:7" x14ac:dyDescent="0.35">
      <c r="A294" s="13" t="s">
        <v>246</v>
      </c>
      <c r="B294" s="8"/>
      <c r="C294" s="9"/>
      <c r="D294" s="10"/>
      <c r="E294" s="21"/>
      <c r="F294" s="22"/>
      <c r="G294" s="6"/>
    </row>
    <row r="295" spans="1:7" x14ac:dyDescent="0.35">
      <c r="A295" s="13" t="s">
        <v>247</v>
      </c>
      <c r="B295" s="8"/>
      <c r="C295" s="9"/>
      <c r="D295" s="10"/>
      <c r="E295" s="21"/>
      <c r="F295" s="22"/>
      <c r="G295" s="6"/>
    </row>
    <row r="296" spans="1:7" x14ac:dyDescent="0.35">
      <c r="A296" s="13" t="s">
        <v>248</v>
      </c>
      <c r="B296" s="8"/>
      <c r="C296" s="9"/>
      <c r="D296" s="10"/>
      <c r="E296" s="21"/>
      <c r="F296" s="22"/>
      <c r="G296" s="6"/>
    </row>
    <row r="297" spans="1:7" x14ac:dyDescent="0.35">
      <c r="A297" s="13" t="s">
        <v>249</v>
      </c>
      <c r="B297" s="8"/>
      <c r="C297" s="9"/>
      <c r="D297" s="10"/>
      <c r="E297" s="21"/>
      <c r="F297" s="22"/>
      <c r="G297" s="6"/>
    </row>
    <row r="298" spans="1:7" x14ac:dyDescent="0.35">
      <c r="A298" s="13" t="s">
        <v>250</v>
      </c>
      <c r="B298" s="8"/>
      <c r="C298" s="9"/>
      <c r="D298" s="10"/>
      <c r="E298" s="21"/>
      <c r="F298" s="22"/>
      <c r="G298" s="6"/>
    </row>
    <row r="299" spans="1:7" x14ac:dyDescent="0.35">
      <c r="A299" s="13" t="s">
        <v>251</v>
      </c>
      <c r="B299" s="8"/>
      <c r="C299" s="9"/>
      <c r="D299" s="10"/>
      <c r="E299" s="21"/>
      <c r="F299" s="22"/>
      <c r="G299" s="6"/>
    </row>
    <row r="300" spans="1:7" x14ac:dyDescent="0.35">
      <c r="A300" s="13" t="s">
        <v>252</v>
      </c>
      <c r="B300" s="8"/>
      <c r="C300" s="9"/>
      <c r="D300" s="10"/>
      <c r="E300" s="21"/>
      <c r="F300" s="22"/>
      <c r="G300" s="6"/>
    </row>
    <row r="301" spans="1:7" x14ac:dyDescent="0.35">
      <c r="A301" s="13" t="s">
        <v>253</v>
      </c>
      <c r="B301" s="8"/>
      <c r="C301" s="9"/>
      <c r="D301" s="10"/>
      <c r="E301" s="21"/>
      <c r="F301" s="22"/>
      <c r="G301" s="6"/>
    </row>
    <row r="302" spans="1:7" x14ac:dyDescent="0.35">
      <c r="A302" s="13" t="s">
        <v>254</v>
      </c>
      <c r="B302" s="8"/>
      <c r="C302" s="9"/>
      <c r="D302" s="10"/>
      <c r="E302" s="21"/>
      <c r="F302" s="22"/>
      <c r="G302" s="6"/>
    </row>
    <row r="303" spans="1:7" x14ac:dyDescent="0.35">
      <c r="A303" s="13" t="s">
        <v>255</v>
      </c>
      <c r="B303" s="8"/>
      <c r="C303" s="9"/>
      <c r="D303" s="10"/>
      <c r="E303" s="21"/>
      <c r="F303" s="22"/>
      <c r="G303" s="6"/>
    </row>
    <row r="304" spans="1:7" x14ac:dyDescent="0.35">
      <c r="A304" s="13" t="s">
        <v>256</v>
      </c>
      <c r="B304" s="8"/>
      <c r="C304" s="9"/>
      <c r="D304" s="10"/>
      <c r="E304" s="21"/>
      <c r="F304" s="22"/>
      <c r="G304" s="6"/>
    </row>
    <row r="305" spans="1:7" x14ac:dyDescent="0.35">
      <c r="A305" s="13" t="s">
        <v>257</v>
      </c>
      <c r="B305" s="8"/>
      <c r="C305" s="9"/>
      <c r="D305" s="10"/>
      <c r="E305" s="21"/>
      <c r="F305" s="22"/>
      <c r="G305" s="6"/>
    </row>
    <row r="306" spans="1:7" x14ac:dyDescent="0.35">
      <c r="A306" s="13" t="s">
        <v>258</v>
      </c>
      <c r="B306" s="8"/>
      <c r="C306" s="9"/>
      <c r="D306" s="10"/>
      <c r="E306" s="21"/>
      <c r="F306" s="22"/>
      <c r="G306" s="6"/>
    </row>
    <row r="307" spans="1:7" x14ac:dyDescent="0.35">
      <c r="A307" s="13" t="s">
        <v>259</v>
      </c>
      <c r="B307" s="8"/>
      <c r="C307" s="9"/>
      <c r="D307" s="10"/>
      <c r="E307" s="21"/>
      <c r="F307" s="22"/>
      <c r="G307" s="6"/>
    </row>
    <row r="308" spans="1:7" x14ac:dyDescent="0.35">
      <c r="A308" s="13" t="s">
        <v>260</v>
      </c>
      <c r="B308" s="8"/>
      <c r="C308" s="9"/>
      <c r="D308" s="10"/>
      <c r="E308" s="21"/>
      <c r="F308" s="22"/>
      <c r="G308" s="6"/>
    </row>
    <row r="309" spans="1:7" x14ac:dyDescent="0.35">
      <c r="A309" s="13" t="s">
        <v>261</v>
      </c>
      <c r="B309" s="8"/>
      <c r="C309" s="9"/>
      <c r="D309" s="10"/>
      <c r="E309" s="21"/>
      <c r="F309" s="22"/>
      <c r="G309" s="6"/>
    </row>
    <row r="310" spans="1:7" x14ac:dyDescent="0.35">
      <c r="A310" s="13" t="s">
        <v>262</v>
      </c>
      <c r="B310" s="8"/>
      <c r="C310" s="9"/>
      <c r="D310" s="10"/>
      <c r="E310" s="21"/>
      <c r="F310" s="22"/>
      <c r="G310" s="6"/>
    </row>
    <row r="311" spans="1:7" x14ac:dyDescent="0.35">
      <c r="A311" s="13" t="s">
        <v>263</v>
      </c>
      <c r="B311" s="8"/>
      <c r="C311" s="9"/>
      <c r="D311" s="10"/>
      <c r="E311" s="21"/>
      <c r="F311" s="22"/>
      <c r="G311" s="6"/>
    </row>
    <row r="312" spans="1:7" x14ac:dyDescent="0.35">
      <c r="A312" s="13" t="s">
        <v>264</v>
      </c>
      <c r="B312" s="8"/>
      <c r="C312" s="9"/>
      <c r="D312" s="10"/>
      <c r="E312" s="21"/>
      <c r="F312" s="22"/>
      <c r="G312" s="6"/>
    </row>
    <row r="313" spans="1:7" x14ac:dyDescent="0.35">
      <c r="A313" s="13" t="s">
        <v>265</v>
      </c>
      <c r="B313" s="8"/>
      <c r="C313" s="9"/>
      <c r="D313" s="10"/>
      <c r="E313" s="21"/>
      <c r="F313" s="22"/>
      <c r="G313" s="6"/>
    </row>
    <row r="314" spans="1:7" x14ac:dyDescent="0.35">
      <c r="A314" s="13" t="s">
        <v>266</v>
      </c>
      <c r="B314" s="8"/>
      <c r="C314" s="9"/>
      <c r="D314" s="10"/>
      <c r="E314" s="21"/>
      <c r="F314" s="22"/>
      <c r="G314" s="6"/>
    </row>
    <row r="315" spans="1:7" x14ac:dyDescent="0.35">
      <c r="A315" s="13" t="s">
        <v>267</v>
      </c>
      <c r="B315" s="8"/>
      <c r="C315" s="9"/>
      <c r="D315" s="10"/>
      <c r="E315" s="21"/>
      <c r="F315" s="22"/>
      <c r="G315" s="6"/>
    </row>
    <row r="316" spans="1:7" x14ac:dyDescent="0.35">
      <c r="A316" s="13" t="s">
        <v>268</v>
      </c>
      <c r="B316" s="8"/>
      <c r="C316" s="9"/>
      <c r="D316" s="10"/>
      <c r="E316" s="21"/>
      <c r="F316" s="22"/>
      <c r="G316" s="6"/>
    </row>
    <row r="317" spans="1:7" x14ac:dyDescent="0.35">
      <c r="A317" s="13" t="s">
        <v>269</v>
      </c>
      <c r="B317" s="8"/>
      <c r="C317" s="9"/>
      <c r="D317" s="10"/>
      <c r="E317" s="21"/>
      <c r="F317" s="22"/>
      <c r="G317" s="6"/>
    </row>
    <row r="318" spans="1:7" x14ac:dyDescent="0.35">
      <c r="A318" s="13" t="s">
        <v>270</v>
      </c>
      <c r="B318" s="8"/>
      <c r="C318" s="9"/>
      <c r="D318" s="10"/>
      <c r="E318" s="21"/>
      <c r="F318" s="22"/>
      <c r="G318" s="6"/>
    </row>
    <row r="319" spans="1:7" x14ac:dyDescent="0.35">
      <c r="A319" s="13" t="s">
        <v>271</v>
      </c>
      <c r="B319" s="8"/>
      <c r="C319" s="9"/>
      <c r="D319" s="10"/>
      <c r="E319" s="21"/>
      <c r="F319" s="22"/>
      <c r="G319" s="6"/>
    </row>
    <row r="320" spans="1:7" x14ac:dyDescent="0.35">
      <c r="A320" s="2"/>
      <c r="B320" s="2"/>
      <c r="C320" s="2"/>
      <c r="D320" s="2"/>
      <c r="E320" s="2"/>
      <c r="F320" s="2"/>
      <c r="G320" s="2"/>
    </row>
    <row r="321" spans="1:7" x14ac:dyDescent="0.35">
      <c r="A321" s="13" t="s">
        <v>16</v>
      </c>
      <c r="B321" s="15" t="s">
        <v>0</v>
      </c>
      <c r="C321" s="16" t="s">
        <v>1</v>
      </c>
      <c r="D321" s="17" t="s">
        <v>2</v>
      </c>
      <c r="E321" s="24" t="s">
        <v>3</v>
      </c>
      <c r="F321" s="23" t="s">
        <v>4</v>
      </c>
      <c r="G321" s="18" t="s">
        <v>5</v>
      </c>
    </row>
    <row r="322" spans="1:7" x14ac:dyDescent="0.35">
      <c r="A322" s="13" t="s">
        <v>242</v>
      </c>
      <c r="B322" s="8"/>
      <c r="C322" s="9"/>
      <c r="D322" s="10"/>
      <c r="E322" s="21"/>
      <c r="F322" s="22"/>
      <c r="G322" s="6"/>
    </row>
    <row r="323" spans="1:7" x14ac:dyDescent="0.35">
      <c r="A323" s="13" t="s">
        <v>243</v>
      </c>
      <c r="B323" s="8"/>
      <c r="C323" s="9"/>
      <c r="D323" s="10"/>
      <c r="E323" s="21"/>
      <c r="F323" s="22"/>
      <c r="G323" s="6"/>
    </row>
    <row r="324" spans="1:7" x14ac:dyDescent="0.35">
      <c r="A324" s="13" t="s">
        <v>244</v>
      </c>
      <c r="B324" s="8"/>
      <c r="C324" s="9"/>
      <c r="D324" s="10"/>
      <c r="E324" s="21"/>
      <c r="F324" s="22"/>
      <c r="G324" s="6"/>
    </row>
    <row r="325" spans="1:7" x14ac:dyDescent="0.35">
      <c r="A325" s="13" t="s">
        <v>245</v>
      </c>
      <c r="B325" s="8"/>
      <c r="C325" s="9"/>
      <c r="D325" s="10"/>
      <c r="E325" s="21"/>
      <c r="F325" s="22"/>
      <c r="G325" s="6"/>
    </row>
    <row r="326" spans="1:7" x14ac:dyDescent="0.35">
      <c r="A326" s="13" t="s">
        <v>246</v>
      </c>
      <c r="B326" s="8"/>
      <c r="C326" s="9"/>
      <c r="D326" s="10"/>
      <c r="E326" s="21"/>
      <c r="F326" s="22"/>
      <c r="G326" s="6"/>
    </row>
    <row r="327" spans="1:7" x14ac:dyDescent="0.35">
      <c r="A327" s="13" t="s">
        <v>247</v>
      </c>
      <c r="B327" s="8"/>
      <c r="C327" s="9"/>
      <c r="D327" s="10"/>
      <c r="E327" s="21"/>
      <c r="F327" s="22"/>
      <c r="G327" s="6"/>
    </row>
    <row r="328" spans="1:7" x14ac:dyDescent="0.35">
      <c r="A328" s="13" t="s">
        <v>248</v>
      </c>
      <c r="B328" s="8"/>
      <c r="C328" s="9"/>
      <c r="D328" s="10"/>
      <c r="E328" s="21"/>
      <c r="F328" s="22"/>
      <c r="G328" s="6"/>
    </row>
    <row r="329" spans="1:7" x14ac:dyDescent="0.35">
      <c r="A329" s="13" t="s">
        <v>249</v>
      </c>
      <c r="B329" s="8"/>
      <c r="C329" s="9"/>
      <c r="D329" s="10"/>
      <c r="E329" s="21"/>
      <c r="F329" s="22"/>
      <c r="G329" s="6"/>
    </row>
    <row r="330" spans="1:7" x14ac:dyDescent="0.35">
      <c r="A330" s="13" t="s">
        <v>250</v>
      </c>
      <c r="B330" s="8"/>
      <c r="C330" s="9"/>
      <c r="D330" s="10"/>
      <c r="E330" s="21"/>
      <c r="F330" s="22"/>
      <c r="G330" s="6"/>
    </row>
    <row r="331" spans="1:7" x14ac:dyDescent="0.35">
      <c r="A331" s="13" t="s">
        <v>251</v>
      </c>
      <c r="B331" s="8"/>
      <c r="C331" s="9"/>
      <c r="D331" s="10"/>
      <c r="E331" s="21"/>
      <c r="F331" s="22"/>
      <c r="G331" s="6"/>
    </row>
    <row r="332" spans="1:7" x14ac:dyDescent="0.35">
      <c r="A332" s="13" t="s">
        <v>252</v>
      </c>
      <c r="B332" s="8"/>
      <c r="C332" s="9"/>
      <c r="D332" s="10"/>
      <c r="E332" s="21"/>
      <c r="F332" s="22"/>
      <c r="G332" s="6"/>
    </row>
    <row r="333" spans="1:7" x14ac:dyDescent="0.35">
      <c r="A333" s="13" t="s">
        <v>253</v>
      </c>
      <c r="B333" s="8"/>
      <c r="C333" s="9"/>
      <c r="D333" s="10"/>
      <c r="E333" s="21"/>
      <c r="F333" s="22"/>
      <c r="G333" s="6"/>
    </row>
    <row r="334" spans="1:7" x14ac:dyDescent="0.35">
      <c r="A334" s="13" t="s">
        <v>254</v>
      </c>
      <c r="B334" s="8"/>
      <c r="C334" s="9"/>
      <c r="D334" s="10"/>
      <c r="E334" s="21"/>
      <c r="F334" s="22"/>
      <c r="G334" s="6"/>
    </row>
    <row r="335" spans="1:7" x14ac:dyDescent="0.35">
      <c r="A335" s="13" t="s">
        <v>255</v>
      </c>
      <c r="B335" s="8"/>
      <c r="C335" s="9"/>
      <c r="D335" s="10"/>
      <c r="E335" s="21"/>
      <c r="F335" s="22"/>
      <c r="G335" s="6"/>
    </row>
    <row r="336" spans="1:7" x14ac:dyDescent="0.35">
      <c r="A336" s="13" t="s">
        <v>256</v>
      </c>
      <c r="B336" s="8"/>
      <c r="C336" s="9"/>
      <c r="D336" s="10"/>
      <c r="E336" s="21"/>
      <c r="F336" s="22"/>
      <c r="G336" s="6"/>
    </row>
    <row r="337" spans="1:7" x14ac:dyDescent="0.35">
      <c r="A337" s="13" t="s">
        <v>257</v>
      </c>
      <c r="B337" s="8"/>
      <c r="C337" s="9"/>
      <c r="D337" s="10"/>
      <c r="E337" s="21"/>
      <c r="F337" s="22"/>
      <c r="G337" s="6"/>
    </row>
    <row r="338" spans="1:7" x14ac:dyDescent="0.35">
      <c r="A338" s="13" t="s">
        <v>258</v>
      </c>
      <c r="B338" s="8"/>
      <c r="C338" s="9"/>
      <c r="D338" s="10"/>
      <c r="E338" s="21"/>
      <c r="F338" s="22"/>
      <c r="G338" s="6"/>
    </row>
    <row r="339" spans="1:7" x14ac:dyDescent="0.35">
      <c r="A339" s="13" t="s">
        <v>259</v>
      </c>
      <c r="B339" s="8"/>
      <c r="C339" s="9"/>
      <c r="D339" s="10"/>
      <c r="E339" s="21"/>
      <c r="F339" s="22"/>
      <c r="G339" s="6"/>
    </row>
    <row r="340" spans="1:7" x14ac:dyDescent="0.35">
      <c r="A340" s="13" t="s">
        <v>260</v>
      </c>
      <c r="B340" s="8"/>
      <c r="C340" s="9"/>
      <c r="D340" s="10"/>
      <c r="E340" s="21"/>
      <c r="F340" s="22"/>
      <c r="G340" s="6"/>
    </row>
    <row r="341" spans="1:7" x14ac:dyDescent="0.35">
      <c r="A341" s="13" t="s">
        <v>261</v>
      </c>
      <c r="B341" s="8"/>
      <c r="C341" s="9"/>
      <c r="D341" s="10"/>
      <c r="E341" s="21"/>
      <c r="F341" s="22"/>
      <c r="G341" s="6"/>
    </row>
    <row r="342" spans="1:7" x14ac:dyDescent="0.35">
      <c r="A342" s="13" t="s">
        <v>262</v>
      </c>
      <c r="B342" s="8"/>
      <c r="C342" s="9"/>
      <c r="D342" s="10"/>
      <c r="E342" s="21"/>
      <c r="F342" s="22"/>
      <c r="G342" s="6"/>
    </row>
    <row r="343" spans="1:7" x14ac:dyDescent="0.35">
      <c r="A343" s="13" t="s">
        <v>263</v>
      </c>
      <c r="B343" s="8"/>
      <c r="C343" s="9"/>
      <c r="D343" s="10"/>
      <c r="E343" s="21"/>
      <c r="F343" s="22"/>
      <c r="G343" s="6"/>
    </row>
    <row r="344" spans="1:7" x14ac:dyDescent="0.35">
      <c r="A344" s="13" t="s">
        <v>264</v>
      </c>
      <c r="B344" s="8"/>
      <c r="C344" s="9"/>
      <c r="D344" s="10"/>
      <c r="E344" s="21"/>
      <c r="F344" s="22"/>
      <c r="G344" s="6"/>
    </row>
    <row r="345" spans="1:7" x14ac:dyDescent="0.35">
      <c r="A345" s="13" t="s">
        <v>265</v>
      </c>
      <c r="B345" s="8"/>
      <c r="C345" s="9"/>
      <c r="D345" s="10"/>
      <c r="E345" s="21"/>
      <c r="F345" s="22"/>
      <c r="G345" s="6"/>
    </row>
    <row r="346" spans="1:7" x14ac:dyDescent="0.35">
      <c r="A346" s="13" t="s">
        <v>266</v>
      </c>
      <c r="B346" s="8"/>
      <c r="C346" s="9"/>
      <c r="D346" s="10"/>
      <c r="E346" s="21"/>
      <c r="F346" s="22"/>
      <c r="G346" s="6"/>
    </row>
    <row r="347" spans="1:7" x14ac:dyDescent="0.35">
      <c r="A347" s="13" t="s">
        <v>267</v>
      </c>
      <c r="B347" s="8"/>
      <c r="C347" s="9"/>
      <c r="D347" s="10"/>
      <c r="E347" s="21"/>
      <c r="F347" s="22"/>
      <c r="G347" s="6"/>
    </row>
    <row r="348" spans="1:7" x14ac:dyDescent="0.35">
      <c r="A348" s="13" t="s">
        <v>268</v>
      </c>
      <c r="B348" s="8"/>
      <c r="C348" s="9"/>
      <c r="D348" s="10"/>
      <c r="E348" s="21"/>
      <c r="F348" s="22"/>
      <c r="G348" s="6"/>
    </row>
    <row r="349" spans="1:7" x14ac:dyDescent="0.35">
      <c r="A349" s="13" t="s">
        <v>269</v>
      </c>
      <c r="B349" s="8"/>
      <c r="C349" s="9"/>
      <c r="D349" s="10"/>
      <c r="E349" s="21"/>
      <c r="F349" s="22"/>
      <c r="G349" s="6"/>
    </row>
    <row r="350" spans="1:7" x14ac:dyDescent="0.35">
      <c r="A350" s="13" t="s">
        <v>270</v>
      </c>
      <c r="B350" s="8"/>
      <c r="C350" s="9"/>
      <c r="D350" s="10"/>
      <c r="E350" s="21"/>
      <c r="F350" s="22"/>
      <c r="G350" s="6"/>
    </row>
    <row r="351" spans="1:7" x14ac:dyDescent="0.35">
      <c r="A351" s="13" t="s">
        <v>271</v>
      </c>
      <c r="B351" s="8"/>
      <c r="C351" s="9"/>
      <c r="D351" s="10"/>
      <c r="E351" s="21"/>
      <c r="F351" s="22"/>
      <c r="G351" s="6"/>
    </row>
    <row r="352" spans="1:7" x14ac:dyDescent="0.35">
      <c r="A352" s="2"/>
      <c r="B352" s="2"/>
      <c r="C352" s="2"/>
      <c r="D352" s="2"/>
      <c r="E352" s="2"/>
      <c r="F352" s="2"/>
      <c r="G352" s="2"/>
    </row>
    <row r="353" spans="1:7" x14ac:dyDescent="0.35">
      <c r="A353" s="13" t="s">
        <v>17</v>
      </c>
      <c r="B353" s="15" t="s">
        <v>0</v>
      </c>
      <c r="C353" s="16" t="s">
        <v>1</v>
      </c>
      <c r="D353" s="17" t="s">
        <v>2</v>
      </c>
      <c r="E353" s="24" t="s">
        <v>3</v>
      </c>
      <c r="F353" s="23" t="s">
        <v>4</v>
      </c>
      <c r="G353" s="18" t="s">
        <v>5</v>
      </c>
    </row>
    <row r="354" spans="1:7" x14ac:dyDescent="0.35">
      <c r="A354" s="13" t="s">
        <v>242</v>
      </c>
      <c r="B354" s="8"/>
      <c r="C354" s="9"/>
      <c r="D354" s="10"/>
      <c r="E354" s="21"/>
      <c r="F354" s="22"/>
      <c r="G354" s="6"/>
    </row>
    <row r="355" spans="1:7" x14ac:dyDescent="0.35">
      <c r="A355" s="13" t="s">
        <v>243</v>
      </c>
      <c r="B355" s="8"/>
      <c r="C355" s="9"/>
      <c r="D355" s="10"/>
      <c r="E355" s="21"/>
      <c r="F355" s="22"/>
      <c r="G355" s="6"/>
    </row>
    <row r="356" spans="1:7" x14ac:dyDescent="0.35">
      <c r="A356" s="13" t="s">
        <v>244</v>
      </c>
      <c r="B356" s="8"/>
      <c r="C356" s="9"/>
      <c r="D356" s="10"/>
      <c r="E356" s="21"/>
      <c r="F356" s="22"/>
      <c r="G356" s="6"/>
    </row>
    <row r="357" spans="1:7" x14ac:dyDescent="0.35">
      <c r="A357" s="13" t="s">
        <v>245</v>
      </c>
      <c r="B357" s="8"/>
      <c r="C357" s="9"/>
      <c r="D357" s="10"/>
      <c r="E357" s="21"/>
      <c r="F357" s="22"/>
      <c r="G357" s="6"/>
    </row>
    <row r="358" spans="1:7" x14ac:dyDescent="0.35">
      <c r="A358" s="13" t="s">
        <v>246</v>
      </c>
      <c r="B358" s="8"/>
      <c r="C358" s="9"/>
      <c r="D358" s="10"/>
      <c r="E358" s="21"/>
      <c r="F358" s="22"/>
      <c r="G358" s="6"/>
    </row>
    <row r="359" spans="1:7" x14ac:dyDescent="0.35">
      <c r="A359" s="13" t="s">
        <v>247</v>
      </c>
      <c r="B359" s="8"/>
      <c r="C359" s="9"/>
      <c r="D359" s="10"/>
      <c r="E359" s="21"/>
      <c r="F359" s="22"/>
      <c r="G359" s="6"/>
    </row>
    <row r="360" spans="1:7" x14ac:dyDescent="0.35">
      <c r="A360" s="13" t="s">
        <v>248</v>
      </c>
      <c r="B360" s="8"/>
      <c r="C360" s="9"/>
      <c r="D360" s="10"/>
      <c r="E360" s="21"/>
      <c r="F360" s="22"/>
      <c r="G360" s="6"/>
    </row>
    <row r="361" spans="1:7" x14ac:dyDescent="0.35">
      <c r="A361" s="13" t="s">
        <v>249</v>
      </c>
      <c r="B361" s="8"/>
      <c r="C361" s="9"/>
      <c r="D361" s="10"/>
      <c r="E361" s="21"/>
      <c r="F361" s="22"/>
      <c r="G361" s="6"/>
    </row>
    <row r="362" spans="1:7" x14ac:dyDescent="0.35">
      <c r="A362" s="13" t="s">
        <v>250</v>
      </c>
      <c r="B362" s="8"/>
      <c r="C362" s="9"/>
      <c r="D362" s="10"/>
      <c r="E362" s="21"/>
      <c r="F362" s="22"/>
      <c r="G362" s="6"/>
    </row>
    <row r="363" spans="1:7" x14ac:dyDescent="0.35">
      <c r="A363" s="13" t="s">
        <v>251</v>
      </c>
      <c r="B363" s="8"/>
      <c r="C363" s="9"/>
      <c r="D363" s="10"/>
      <c r="E363" s="21"/>
      <c r="F363" s="22"/>
      <c r="G363" s="6"/>
    </row>
    <row r="364" spans="1:7" x14ac:dyDescent="0.35">
      <c r="A364" s="13" t="s">
        <v>252</v>
      </c>
      <c r="B364" s="8"/>
      <c r="C364" s="9"/>
      <c r="D364" s="10"/>
      <c r="E364" s="21"/>
      <c r="F364" s="22"/>
      <c r="G364" s="6"/>
    </row>
    <row r="365" spans="1:7" x14ac:dyDescent="0.35">
      <c r="A365" s="13" t="s">
        <v>253</v>
      </c>
      <c r="B365" s="8"/>
      <c r="C365" s="9"/>
      <c r="D365" s="10"/>
      <c r="E365" s="21"/>
      <c r="F365" s="22"/>
      <c r="G365" s="6"/>
    </row>
    <row r="366" spans="1:7" x14ac:dyDescent="0.35">
      <c r="A366" s="13" t="s">
        <v>254</v>
      </c>
      <c r="B366" s="8"/>
      <c r="C366" s="9"/>
      <c r="D366" s="10"/>
      <c r="E366" s="21"/>
      <c r="F366" s="22"/>
      <c r="G366" s="6"/>
    </row>
    <row r="367" spans="1:7" x14ac:dyDescent="0.35">
      <c r="A367" s="13" t="s">
        <v>255</v>
      </c>
      <c r="B367" s="8"/>
      <c r="C367" s="9"/>
      <c r="D367" s="10"/>
      <c r="E367" s="21"/>
      <c r="F367" s="22"/>
      <c r="G367" s="6"/>
    </row>
    <row r="368" spans="1:7" x14ac:dyDescent="0.35">
      <c r="A368" s="13" t="s">
        <v>256</v>
      </c>
      <c r="B368" s="8"/>
      <c r="C368" s="9"/>
      <c r="D368" s="10"/>
      <c r="E368" s="21"/>
      <c r="F368" s="22"/>
      <c r="G368" s="6"/>
    </row>
    <row r="369" spans="1:7" x14ac:dyDescent="0.35">
      <c r="A369" s="13" t="s">
        <v>257</v>
      </c>
      <c r="B369" s="8"/>
      <c r="C369" s="9"/>
      <c r="D369" s="10"/>
      <c r="E369" s="21"/>
      <c r="F369" s="22"/>
      <c r="G369" s="6"/>
    </row>
    <row r="370" spans="1:7" x14ac:dyDescent="0.35">
      <c r="A370" s="13" t="s">
        <v>258</v>
      </c>
      <c r="B370" s="8"/>
      <c r="C370" s="9"/>
      <c r="D370" s="10"/>
      <c r="E370" s="21"/>
      <c r="F370" s="22"/>
      <c r="G370" s="6"/>
    </row>
    <row r="371" spans="1:7" x14ac:dyDescent="0.35">
      <c r="A371" s="13" t="s">
        <v>259</v>
      </c>
      <c r="B371" s="8"/>
      <c r="C371" s="9"/>
      <c r="D371" s="10"/>
      <c r="E371" s="21"/>
      <c r="F371" s="22"/>
      <c r="G371" s="6"/>
    </row>
    <row r="372" spans="1:7" x14ac:dyDescent="0.35">
      <c r="A372" s="13" t="s">
        <v>260</v>
      </c>
      <c r="B372" s="8"/>
      <c r="C372" s="9"/>
      <c r="D372" s="10"/>
      <c r="E372" s="21"/>
      <c r="F372" s="22"/>
      <c r="G372" s="6"/>
    </row>
    <row r="373" spans="1:7" x14ac:dyDescent="0.35">
      <c r="A373" s="13" t="s">
        <v>261</v>
      </c>
      <c r="B373" s="8"/>
      <c r="C373" s="9"/>
      <c r="D373" s="10"/>
      <c r="E373" s="21"/>
      <c r="F373" s="22"/>
      <c r="G373" s="6"/>
    </row>
    <row r="374" spans="1:7" x14ac:dyDescent="0.35">
      <c r="A374" s="13" t="s">
        <v>262</v>
      </c>
      <c r="B374" s="8"/>
      <c r="C374" s="9"/>
      <c r="D374" s="10"/>
      <c r="E374" s="21"/>
      <c r="F374" s="22"/>
      <c r="G374" s="6"/>
    </row>
    <row r="375" spans="1:7" x14ac:dyDescent="0.35">
      <c r="A375" s="13" t="s">
        <v>263</v>
      </c>
      <c r="B375" s="8"/>
      <c r="C375" s="9"/>
      <c r="D375" s="10"/>
      <c r="E375" s="21"/>
      <c r="F375" s="22"/>
      <c r="G375" s="6"/>
    </row>
    <row r="376" spans="1:7" x14ac:dyDescent="0.35">
      <c r="A376" s="13" t="s">
        <v>264</v>
      </c>
      <c r="B376" s="8"/>
      <c r="C376" s="9"/>
      <c r="D376" s="10"/>
      <c r="E376" s="21"/>
      <c r="F376" s="22"/>
      <c r="G376" s="6"/>
    </row>
    <row r="377" spans="1:7" x14ac:dyDescent="0.35">
      <c r="A377" s="13" t="s">
        <v>265</v>
      </c>
      <c r="B377" s="8"/>
      <c r="C377" s="9"/>
      <c r="D377" s="10"/>
      <c r="E377" s="21"/>
      <c r="F377" s="22"/>
      <c r="G377" s="6"/>
    </row>
    <row r="378" spans="1:7" x14ac:dyDescent="0.35">
      <c r="A378" s="13" t="s">
        <v>266</v>
      </c>
      <c r="B378" s="8"/>
      <c r="C378" s="9"/>
      <c r="D378" s="10"/>
      <c r="E378" s="21"/>
      <c r="F378" s="22"/>
      <c r="G378" s="6"/>
    </row>
    <row r="379" spans="1:7" x14ac:dyDescent="0.35">
      <c r="A379" s="13" t="s">
        <v>267</v>
      </c>
      <c r="B379" s="8"/>
      <c r="C379" s="9"/>
      <c r="D379" s="10"/>
      <c r="E379" s="21"/>
      <c r="F379" s="22"/>
      <c r="G379" s="6"/>
    </row>
    <row r="380" spans="1:7" x14ac:dyDescent="0.35">
      <c r="A380" s="13" t="s">
        <v>268</v>
      </c>
      <c r="B380" s="8"/>
      <c r="C380" s="9"/>
      <c r="D380" s="10"/>
      <c r="E380" s="21"/>
      <c r="F380" s="22"/>
      <c r="G380" s="6"/>
    </row>
    <row r="381" spans="1:7" x14ac:dyDescent="0.35">
      <c r="A381" s="13" t="s">
        <v>269</v>
      </c>
      <c r="B381" s="8"/>
      <c r="C381" s="9"/>
      <c r="D381" s="10"/>
      <c r="E381" s="21"/>
      <c r="F381" s="22"/>
      <c r="G381" s="6"/>
    </row>
    <row r="382" spans="1:7" x14ac:dyDescent="0.35">
      <c r="A382" s="13" t="s">
        <v>270</v>
      </c>
      <c r="B382" s="8"/>
      <c r="C382" s="9"/>
      <c r="D382" s="10"/>
      <c r="E382" s="21"/>
      <c r="F382" s="22"/>
      <c r="G382" s="6"/>
    </row>
    <row r="383" spans="1:7" x14ac:dyDescent="0.35">
      <c r="A383" s="13" t="s">
        <v>271</v>
      </c>
      <c r="B383" s="8"/>
      <c r="C383" s="9"/>
      <c r="D383" s="10"/>
      <c r="E383" s="21"/>
      <c r="F383" s="22"/>
      <c r="G383" s="6"/>
    </row>
    <row r="384" spans="1:7" x14ac:dyDescent="0.35">
      <c r="A384" s="2"/>
      <c r="B384" s="2"/>
      <c r="C384" s="2"/>
      <c r="D384" s="2"/>
      <c r="E384" s="2"/>
      <c r="F384" s="2"/>
      <c r="G384" s="2"/>
    </row>
    <row r="385" spans="1:7" x14ac:dyDescent="0.35">
      <c r="A385" s="13" t="s">
        <v>18</v>
      </c>
      <c r="B385" s="15" t="s">
        <v>0</v>
      </c>
      <c r="C385" s="16" t="s">
        <v>1</v>
      </c>
      <c r="D385" s="17" t="s">
        <v>2</v>
      </c>
      <c r="E385" s="24" t="s">
        <v>3</v>
      </c>
      <c r="F385" s="23" t="s">
        <v>4</v>
      </c>
      <c r="G385" s="18" t="s">
        <v>5</v>
      </c>
    </row>
    <row r="386" spans="1:7" x14ac:dyDescent="0.35">
      <c r="A386" s="13" t="s">
        <v>242</v>
      </c>
      <c r="B386" s="8"/>
      <c r="C386" s="9"/>
      <c r="D386" s="10"/>
      <c r="E386" s="21"/>
      <c r="F386" s="22"/>
      <c r="G386" s="6"/>
    </row>
    <row r="387" spans="1:7" x14ac:dyDescent="0.35">
      <c r="A387" s="13" t="s">
        <v>243</v>
      </c>
      <c r="B387" s="8"/>
      <c r="C387" s="9"/>
      <c r="D387" s="10"/>
      <c r="E387" s="21"/>
      <c r="F387" s="22"/>
      <c r="G387" s="6"/>
    </row>
    <row r="388" spans="1:7" x14ac:dyDescent="0.35">
      <c r="A388" s="13" t="s">
        <v>244</v>
      </c>
      <c r="B388" s="8"/>
      <c r="C388" s="9"/>
      <c r="D388" s="10"/>
      <c r="E388" s="21"/>
      <c r="F388" s="22"/>
      <c r="G388" s="6"/>
    </row>
    <row r="389" spans="1:7" x14ac:dyDescent="0.35">
      <c r="A389" s="13" t="s">
        <v>245</v>
      </c>
      <c r="B389" s="8"/>
      <c r="C389" s="9"/>
      <c r="D389" s="10"/>
      <c r="E389" s="21"/>
      <c r="F389" s="22"/>
      <c r="G389" s="6"/>
    </row>
    <row r="390" spans="1:7" x14ac:dyDescent="0.35">
      <c r="A390" s="13" t="s">
        <v>246</v>
      </c>
      <c r="B390" s="8"/>
      <c r="C390" s="9"/>
      <c r="D390" s="10"/>
      <c r="E390" s="21"/>
      <c r="F390" s="22"/>
      <c r="G390" s="6"/>
    </row>
    <row r="391" spans="1:7" x14ac:dyDescent="0.35">
      <c r="A391" s="13" t="s">
        <v>247</v>
      </c>
      <c r="B391" s="8"/>
      <c r="C391" s="9"/>
      <c r="D391" s="10"/>
      <c r="E391" s="21"/>
      <c r="F391" s="22"/>
      <c r="G391" s="6"/>
    </row>
    <row r="392" spans="1:7" x14ac:dyDescent="0.35">
      <c r="A392" s="13" t="s">
        <v>248</v>
      </c>
      <c r="B392" s="8"/>
      <c r="C392" s="9"/>
      <c r="D392" s="10"/>
      <c r="E392" s="21"/>
      <c r="F392" s="22"/>
      <c r="G392" s="6"/>
    </row>
    <row r="393" spans="1:7" x14ac:dyDescent="0.35">
      <c r="A393" s="13" t="s">
        <v>249</v>
      </c>
      <c r="B393" s="8"/>
      <c r="C393" s="9"/>
      <c r="D393" s="10"/>
      <c r="E393" s="21"/>
      <c r="F393" s="22"/>
      <c r="G393" s="6"/>
    </row>
    <row r="394" spans="1:7" x14ac:dyDescent="0.35">
      <c r="A394" s="13" t="s">
        <v>250</v>
      </c>
      <c r="B394" s="8"/>
      <c r="C394" s="9"/>
      <c r="D394" s="10"/>
      <c r="E394" s="21"/>
      <c r="F394" s="22"/>
      <c r="G394" s="6"/>
    </row>
    <row r="395" spans="1:7" x14ac:dyDescent="0.35">
      <c r="A395" s="13" t="s">
        <v>251</v>
      </c>
      <c r="B395" s="8"/>
      <c r="C395" s="9"/>
      <c r="D395" s="10"/>
      <c r="E395" s="21"/>
      <c r="F395" s="22"/>
      <c r="G395" s="6"/>
    </row>
    <row r="396" spans="1:7" x14ac:dyDescent="0.35">
      <c r="A396" s="13" t="s">
        <v>252</v>
      </c>
      <c r="B396" s="8"/>
      <c r="C396" s="9"/>
      <c r="D396" s="10"/>
      <c r="E396" s="21"/>
      <c r="F396" s="22"/>
      <c r="G396" s="6"/>
    </row>
    <row r="397" spans="1:7" x14ac:dyDescent="0.35">
      <c r="A397" s="13" t="s">
        <v>253</v>
      </c>
      <c r="B397" s="8"/>
      <c r="C397" s="9"/>
      <c r="D397" s="10"/>
      <c r="E397" s="21"/>
      <c r="F397" s="22"/>
      <c r="G397" s="6"/>
    </row>
    <row r="398" spans="1:7" x14ac:dyDescent="0.35">
      <c r="A398" s="13" t="s">
        <v>254</v>
      </c>
      <c r="B398" s="8"/>
      <c r="C398" s="9"/>
      <c r="D398" s="10"/>
      <c r="E398" s="21"/>
      <c r="F398" s="22"/>
      <c r="G398" s="6"/>
    </row>
    <row r="399" spans="1:7" x14ac:dyDescent="0.35">
      <c r="A399" s="13" t="s">
        <v>255</v>
      </c>
      <c r="B399" s="8"/>
      <c r="C399" s="9"/>
      <c r="D399" s="10"/>
      <c r="E399" s="21"/>
      <c r="F399" s="22"/>
      <c r="G399" s="6"/>
    </row>
    <row r="400" spans="1:7" x14ac:dyDescent="0.35">
      <c r="A400" s="13" t="s">
        <v>256</v>
      </c>
      <c r="B400" s="8"/>
      <c r="C400" s="9"/>
      <c r="D400" s="10"/>
      <c r="E400" s="21"/>
      <c r="F400" s="22"/>
      <c r="G400" s="6"/>
    </row>
    <row r="401" spans="1:7" x14ac:dyDescent="0.35">
      <c r="A401" s="13" t="s">
        <v>257</v>
      </c>
      <c r="B401" s="8"/>
      <c r="C401" s="9"/>
      <c r="D401" s="10"/>
      <c r="E401" s="21"/>
      <c r="F401" s="22"/>
      <c r="G401" s="6"/>
    </row>
    <row r="402" spans="1:7" x14ac:dyDescent="0.35">
      <c r="A402" s="13" t="s">
        <v>258</v>
      </c>
      <c r="B402" s="8"/>
      <c r="C402" s="9"/>
      <c r="D402" s="10"/>
      <c r="E402" s="21"/>
      <c r="F402" s="22"/>
      <c r="G402" s="6"/>
    </row>
    <row r="403" spans="1:7" x14ac:dyDescent="0.35">
      <c r="A403" s="13" t="s">
        <v>259</v>
      </c>
      <c r="B403" s="8"/>
      <c r="C403" s="9"/>
      <c r="D403" s="10"/>
      <c r="E403" s="21"/>
      <c r="F403" s="22"/>
      <c r="G403" s="6"/>
    </row>
    <row r="404" spans="1:7" x14ac:dyDescent="0.35">
      <c r="A404" s="13" t="s">
        <v>260</v>
      </c>
      <c r="B404" s="8"/>
      <c r="C404" s="9"/>
      <c r="D404" s="10"/>
      <c r="E404" s="21"/>
      <c r="F404" s="22"/>
      <c r="G404" s="6"/>
    </row>
    <row r="405" spans="1:7" x14ac:dyDescent="0.35">
      <c r="A405" s="13" t="s">
        <v>261</v>
      </c>
      <c r="B405" s="8"/>
      <c r="C405" s="9"/>
      <c r="D405" s="10"/>
      <c r="E405" s="21"/>
      <c r="F405" s="22"/>
      <c r="G405" s="6"/>
    </row>
    <row r="406" spans="1:7" x14ac:dyDescent="0.35">
      <c r="A406" s="13" t="s">
        <v>262</v>
      </c>
      <c r="B406" s="8"/>
      <c r="C406" s="9"/>
      <c r="D406" s="10"/>
      <c r="E406" s="21"/>
      <c r="F406" s="22"/>
      <c r="G406" s="6"/>
    </row>
    <row r="407" spans="1:7" x14ac:dyDescent="0.35">
      <c r="A407" s="13" t="s">
        <v>263</v>
      </c>
      <c r="B407" s="8"/>
      <c r="C407" s="9"/>
      <c r="D407" s="10"/>
      <c r="E407" s="21"/>
      <c r="F407" s="22"/>
      <c r="G407" s="6"/>
    </row>
    <row r="408" spans="1:7" x14ac:dyDescent="0.35">
      <c r="A408" s="13" t="s">
        <v>264</v>
      </c>
      <c r="B408" s="8"/>
      <c r="C408" s="9"/>
      <c r="D408" s="10"/>
      <c r="E408" s="21"/>
      <c r="F408" s="22"/>
      <c r="G408" s="6"/>
    </row>
    <row r="409" spans="1:7" x14ac:dyDescent="0.35">
      <c r="A409" s="13" t="s">
        <v>265</v>
      </c>
      <c r="B409" s="8"/>
      <c r="C409" s="9"/>
      <c r="D409" s="10"/>
      <c r="E409" s="21"/>
      <c r="F409" s="22"/>
      <c r="G409" s="6"/>
    </row>
    <row r="410" spans="1:7" x14ac:dyDescent="0.35">
      <c r="A410" s="13" t="s">
        <v>266</v>
      </c>
      <c r="B410" s="8"/>
      <c r="C410" s="9"/>
      <c r="D410" s="10"/>
      <c r="E410" s="21"/>
      <c r="F410" s="22"/>
      <c r="G410" s="6"/>
    </row>
    <row r="411" spans="1:7" x14ac:dyDescent="0.35">
      <c r="A411" s="13" t="s">
        <v>267</v>
      </c>
      <c r="B411" s="8"/>
      <c r="C411" s="9"/>
      <c r="D411" s="10"/>
      <c r="E411" s="21"/>
      <c r="F411" s="22"/>
      <c r="G411" s="6"/>
    </row>
    <row r="412" spans="1:7" x14ac:dyDescent="0.35">
      <c r="A412" s="13" t="s">
        <v>268</v>
      </c>
      <c r="B412" s="8"/>
      <c r="C412" s="9"/>
      <c r="D412" s="10"/>
      <c r="E412" s="21"/>
      <c r="F412" s="22"/>
      <c r="G412" s="6"/>
    </row>
    <row r="413" spans="1:7" x14ac:dyDescent="0.35">
      <c r="A413" s="13" t="s">
        <v>269</v>
      </c>
      <c r="B413" s="8"/>
      <c r="C413" s="9"/>
      <c r="D413" s="10"/>
      <c r="E413" s="21"/>
      <c r="F413" s="22"/>
      <c r="G413" s="6"/>
    </row>
    <row r="414" spans="1:7" x14ac:dyDescent="0.35">
      <c r="A414" s="13" t="s">
        <v>270</v>
      </c>
      <c r="B414" s="8"/>
      <c r="C414" s="9"/>
      <c r="D414" s="10"/>
      <c r="E414" s="21"/>
      <c r="F414" s="22"/>
      <c r="G414" s="6"/>
    </row>
    <row r="415" spans="1:7" x14ac:dyDescent="0.35">
      <c r="A415" s="13" t="s">
        <v>271</v>
      </c>
      <c r="B415" s="8"/>
      <c r="C415" s="9"/>
      <c r="D415" s="10"/>
      <c r="E415" s="21"/>
      <c r="F415" s="22"/>
      <c r="G415" s="6"/>
    </row>
    <row r="416" spans="1:7" x14ac:dyDescent="0.35">
      <c r="A416" s="2"/>
      <c r="B416" s="2"/>
      <c r="C416" s="2"/>
      <c r="D416" s="2"/>
      <c r="E416" s="2"/>
      <c r="F416" s="2"/>
      <c r="G416" s="2"/>
    </row>
    <row r="417" spans="1:7" x14ac:dyDescent="0.35">
      <c r="A417" s="13" t="s">
        <v>19</v>
      </c>
      <c r="B417" s="15" t="s">
        <v>0</v>
      </c>
      <c r="C417" s="16" t="s">
        <v>1</v>
      </c>
      <c r="D417" s="17" t="s">
        <v>2</v>
      </c>
      <c r="E417" s="24" t="s">
        <v>3</v>
      </c>
      <c r="F417" s="23" t="s">
        <v>4</v>
      </c>
      <c r="G417" s="18" t="s">
        <v>5</v>
      </c>
    </row>
    <row r="418" spans="1:7" x14ac:dyDescent="0.35">
      <c r="A418" s="13" t="s">
        <v>242</v>
      </c>
      <c r="B418" s="8"/>
      <c r="C418" s="9"/>
      <c r="D418" s="10"/>
      <c r="E418" s="21"/>
      <c r="F418" s="22"/>
      <c r="G418" s="6"/>
    </row>
    <row r="419" spans="1:7" x14ac:dyDescent="0.35">
      <c r="A419" s="13" t="s">
        <v>243</v>
      </c>
      <c r="B419" s="8"/>
      <c r="C419" s="9"/>
      <c r="D419" s="10"/>
      <c r="E419" s="21"/>
      <c r="F419" s="22"/>
      <c r="G419" s="6"/>
    </row>
    <row r="420" spans="1:7" x14ac:dyDescent="0.35">
      <c r="A420" s="13" t="s">
        <v>244</v>
      </c>
      <c r="B420" s="8"/>
      <c r="C420" s="9"/>
      <c r="D420" s="10"/>
      <c r="E420" s="21"/>
      <c r="F420" s="22"/>
      <c r="G420" s="6"/>
    </row>
    <row r="421" spans="1:7" x14ac:dyDescent="0.35">
      <c r="A421" s="13" t="s">
        <v>245</v>
      </c>
      <c r="B421" s="8"/>
      <c r="C421" s="9"/>
      <c r="D421" s="10"/>
      <c r="E421" s="21"/>
      <c r="F421" s="22"/>
      <c r="G421" s="6"/>
    </row>
    <row r="422" spans="1:7" x14ac:dyDescent="0.35">
      <c r="A422" s="13" t="s">
        <v>246</v>
      </c>
      <c r="B422" s="8"/>
      <c r="C422" s="9"/>
      <c r="D422" s="10"/>
      <c r="E422" s="21"/>
      <c r="F422" s="22"/>
      <c r="G422" s="6"/>
    </row>
    <row r="423" spans="1:7" x14ac:dyDescent="0.35">
      <c r="A423" s="13" t="s">
        <v>247</v>
      </c>
      <c r="B423" s="8"/>
      <c r="C423" s="9"/>
      <c r="D423" s="10"/>
      <c r="E423" s="21"/>
      <c r="F423" s="22"/>
      <c r="G423" s="6"/>
    </row>
    <row r="424" spans="1:7" x14ac:dyDescent="0.35">
      <c r="A424" s="13" t="s">
        <v>248</v>
      </c>
      <c r="B424" s="8"/>
      <c r="C424" s="9"/>
      <c r="D424" s="10"/>
      <c r="E424" s="21"/>
      <c r="F424" s="22"/>
      <c r="G424" s="6"/>
    </row>
    <row r="425" spans="1:7" x14ac:dyDescent="0.35">
      <c r="A425" s="13" t="s">
        <v>249</v>
      </c>
      <c r="B425" s="8"/>
      <c r="C425" s="9"/>
      <c r="D425" s="10"/>
      <c r="E425" s="21"/>
      <c r="F425" s="22"/>
      <c r="G425" s="6"/>
    </row>
    <row r="426" spans="1:7" x14ac:dyDescent="0.35">
      <c r="A426" s="13" t="s">
        <v>250</v>
      </c>
      <c r="B426" s="8"/>
      <c r="C426" s="9"/>
      <c r="D426" s="10"/>
      <c r="E426" s="21"/>
      <c r="F426" s="22"/>
      <c r="G426" s="6"/>
    </row>
    <row r="427" spans="1:7" x14ac:dyDescent="0.35">
      <c r="A427" s="13" t="s">
        <v>251</v>
      </c>
      <c r="B427" s="8"/>
      <c r="C427" s="9"/>
      <c r="D427" s="10"/>
      <c r="E427" s="21"/>
      <c r="F427" s="22"/>
      <c r="G427" s="6"/>
    </row>
    <row r="428" spans="1:7" x14ac:dyDescent="0.35">
      <c r="A428" s="13" t="s">
        <v>252</v>
      </c>
      <c r="B428" s="8"/>
      <c r="C428" s="9"/>
      <c r="D428" s="10"/>
      <c r="E428" s="21"/>
      <c r="F428" s="22"/>
      <c r="G428" s="6"/>
    </row>
    <row r="429" spans="1:7" x14ac:dyDescent="0.35">
      <c r="A429" s="13" t="s">
        <v>253</v>
      </c>
      <c r="B429" s="8"/>
      <c r="C429" s="9"/>
      <c r="D429" s="10"/>
      <c r="E429" s="21"/>
      <c r="F429" s="22"/>
      <c r="G429" s="6"/>
    </row>
    <row r="430" spans="1:7" x14ac:dyDescent="0.35">
      <c r="A430" s="13" t="s">
        <v>254</v>
      </c>
      <c r="B430" s="8"/>
      <c r="C430" s="9"/>
      <c r="D430" s="10"/>
      <c r="E430" s="21"/>
      <c r="F430" s="22"/>
      <c r="G430" s="6"/>
    </row>
    <row r="431" spans="1:7" x14ac:dyDescent="0.35">
      <c r="A431" s="13" t="s">
        <v>255</v>
      </c>
      <c r="B431" s="8"/>
      <c r="C431" s="9"/>
      <c r="D431" s="10"/>
      <c r="E431" s="21"/>
      <c r="F431" s="22"/>
      <c r="G431" s="6"/>
    </row>
    <row r="432" spans="1:7" x14ac:dyDescent="0.35">
      <c r="A432" s="13" t="s">
        <v>256</v>
      </c>
      <c r="B432" s="8"/>
      <c r="C432" s="9"/>
      <c r="D432" s="10"/>
      <c r="E432" s="21"/>
      <c r="F432" s="22"/>
      <c r="G432" s="6"/>
    </row>
    <row r="433" spans="1:7" x14ac:dyDescent="0.35">
      <c r="A433" s="13" t="s">
        <v>257</v>
      </c>
      <c r="B433" s="8"/>
      <c r="C433" s="9"/>
      <c r="D433" s="10"/>
      <c r="E433" s="21"/>
      <c r="F433" s="22"/>
      <c r="G433" s="6"/>
    </row>
    <row r="434" spans="1:7" x14ac:dyDescent="0.35">
      <c r="A434" s="13" t="s">
        <v>258</v>
      </c>
      <c r="B434" s="8"/>
      <c r="C434" s="9"/>
      <c r="D434" s="10"/>
      <c r="E434" s="21"/>
      <c r="F434" s="22"/>
      <c r="G434" s="6"/>
    </row>
    <row r="435" spans="1:7" x14ac:dyDescent="0.35">
      <c r="A435" s="13" t="s">
        <v>259</v>
      </c>
      <c r="B435" s="8"/>
      <c r="C435" s="9"/>
      <c r="D435" s="10"/>
      <c r="E435" s="21"/>
      <c r="F435" s="22"/>
      <c r="G435" s="6"/>
    </row>
    <row r="436" spans="1:7" x14ac:dyDescent="0.35">
      <c r="A436" s="13" t="s">
        <v>260</v>
      </c>
      <c r="B436" s="8"/>
      <c r="C436" s="9"/>
      <c r="D436" s="10"/>
      <c r="E436" s="21"/>
      <c r="F436" s="22"/>
      <c r="G436" s="6"/>
    </row>
    <row r="437" spans="1:7" x14ac:dyDescent="0.35">
      <c r="A437" s="13" t="s">
        <v>261</v>
      </c>
      <c r="B437" s="8"/>
      <c r="C437" s="9"/>
      <c r="D437" s="10"/>
      <c r="E437" s="21"/>
      <c r="F437" s="22"/>
      <c r="G437" s="6"/>
    </row>
    <row r="438" spans="1:7" x14ac:dyDescent="0.35">
      <c r="A438" s="13" t="s">
        <v>262</v>
      </c>
      <c r="B438" s="8"/>
      <c r="C438" s="9"/>
      <c r="D438" s="10"/>
      <c r="E438" s="21"/>
      <c r="F438" s="22"/>
      <c r="G438" s="6"/>
    </row>
    <row r="439" spans="1:7" x14ac:dyDescent="0.35">
      <c r="A439" s="13" t="s">
        <v>263</v>
      </c>
      <c r="B439" s="8"/>
      <c r="C439" s="9"/>
      <c r="D439" s="10"/>
      <c r="E439" s="21"/>
      <c r="F439" s="22"/>
      <c r="G439" s="6"/>
    </row>
    <row r="440" spans="1:7" x14ac:dyDescent="0.35">
      <c r="A440" s="13" t="s">
        <v>264</v>
      </c>
      <c r="B440" s="8"/>
      <c r="C440" s="9"/>
      <c r="D440" s="10"/>
      <c r="E440" s="21"/>
      <c r="F440" s="22"/>
      <c r="G440" s="6"/>
    </row>
    <row r="441" spans="1:7" x14ac:dyDescent="0.35">
      <c r="A441" s="13" t="s">
        <v>265</v>
      </c>
      <c r="B441" s="8"/>
      <c r="C441" s="9"/>
      <c r="D441" s="10"/>
      <c r="E441" s="21"/>
      <c r="F441" s="22"/>
      <c r="G441" s="6"/>
    </row>
    <row r="442" spans="1:7" x14ac:dyDescent="0.35">
      <c r="A442" s="13" t="s">
        <v>266</v>
      </c>
      <c r="B442" s="8"/>
      <c r="C442" s="9"/>
      <c r="D442" s="10"/>
      <c r="E442" s="21"/>
      <c r="F442" s="22"/>
      <c r="G442" s="6"/>
    </row>
    <row r="443" spans="1:7" x14ac:dyDescent="0.35">
      <c r="A443" s="13" t="s">
        <v>267</v>
      </c>
      <c r="B443" s="8"/>
      <c r="C443" s="9"/>
      <c r="D443" s="10"/>
      <c r="E443" s="21"/>
      <c r="F443" s="22"/>
      <c r="G443" s="6"/>
    </row>
    <row r="444" spans="1:7" x14ac:dyDescent="0.35">
      <c r="A444" s="13" t="s">
        <v>268</v>
      </c>
      <c r="B444" s="8"/>
      <c r="C444" s="9"/>
      <c r="D444" s="10"/>
      <c r="E444" s="21"/>
      <c r="F444" s="22"/>
      <c r="G444" s="6"/>
    </row>
    <row r="445" spans="1:7" x14ac:dyDescent="0.35">
      <c r="A445" s="13" t="s">
        <v>269</v>
      </c>
      <c r="B445" s="8"/>
      <c r="C445" s="9"/>
      <c r="D445" s="10"/>
      <c r="E445" s="21"/>
      <c r="F445" s="22"/>
      <c r="G445" s="6"/>
    </row>
    <row r="446" spans="1:7" x14ac:dyDescent="0.35">
      <c r="A446" s="13" t="s">
        <v>270</v>
      </c>
      <c r="B446" s="8"/>
      <c r="C446" s="9"/>
      <c r="D446" s="10"/>
      <c r="E446" s="21"/>
      <c r="F446" s="22"/>
      <c r="G446" s="6"/>
    </row>
    <row r="447" spans="1:7" x14ac:dyDescent="0.35">
      <c r="A447" s="13" t="s">
        <v>271</v>
      </c>
      <c r="B447" s="8"/>
      <c r="C447" s="9"/>
      <c r="D447" s="10"/>
      <c r="E447" s="21"/>
      <c r="F447" s="22"/>
      <c r="G447" s="6"/>
    </row>
    <row r="448" spans="1:7" x14ac:dyDescent="0.35">
      <c r="A448" s="2"/>
      <c r="B448" s="2"/>
      <c r="C448" s="2"/>
      <c r="D448" s="2"/>
      <c r="E448" s="2"/>
      <c r="F448" s="2"/>
      <c r="G448" s="2"/>
    </row>
    <row r="449" spans="1:7" x14ac:dyDescent="0.35">
      <c r="A449" s="13" t="s">
        <v>20</v>
      </c>
      <c r="B449" s="15" t="s">
        <v>0</v>
      </c>
      <c r="C449" s="16" t="s">
        <v>1</v>
      </c>
      <c r="D449" s="17" t="s">
        <v>2</v>
      </c>
      <c r="E449" s="24" t="s">
        <v>3</v>
      </c>
      <c r="F449" s="23" t="s">
        <v>4</v>
      </c>
      <c r="G449" s="18" t="s">
        <v>5</v>
      </c>
    </row>
    <row r="450" spans="1:7" x14ac:dyDescent="0.35">
      <c r="A450" s="13" t="s">
        <v>242</v>
      </c>
      <c r="B450" s="8"/>
      <c r="C450" s="9"/>
      <c r="D450" s="10"/>
      <c r="E450" s="21"/>
      <c r="F450" s="22"/>
      <c r="G450" s="6"/>
    </row>
    <row r="451" spans="1:7" x14ac:dyDescent="0.35">
      <c r="A451" s="13" t="s">
        <v>243</v>
      </c>
      <c r="B451" s="8"/>
      <c r="C451" s="9"/>
      <c r="D451" s="10"/>
      <c r="E451" s="21"/>
      <c r="F451" s="22"/>
      <c r="G451" s="6"/>
    </row>
    <row r="452" spans="1:7" x14ac:dyDescent="0.35">
      <c r="A452" s="13" t="s">
        <v>244</v>
      </c>
      <c r="B452" s="8"/>
      <c r="C452" s="9"/>
      <c r="D452" s="10"/>
      <c r="E452" s="21"/>
      <c r="F452" s="22"/>
      <c r="G452" s="6"/>
    </row>
    <row r="453" spans="1:7" x14ac:dyDescent="0.35">
      <c r="A453" s="13" t="s">
        <v>245</v>
      </c>
      <c r="B453" s="8"/>
      <c r="C453" s="9"/>
      <c r="D453" s="10"/>
      <c r="E453" s="21"/>
      <c r="F453" s="22"/>
      <c r="G453" s="6"/>
    </row>
    <row r="454" spans="1:7" x14ac:dyDescent="0.35">
      <c r="A454" s="13" t="s">
        <v>246</v>
      </c>
      <c r="B454" s="8"/>
      <c r="C454" s="9"/>
      <c r="D454" s="10"/>
      <c r="E454" s="21"/>
      <c r="F454" s="22"/>
      <c r="G454" s="6"/>
    </row>
    <row r="455" spans="1:7" x14ac:dyDescent="0.35">
      <c r="A455" s="13" t="s">
        <v>247</v>
      </c>
      <c r="B455" s="8"/>
      <c r="C455" s="9"/>
      <c r="D455" s="10"/>
      <c r="E455" s="21"/>
      <c r="F455" s="22"/>
      <c r="G455" s="6"/>
    </row>
    <row r="456" spans="1:7" x14ac:dyDescent="0.35">
      <c r="A456" s="13" t="s">
        <v>248</v>
      </c>
      <c r="B456" s="8"/>
      <c r="C456" s="9"/>
      <c r="D456" s="10"/>
      <c r="E456" s="21"/>
      <c r="F456" s="22"/>
      <c r="G456" s="6"/>
    </row>
    <row r="457" spans="1:7" x14ac:dyDescent="0.35">
      <c r="A457" s="13" t="s">
        <v>249</v>
      </c>
      <c r="B457" s="8"/>
      <c r="C457" s="9"/>
      <c r="D457" s="10"/>
      <c r="E457" s="21"/>
      <c r="F457" s="22"/>
      <c r="G457" s="6"/>
    </row>
    <row r="458" spans="1:7" x14ac:dyDescent="0.35">
      <c r="A458" s="13" t="s">
        <v>250</v>
      </c>
      <c r="B458" s="8"/>
      <c r="C458" s="9"/>
      <c r="D458" s="10"/>
      <c r="E458" s="21"/>
      <c r="F458" s="22"/>
      <c r="G458" s="6"/>
    </row>
    <row r="459" spans="1:7" x14ac:dyDescent="0.35">
      <c r="A459" s="13" t="s">
        <v>251</v>
      </c>
      <c r="B459" s="8"/>
      <c r="C459" s="9"/>
      <c r="D459" s="10"/>
      <c r="E459" s="21"/>
      <c r="F459" s="22"/>
      <c r="G459" s="6"/>
    </row>
    <row r="460" spans="1:7" x14ac:dyDescent="0.35">
      <c r="A460" s="13" t="s">
        <v>252</v>
      </c>
      <c r="B460" s="8"/>
      <c r="C460" s="9"/>
      <c r="D460" s="10"/>
      <c r="E460" s="21"/>
      <c r="F460" s="22"/>
      <c r="G460" s="6"/>
    </row>
    <row r="461" spans="1:7" x14ac:dyDescent="0.35">
      <c r="A461" s="13" t="s">
        <v>253</v>
      </c>
      <c r="B461" s="8"/>
      <c r="C461" s="9"/>
      <c r="D461" s="10"/>
      <c r="E461" s="21"/>
      <c r="F461" s="22"/>
      <c r="G461" s="6"/>
    </row>
    <row r="462" spans="1:7" x14ac:dyDescent="0.35">
      <c r="A462" s="13" t="s">
        <v>254</v>
      </c>
      <c r="B462" s="8"/>
      <c r="C462" s="9"/>
      <c r="D462" s="10"/>
      <c r="E462" s="21"/>
      <c r="F462" s="22"/>
      <c r="G462" s="6"/>
    </row>
    <row r="463" spans="1:7" x14ac:dyDescent="0.35">
      <c r="A463" s="13" t="s">
        <v>255</v>
      </c>
      <c r="B463" s="8"/>
      <c r="C463" s="9"/>
      <c r="D463" s="10"/>
      <c r="E463" s="21"/>
      <c r="F463" s="22"/>
      <c r="G463" s="6"/>
    </row>
    <row r="464" spans="1:7" x14ac:dyDescent="0.35">
      <c r="A464" s="13" t="s">
        <v>256</v>
      </c>
      <c r="B464" s="8"/>
      <c r="C464" s="9"/>
      <c r="D464" s="10"/>
      <c r="E464" s="21"/>
      <c r="F464" s="22"/>
      <c r="G464" s="6"/>
    </row>
    <row r="465" spans="1:7" x14ac:dyDescent="0.35">
      <c r="A465" s="13" t="s">
        <v>257</v>
      </c>
      <c r="B465" s="8"/>
      <c r="C465" s="9"/>
      <c r="D465" s="10"/>
      <c r="E465" s="21"/>
      <c r="F465" s="22"/>
      <c r="G465" s="6"/>
    </row>
    <row r="466" spans="1:7" x14ac:dyDescent="0.35">
      <c r="A466" s="13" t="s">
        <v>258</v>
      </c>
      <c r="B466" s="8"/>
      <c r="C466" s="9"/>
      <c r="D466" s="10"/>
      <c r="E466" s="21"/>
      <c r="F466" s="22"/>
      <c r="G466" s="6"/>
    </row>
    <row r="467" spans="1:7" x14ac:dyDescent="0.35">
      <c r="A467" s="13" t="s">
        <v>259</v>
      </c>
      <c r="B467" s="8"/>
      <c r="C467" s="9"/>
      <c r="D467" s="10"/>
      <c r="E467" s="21"/>
      <c r="F467" s="22"/>
      <c r="G467" s="6"/>
    </row>
    <row r="468" spans="1:7" x14ac:dyDescent="0.35">
      <c r="A468" s="13" t="s">
        <v>260</v>
      </c>
      <c r="B468" s="8"/>
      <c r="C468" s="9"/>
      <c r="D468" s="10"/>
      <c r="E468" s="21"/>
      <c r="F468" s="22"/>
      <c r="G468" s="6"/>
    </row>
    <row r="469" spans="1:7" x14ac:dyDescent="0.35">
      <c r="A469" s="13" t="s">
        <v>261</v>
      </c>
      <c r="B469" s="8"/>
      <c r="C469" s="9"/>
      <c r="D469" s="10"/>
      <c r="E469" s="21"/>
      <c r="F469" s="22"/>
      <c r="G469" s="6"/>
    </row>
    <row r="470" spans="1:7" x14ac:dyDescent="0.35">
      <c r="A470" s="13" t="s">
        <v>262</v>
      </c>
      <c r="B470" s="8"/>
      <c r="C470" s="9"/>
      <c r="D470" s="10"/>
      <c r="E470" s="21"/>
      <c r="F470" s="22"/>
      <c r="G470" s="6"/>
    </row>
    <row r="471" spans="1:7" x14ac:dyDescent="0.35">
      <c r="A471" s="13" t="s">
        <v>263</v>
      </c>
      <c r="B471" s="8"/>
      <c r="C471" s="9"/>
      <c r="D471" s="10"/>
      <c r="E471" s="21"/>
      <c r="F471" s="22"/>
      <c r="G471" s="6"/>
    </row>
    <row r="472" spans="1:7" x14ac:dyDescent="0.35">
      <c r="A472" s="13" t="s">
        <v>264</v>
      </c>
      <c r="B472" s="8"/>
      <c r="C472" s="9"/>
      <c r="D472" s="10"/>
      <c r="E472" s="21"/>
      <c r="F472" s="22"/>
      <c r="G472" s="6"/>
    </row>
    <row r="473" spans="1:7" x14ac:dyDescent="0.35">
      <c r="A473" s="13" t="s">
        <v>265</v>
      </c>
      <c r="B473" s="8"/>
      <c r="C473" s="9"/>
      <c r="D473" s="10"/>
      <c r="E473" s="21"/>
      <c r="F473" s="22"/>
      <c r="G473" s="6"/>
    </row>
    <row r="474" spans="1:7" x14ac:dyDescent="0.35">
      <c r="A474" s="13" t="s">
        <v>266</v>
      </c>
      <c r="B474" s="8"/>
      <c r="C474" s="9"/>
      <c r="D474" s="10"/>
      <c r="E474" s="21"/>
      <c r="F474" s="22"/>
      <c r="G474" s="6"/>
    </row>
    <row r="475" spans="1:7" x14ac:dyDescent="0.35">
      <c r="A475" s="13" t="s">
        <v>267</v>
      </c>
      <c r="B475" s="8"/>
      <c r="C475" s="9"/>
      <c r="D475" s="10"/>
      <c r="E475" s="21"/>
      <c r="F475" s="22"/>
      <c r="G475" s="6"/>
    </row>
    <row r="476" spans="1:7" x14ac:dyDescent="0.35">
      <c r="A476" s="13" t="s">
        <v>268</v>
      </c>
      <c r="B476" s="8"/>
      <c r="C476" s="9"/>
      <c r="D476" s="10"/>
      <c r="E476" s="21"/>
      <c r="F476" s="22"/>
      <c r="G476" s="6"/>
    </row>
    <row r="477" spans="1:7" x14ac:dyDescent="0.35">
      <c r="A477" s="13" t="s">
        <v>269</v>
      </c>
      <c r="B477" s="8"/>
      <c r="C477" s="9"/>
      <c r="D477" s="10"/>
      <c r="E477" s="21"/>
      <c r="F477" s="22"/>
      <c r="G477" s="6"/>
    </row>
    <row r="478" spans="1:7" x14ac:dyDescent="0.35">
      <c r="A478" s="13" t="s">
        <v>270</v>
      </c>
      <c r="B478" s="8"/>
      <c r="C478" s="9"/>
      <c r="D478" s="10"/>
      <c r="E478" s="21"/>
      <c r="F478" s="22"/>
      <c r="G478" s="6"/>
    </row>
    <row r="479" spans="1:7" x14ac:dyDescent="0.35">
      <c r="A479" s="13" t="s">
        <v>271</v>
      </c>
      <c r="B479" s="8"/>
      <c r="C479" s="9"/>
      <c r="D479" s="10"/>
      <c r="E479" s="21"/>
      <c r="F479" s="22"/>
      <c r="G479" s="6"/>
    </row>
    <row r="480" spans="1:7" x14ac:dyDescent="0.35">
      <c r="A480" s="2"/>
      <c r="B480" s="2"/>
      <c r="C480" s="2"/>
      <c r="D480" s="2"/>
      <c r="E480" s="2"/>
      <c r="F480" s="2"/>
      <c r="G480" s="2"/>
    </row>
    <row r="481" spans="1:7" x14ac:dyDescent="0.35">
      <c r="A481" s="13" t="s">
        <v>21</v>
      </c>
      <c r="B481" s="15" t="s">
        <v>0</v>
      </c>
      <c r="C481" s="16" t="s">
        <v>1</v>
      </c>
      <c r="D481" s="17" t="s">
        <v>2</v>
      </c>
      <c r="E481" s="24" t="s">
        <v>3</v>
      </c>
      <c r="F481" s="23" t="s">
        <v>4</v>
      </c>
      <c r="G481" s="18" t="s">
        <v>5</v>
      </c>
    </row>
    <row r="482" spans="1:7" x14ac:dyDescent="0.35">
      <c r="A482" s="13" t="s">
        <v>242</v>
      </c>
      <c r="B482" s="8"/>
      <c r="C482" s="9"/>
      <c r="D482" s="10"/>
      <c r="E482" s="21"/>
      <c r="F482" s="22"/>
      <c r="G482" s="6"/>
    </row>
    <row r="483" spans="1:7" x14ac:dyDescent="0.35">
      <c r="A483" s="13" t="s">
        <v>243</v>
      </c>
      <c r="B483" s="8"/>
      <c r="C483" s="9"/>
      <c r="D483" s="10"/>
      <c r="E483" s="21"/>
      <c r="F483" s="22"/>
      <c r="G483" s="6"/>
    </row>
    <row r="484" spans="1:7" x14ac:dyDescent="0.35">
      <c r="A484" s="13" t="s">
        <v>244</v>
      </c>
      <c r="B484" s="8"/>
      <c r="C484" s="9"/>
      <c r="D484" s="10"/>
      <c r="E484" s="21"/>
      <c r="F484" s="22"/>
      <c r="G484" s="6"/>
    </row>
    <row r="485" spans="1:7" x14ac:dyDescent="0.35">
      <c r="A485" s="13" t="s">
        <v>245</v>
      </c>
      <c r="B485" s="8"/>
      <c r="C485" s="9"/>
      <c r="D485" s="10"/>
      <c r="E485" s="21"/>
      <c r="F485" s="22"/>
      <c r="G485" s="6"/>
    </row>
    <row r="486" spans="1:7" x14ac:dyDescent="0.35">
      <c r="A486" s="13" t="s">
        <v>246</v>
      </c>
      <c r="B486" s="8"/>
      <c r="C486" s="9"/>
      <c r="D486" s="10"/>
      <c r="E486" s="21"/>
      <c r="F486" s="22"/>
      <c r="G486" s="6"/>
    </row>
    <row r="487" spans="1:7" x14ac:dyDescent="0.35">
      <c r="A487" s="13" t="s">
        <v>247</v>
      </c>
      <c r="B487" s="8"/>
      <c r="C487" s="9"/>
      <c r="D487" s="10"/>
      <c r="E487" s="21"/>
      <c r="F487" s="22"/>
      <c r="G487" s="6"/>
    </row>
    <row r="488" spans="1:7" x14ac:dyDescent="0.35">
      <c r="A488" s="13" t="s">
        <v>248</v>
      </c>
      <c r="B488" s="8"/>
      <c r="C488" s="9"/>
      <c r="D488" s="10"/>
      <c r="E488" s="21"/>
      <c r="F488" s="22"/>
      <c r="G488" s="6"/>
    </row>
    <row r="489" spans="1:7" x14ac:dyDescent="0.35">
      <c r="A489" s="13" t="s">
        <v>249</v>
      </c>
      <c r="B489" s="8"/>
      <c r="C489" s="9"/>
      <c r="D489" s="10"/>
      <c r="E489" s="21"/>
      <c r="F489" s="22"/>
      <c r="G489" s="6"/>
    </row>
    <row r="490" spans="1:7" x14ac:dyDescent="0.35">
      <c r="A490" s="13" t="s">
        <v>250</v>
      </c>
      <c r="B490" s="8"/>
      <c r="C490" s="9"/>
      <c r="D490" s="10"/>
      <c r="E490" s="21"/>
      <c r="F490" s="22"/>
      <c r="G490" s="6"/>
    </row>
    <row r="491" spans="1:7" x14ac:dyDescent="0.35">
      <c r="A491" s="13" t="s">
        <v>251</v>
      </c>
      <c r="B491" s="8"/>
      <c r="C491" s="9"/>
      <c r="D491" s="10"/>
      <c r="E491" s="21"/>
      <c r="F491" s="22"/>
      <c r="G491" s="6"/>
    </row>
    <row r="492" spans="1:7" x14ac:dyDescent="0.35">
      <c r="A492" s="13" t="s">
        <v>252</v>
      </c>
      <c r="B492" s="8"/>
      <c r="C492" s="9"/>
      <c r="D492" s="10"/>
      <c r="E492" s="21"/>
      <c r="F492" s="22"/>
      <c r="G492" s="6"/>
    </row>
    <row r="493" spans="1:7" x14ac:dyDescent="0.35">
      <c r="A493" s="13" t="s">
        <v>253</v>
      </c>
      <c r="B493" s="8"/>
      <c r="C493" s="9"/>
      <c r="D493" s="10"/>
      <c r="E493" s="21"/>
      <c r="F493" s="22"/>
      <c r="G493" s="6"/>
    </row>
    <row r="494" spans="1:7" x14ac:dyDescent="0.35">
      <c r="A494" s="13" t="s">
        <v>254</v>
      </c>
      <c r="B494" s="8"/>
      <c r="C494" s="9"/>
      <c r="D494" s="10"/>
      <c r="E494" s="21"/>
      <c r="F494" s="22"/>
      <c r="G494" s="6"/>
    </row>
    <row r="495" spans="1:7" x14ac:dyDescent="0.35">
      <c r="A495" s="13" t="s">
        <v>255</v>
      </c>
      <c r="B495" s="8"/>
      <c r="C495" s="9"/>
      <c r="D495" s="10"/>
      <c r="E495" s="21"/>
      <c r="F495" s="22"/>
      <c r="G495" s="6"/>
    </row>
    <row r="496" spans="1:7" x14ac:dyDescent="0.35">
      <c r="A496" s="13" t="s">
        <v>256</v>
      </c>
      <c r="B496" s="8"/>
      <c r="C496" s="9"/>
      <c r="D496" s="10"/>
      <c r="E496" s="21"/>
      <c r="F496" s="22"/>
      <c r="G496" s="6"/>
    </row>
    <row r="497" spans="1:7" x14ac:dyDescent="0.35">
      <c r="A497" s="13" t="s">
        <v>257</v>
      </c>
      <c r="B497" s="8"/>
      <c r="C497" s="9"/>
      <c r="D497" s="10"/>
      <c r="E497" s="21"/>
      <c r="F497" s="22"/>
      <c r="G497" s="6"/>
    </row>
    <row r="498" spans="1:7" x14ac:dyDescent="0.35">
      <c r="A498" s="13" t="s">
        <v>258</v>
      </c>
      <c r="B498" s="8"/>
      <c r="C498" s="9"/>
      <c r="D498" s="10"/>
      <c r="E498" s="21"/>
      <c r="F498" s="22"/>
      <c r="G498" s="6"/>
    </row>
    <row r="499" spans="1:7" x14ac:dyDescent="0.35">
      <c r="A499" s="13" t="s">
        <v>259</v>
      </c>
      <c r="B499" s="8"/>
      <c r="C499" s="9"/>
      <c r="D499" s="10"/>
      <c r="E499" s="21"/>
      <c r="F499" s="22"/>
      <c r="G499" s="6"/>
    </row>
    <row r="500" spans="1:7" x14ac:dyDescent="0.35">
      <c r="A500" s="13" t="s">
        <v>260</v>
      </c>
      <c r="B500" s="8"/>
      <c r="C500" s="9"/>
      <c r="D500" s="10"/>
      <c r="E500" s="21"/>
      <c r="F500" s="22"/>
      <c r="G500" s="6"/>
    </row>
    <row r="501" spans="1:7" x14ac:dyDescent="0.35">
      <c r="A501" s="13" t="s">
        <v>261</v>
      </c>
      <c r="B501" s="8"/>
      <c r="C501" s="9"/>
      <c r="D501" s="10"/>
      <c r="E501" s="21"/>
      <c r="F501" s="22"/>
      <c r="G501" s="6"/>
    </row>
    <row r="502" spans="1:7" x14ac:dyDescent="0.35">
      <c r="A502" s="13" t="s">
        <v>262</v>
      </c>
      <c r="B502" s="8"/>
      <c r="C502" s="9"/>
      <c r="D502" s="10"/>
      <c r="E502" s="21"/>
      <c r="F502" s="22"/>
      <c r="G502" s="6"/>
    </row>
    <row r="503" spans="1:7" x14ac:dyDescent="0.35">
      <c r="A503" s="13" t="s">
        <v>263</v>
      </c>
      <c r="B503" s="8"/>
      <c r="C503" s="9"/>
      <c r="D503" s="10"/>
      <c r="E503" s="21"/>
      <c r="F503" s="22"/>
      <c r="G503" s="6"/>
    </row>
    <row r="504" spans="1:7" x14ac:dyDescent="0.35">
      <c r="A504" s="13" t="s">
        <v>264</v>
      </c>
      <c r="B504" s="8"/>
      <c r="C504" s="9"/>
      <c r="D504" s="10"/>
      <c r="E504" s="21"/>
      <c r="F504" s="22"/>
      <c r="G504" s="6"/>
    </row>
    <row r="505" spans="1:7" x14ac:dyDescent="0.35">
      <c r="A505" s="13" t="s">
        <v>265</v>
      </c>
      <c r="B505" s="8"/>
      <c r="C505" s="9"/>
      <c r="D505" s="10"/>
      <c r="E505" s="21"/>
      <c r="F505" s="22"/>
      <c r="G505" s="6"/>
    </row>
    <row r="506" spans="1:7" x14ac:dyDescent="0.35">
      <c r="A506" s="13" t="s">
        <v>266</v>
      </c>
      <c r="B506" s="8"/>
      <c r="C506" s="9"/>
      <c r="D506" s="10"/>
      <c r="E506" s="21"/>
      <c r="F506" s="22"/>
      <c r="G506" s="6"/>
    </row>
    <row r="507" spans="1:7" x14ac:dyDescent="0.35">
      <c r="A507" s="13" t="s">
        <v>267</v>
      </c>
      <c r="B507" s="8"/>
      <c r="C507" s="9"/>
      <c r="D507" s="10"/>
      <c r="E507" s="21"/>
      <c r="F507" s="22"/>
      <c r="G507" s="6"/>
    </row>
    <row r="508" spans="1:7" x14ac:dyDescent="0.35">
      <c r="A508" s="13" t="s">
        <v>268</v>
      </c>
      <c r="B508" s="8"/>
      <c r="C508" s="9"/>
      <c r="D508" s="10"/>
      <c r="E508" s="21"/>
      <c r="F508" s="22"/>
      <c r="G508" s="6"/>
    </row>
    <row r="509" spans="1:7" x14ac:dyDescent="0.35">
      <c r="A509" s="13" t="s">
        <v>269</v>
      </c>
      <c r="B509" s="8"/>
      <c r="C509" s="9"/>
      <c r="D509" s="10"/>
      <c r="E509" s="21"/>
      <c r="F509" s="22"/>
      <c r="G509" s="6"/>
    </row>
    <row r="510" spans="1:7" x14ac:dyDescent="0.35">
      <c r="A510" s="13" t="s">
        <v>270</v>
      </c>
      <c r="B510" s="8"/>
      <c r="C510" s="9"/>
      <c r="D510" s="10"/>
      <c r="E510" s="21"/>
      <c r="F510" s="22"/>
      <c r="G510" s="6"/>
    </row>
    <row r="511" spans="1:7" x14ac:dyDescent="0.35">
      <c r="A511" s="13" t="s">
        <v>271</v>
      </c>
      <c r="B511" s="8"/>
      <c r="C511" s="9"/>
      <c r="D511" s="10"/>
      <c r="E511" s="21"/>
      <c r="F511" s="22"/>
      <c r="G511" s="6"/>
    </row>
    <row r="512" spans="1:7" x14ac:dyDescent="0.35">
      <c r="A512" s="2"/>
      <c r="B512" s="2"/>
      <c r="C512" s="2"/>
      <c r="D512" s="2"/>
      <c r="E512" s="2"/>
      <c r="F512" s="2"/>
      <c r="G512" s="2"/>
    </row>
    <row r="513" spans="1:7" x14ac:dyDescent="0.35">
      <c r="A513" s="13" t="s">
        <v>22</v>
      </c>
      <c r="B513" s="15" t="s">
        <v>0</v>
      </c>
      <c r="C513" s="16" t="s">
        <v>1</v>
      </c>
      <c r="D513" s="17" t="s">
        <v>2</v>
      </c>
      <c r="E513" s="24" t="s">
        <v>3</v>
      </c>
      <c r="F513" s="23" t="s">
        <v>4</v>
      </c>
      <c r="G513" s="18" t="s">
        <v>5</v>
      </c>
    </row>
    <row r="514" spans="1:7" x14ac:dyDescent="0.35">
      <c r="A514" s="13" t="s">
        <v>242</v>
      </c>
      <c r="B514" s="8"/>
      <c r="C514" s="9"/>
      <c r="D514" s="10"/>
      <c r="E514" s="21"/>
      <c r="F514" s="22"/>
      <c r="G514" s="6"/>
    </row>
    <row r="515" spans="1:7" x14ac:dyDescent="0.35">
      <c r="A515" s="13" t="s">
        <v>243</v>
      </c>
      <c r="B515" s="8"/>
      <c r="C515" s="9"/>
      <c r="D515" s="10"/>
      <c r="E515" s="21"/>
      <c r="F515" s="22"/>
      <c r="G515" s="6"/>
    </row>
    <row r="516" spans="1:7" x14ac:dyDescent="0.35">
      <c r="A516" s="13" t="s">
        <v>244</v>
      </c>
      <c r="B516" s="8"/>
      <c r="C516" s="9"/>
      <c r="D516" s="10"/>
      <c r="E516" s="21"/>
      <c r="F516" s="22"/>
      <c r="G516" s="6"/>
    </row>
    <row r="517" spans="1:7" x14ac:dyDescent="0.35">
      <c r="A517" s="13" t="s">
        <v>245</v>
      </c>
      <c r="B517" s="8"/>
      <c r="C517" s="9"/>
      <c r="D517" s="10"/>
      <c r="E517" s="21"/>
      <c r="F517" s="22"/>
      <c r="G517" s="6"/>
    </row>
    <row r="518" spans="1:7" x14ac:dyDescent="0.35">
      <c r="A518" s="13" t="s">
        <v>246</v>
      </c>
      <c r="B518" s="8"/>
      <c r="C518" s="9"/>
      <c r="D518" s="10"/>
      <c r="E518" s="21"/>
      <c r="F518" s="22"/>
      <c r="G518" s="6"/>
    </row>
    <row r="519" spans="1:7" x14ac:dyDescent="0.35">
      <c r="A519" s="13" t="s">
        <v>247</v>
      </c>
      <c r="B519" s="8"/>
      <c r="C519" s="9"/>
      <c r="D519" s="10"/>
      <c r="E519" s="21"/>
      <c r="F519" s="22"/>
      <c r="G519" s="6"/>
    </row>
    <row r="520" spans="1:7" x14ac:dyDescent="0.35">
      <c r="A520" s="13" t="s">
        <v>248</v>
      </c>
      <c r="B520" s="8"/>
      <c r="C520" s="9"/>
      <c r="D520" s="10"/>
      <c r="E520" s="21"/>
      <c r="F520" s="22"/>
      <c r="G520" s="6"/>
    </row>
    <row r="521" spans="1:7" x14ac:dyDescent="0.35">
      <c r="A521" s="13" t="s">
        <v>249</v>
      </c>
      <c r="B521" s="8"/>
      <c r="C521" s="9"/>
      <c r="D521" s="10"/>
      <c r="E521" s="21"/>
      <c r="F521" s="22"/>
      <c r="G521" s="6"/>
    </row>
    <row r="522" spans="1:7" x14ac:dyDescent="0.35">
      <c r="A522" s="13" t="s">
        <v>250</v>
      </c>
      <c r="B522" s="8"/>
      <c r="C522" s="9"/>
      <c r="D522" s="10"/>
      <c r="E522" s="21"/>
      <c r="F522" s="22"/>
      <c r="G522" s="6"/>
    </row>
    <row r="523" spans="1:7" x14ac:dyDescent="0.35">
      <c r="A523" s="13" t="s">
        <v>251</v>
      </c>
      <c r="B523" s="8"/>
      <c r="C523" s="9"/>
      <c r="D523" s="10"/>
      <c r="E523" s="21"/>
      <c r="F523" s="22"/>
      <c r="G523" s="6"/>
    </row>
    <row r="524" spans="1:7" x14ac:dyDescent="0.35">
      <c r="A524" s="13" t="s">
        <v>252</v>
      </c>
      <c r="B524" s="8"/>
      <c r="C524" s="9"/>
      <c r="D524" s="10"/>
      <c r="E524" s="21"/>
      <c r="F524" s="22"/>
      <c r="G524" s="6"/>
    </row>
    <row r="525" spans="1:7" x14ac:dyDescent="0.35">
      <c r="A525" s="13" t="s">
        <v>253</v>
      </c>
      <c r="B525" s="8"/>
      <c r="C525" s="9"/>
      <c r="D525" s="10"/>
      <c r="E525" s="21"/>
      <c r="F525" s="22"/>
      <c r="G525" s="6"/>
    </row>
    <row r="526" spans="1:7" x14ac:dyDescent="0.35">
      <c r="A526" s="13" t="s">
        <v>254</v>
      </c>
      <c r="B526" s="8"/>
      <c r="C526" s="9"/>
      <c r="D526" s="10"/>
      <c r="E526" s="21"/>
      <c r="F526" s="22"/>
      <c r="G526" s="6"/>
    </row>
    <row r="527" spans="1:7" x14ac:dyDescent="0.35">
      <c r="A527" s="13" t="s">
        <v>255</v>
      </c>
      <c r="B527" s="8"/>
      <c r="C527" s="9"/>
      <c r="D527" s="10"/>
      <c r="E527" s="21"/>
      <c r="F527" s="22"/>
      <c r="G527" s="6"/>
    </row>
    <row r="528" spans="1:7" x14ac:dyDescent="0.35">
      <c r="A528" s="13" t="s">
        <v>256</v>
      </c>
      <c r="B528" s="8"/>
      <c r="C528" s="9"/>
      <c r="D528" s="10"/>
      <c r="E528" s="21"/>
      <c r="F528" s="22"/>
      <c r="G528" s="6"/>
    </row>
    <row r="529" spans="1:7" x14ac:dyDescent="0.35">
      <c r="A529" s="13" t="s">
        <v>257</v>
      </c>
      <c r="B529" s="8"/>
      <c r="C529" s="9"/>
      <c r="D529" s="10"/>
      <c r="E529" s="21"/>
      <c r="F529" s="22"/>
      <c r="G529" s="6"/>
    </row>
    <row r="530" spans="1:7" x14ac:dyDescent="0.35">
      <c r="A530" s="13" t="s">
        <v>258</v>
      </c>
      <c r="B530" s="8"/>
      <c r="C530" s="9"/>
      <c r="D530" s="10"/>
      <c r="E530" s="21"/>
      <c r="F530" s="22"/>
      <c r="G530" s="6"/>
    </row>
    <row r="531" spans="1:7" x14ac:dyDescent="0.35">
      <c r="A531" s="13" t="s">
        <v>259</v>
      </c>
      <c r="B531" s="8"/>
      <c r="C531" s="9"/>
      <c r="D531" s="10"/>
      <c r="E531" s="21"/>
      <c r="F531" s="22"/>
      <c r="G531" s="6"/>
    </row>
    <row r="532" spans="1:7" x14ac:dyDescent="0.35">
      <c r="A532" s="13" t="s">
        <v>260</v>
      </c>
      <c r="B532" s="8"/>
      <c r="C532" s="9"/>
      <c r="D532" s="10"/>
      <c r="E532" s="21"/>
      <c r="F532" s="22"/>
      <c r="G532" s="6"/>
    </row>
    <row r="533" spans="1:7" x14ac:dyDescent="0.35">
      <c r="A533" s="13" t="s">
        <v>261</v>
      </c>
      <c r="B533" s="8"/>
      <c r="C533" s="9"/>
      <c r="D533" s="10"/>
      <c r="E533" s="21"/>
      <c r="F533" s="22"/>
      <c r="G533" s="6"/>
    </row>
    <row r="534" spans="1:7" x14ac:dyDescent="0.35">
      <c r="A534" s="13" t="s">
        <v>262</v>
      </c>
      <c r="B534" s="8"/>
      <c r="C534" s="9"/>
      <c r="D534" s="10"/>
      <c r="E534" s="21"/>
      <c r="F534" s="22"/>
      <c r="G534" s="6"/>
    </row>
    <row r="535" spans="1:7" x14ac:dyDescent="0.35">
      <c r="A535" s="13" t="s">
        <v>263</v>
      </c>
      <c r="B535" s="8"/>
      <c r="C535" s="9"/>
      <c r="D535" s="10"/>
      <c r="E535" s="21"/>
      <c r="F535" s="22"/>
      <c r="G535" s="6"/>
    </row>
    <row r="536" spans="1:7" x14ac:dyDescent="0.35">
      <c r="A536" s="13" t="s">
        <v>264</v>
      </c>
      <c r="B536" s="8"/>
      <c r="C536" s="9"/>
      <c r="D536" s="10"/>
      <c r="E536" s="21"/>
      <c r="F536" s="22"/>
      <c r="G536" s="6"/>
    </row>
    <row r="537" spans="1:7" x14ac:dyDescent="0.35">
      <c r="A537" s="13" t="s">
        <v>265</v>
      </c>
      <c r="B537" s="8"/>
      <c r="C537" s="9"/>
      <c r="D537" s="10"/>
      <c r="E537" s="21"/>
      <c r="F537" s="22"/>
      <c r="G537" s="6"/>
    </row>
    <row r="538" spans="1:7" x14ac:dyDescent="0.35">
      <c r="A538" s="13" t="s">
        <v>266</v>
      </c>
      <c r="B538" s="8"/>
      <c r="C538" s="9"/>
      <c r="D538" s="10"/>
      <c r="E538" s="21"/>
      <c r="F538" s="22"/>
      <c r="G538" s="6"/>
    </row>
    <row r="539" spans="1:7" x14ac:dyDescent="0.35">
      <c r="A539" s="13" t="s">
        <v>267</v>
      </c>
      <c r="B539" s="8"/>
      <c r="C539" s="9"/>
      <c r="D539" s="10"/>
      <c r="E539" s="21"/>
      <c r="F539" s="22"/>
      <c r="G539" s="6"/>
    </row>
    <row r="540" spans="1:7" x14ac:dyDescent="0.35">
      <c r="A540" s="13" t="s">
        <v>268</v>
      </c>
      <c r="B540" s="8"/>
      <c r="C540" s="9"/>
      <c r="D540" s="10"/>
      <c r="E540" s="21"/>
      <c r="F540" s="22"/>
      <c r="G540" s="6"/>
    </row>
    <row r="541" spans="1:7" x14ac:dyDescent="0.35">
      <c r="A541" s="13" t="s">
        <v>269</v>
      </c>
      <c r="B541" s="8"/>
      <c r="C541" s="9"/>
      <c r="D541" s="10"/>
      <c r="E541" s="21"/>
      <c r="F541" s="22"/>
      <c r="G541" s="6"/>
    </row>
    <row r="542" spans="1:7" x14ac:dyDescent="0.35">
      <c r="A542" s="13" t="s">
        <v>270</v>
      </c>
      <c r="B542" s="8"/>
      <c r="C542" s="9"/>
      <c r="D542" s="10"/>
      <c r="E542" s="21"/>
      <c r="F542" s="22"/>
      <c r="G542" s="6"/>
    </row>
    <row r="543" spans="1:7" x14ac:dyDescent="0.35">
      <c r="A543" s="13" t="s">
        <v>271</v>
      </c>
      <c r="B543" s="8"/>
      <c r="C543" s="9"/>
      <c r="D543" s="10"/>
      <c r="E543" s="21"/>
      <c r="F543" s="22"/>
      <c r="G543" s="6"/>
    </row>
    <row r="544" spans="1:7" x14ac:dyDescent="0.35">
      <c r="A544" s="2"/>
      <c r="B544" s="2"/>
      <c r="C544" s="2"/>
      <c r="D544" s="2"/>
      <c r="E544" s="2"/>
      <c r="F544" s="2"/>
      <c r="G544" s="2"/>
    </row>
    <row r="545" spans="1:7" x14ac:dyDescent="0.35">
      <c r="A545" s="13" t="s">
        <v>23</v>
      </c>
      <c r="B545" s="15" t="s">
        <v>0</v>
      </c>
      <c r="C545" s="16" t="s">
        <v>1</v>
      </c>
      <c r="D545" s="17" t="s">
        <v>2</v>
      </c>
      <c r="E545" s="24" t="s">
        <v>3</v>
      </c>
      <c r="F545" s="23" t="s">
        <v>4</v>
      </c>
      <c r="G545" s="18" t="s">
        <v>5</v>
      </c>
    </row>
    <row r="546" spans="1:7" x14ac:dyDescent="0.35">
      <c r="A546" s="13" t="s">
        <v>242</v>
      </c>
      <c r="B546" s="8"/>
      <c r="C546" s="9"/>
      <c r="D546" s="10"/>
      <c r="E546" s="21"/>
      <c r="F546" s="22"/>
      <c r="G546" s="6"/>
    </row>
    <row r="547" spans="1:7" x14ac:dyDescent="0.35">
      <c r="A547" s="13" t="s">
        <v>243</v>
      </c>
      <c r="B547" s="8"/>
      <c r="C547" s="9"/>
      <c r="D547" s="10"/>
      <c r="E547" s="21"/>
      <c r="F547" s="22"/>
      <c r="G547" s="6"/>
    </row>
    <row r="548" spans="1:7" x14ac:dyDescent="0.35">
      <c r="A548" s="13" t="s">
        <v>244</v>
      </c>
      <c r="B548" s="8"/>
      <c r="C548" s="9"/>
      <c r="D548" s="10"/>
      <c r="E548" s="21"/>
      <c r="F548" s="22"/>
      <c r="G548" s="6"/>
    </row>
    <row r="549" spans="1:7" x14ac:dyDescent="0.35">
      <c r="A549" s="13" t="s">
        <v>245</v>
      </c>
      <c r="B549" s="8"/>
      <c r="C549" s="9"/>
      <c r="D549" s="10"/>
      <c r="E549" s="21"/>
      <c r="F549" s="22"/>
      <c r="G549" s="6"/>
    </row>
    <row r="550" spans="1:7" x14ac:dyDescent="0.35">
      <c r="A550" s="13" t="s">
        <v>246</v>
      </c>
      <c r="B550" s="8"/>
      <c r="C550" s="9"/>
      <c r="D550" s="10"/>
      <c r="E550" s="21"/>
      <c r="F550" s="22"/>
      <c r="G550" s="6"/>
    </row>
    <row r="551" spans="1:7" x14ac:dyDescent="0.35">
      <c r="A551" s="13" t="s">
        <v>247</v>
      </c>
      <c r="B551" s="8"/>
      <c r="C551" s="9"/>
      <c r="D551" s="10"/>
      <c r="E551" s="21"/>
      <c r="F551" s="22"/>
      <c r="G551" s="6"/>
    </row>
    <row r="552" spans="1:7" x14ac:dyDescent="0.35">
      <c r="A552" s="13" t="s">
        <v>248</v>
      </c>
      <c r="B552" s="8"/>
      <c r="C552" s="9"/>
      <c r="D552" s="10"/>
      <c r="E552" s="21"/>
      <c r="F552" s="22"/>
      <c r="G552" s="6"/>
    </row>
    <row r="553" spans="1:7" x14ac:dyDescent="0.35">
      <c r="A553" s="13" t="s">
        <v>249</v>
      </c>
      <c r="B553" s="8"/>
      <c r="C553" s="9"/>
      <c r="D553" s="10"/>
      <c r="E553" s="21"/>
      <c r="F553" s="22"/>
      <c r="G553" s="6"/>
    </row>
    <row r="554" spans="1:7" x14ac:dyDescent="0.35">
      <c r="A554" s="13" t="s">
        <v>250</v>
      </c>
      <c r="B554" s="8"/>
      <c r="C554" s="9"/>
      <c r="D554" s="10"/>
      <c r="E554" s="21"/>
      <c r="F554" s="22"/>
      <c r="G554" s="6"/>
    </row>
    <row r="555" spans="1:7" x14ac:dyDescent="0.35">
      <c r="A555" s="13" t="s">
        <v>251</v>
      </c>
      <c r="B555" s="8"/>
      <c r="C555" s="9"/>
      <c r="D555" s="10"/>
      <c r="E555" s="21"/>
      <c r="F555" s="22"/>
      <c r="G555" s="6"/>
    </row>
    <row r="556" spans="1:7" x14ac:dyDescent="0.35">
      <c r="A556" s="13" t="s">
        <v>252</v>
      </c>
      <c r="B556" s="8"/>
      <c r="C556" s="9"/>
      <c r="D556" s="10"/>
      <c r="E556" s="21"/>
      <c r="F556" s="22"/>
      <c r="G556" s="6"/>
    </row>
    <row r="557" spans="1:7" x14ac:dyDescent="0.35">
      <c r="A557" s="13" t="s">
        <v>253</v>
      </c>
      <c r="B557" s="8"/>
      <c r="C557" s="9"/>
      <c r="D557" s="10"/>
      <c r="E557" s="21"/>
      <c r="F557" s="22"/>
      <c r="G557" s="6"/>
    </row>
    <row r="558" spans="1:7" x14ac:dyDescent="0.35">
      <c r="A558" s="13" t="s">
        <v>254</v>
      </c>
      <c r="B558" s="8"/>
      <c r="C558" s="9"/>
      <c r="D558" s="10"/>
      <c r="E558" s="21"/>
      <c r="F558" s="22"/>
      <c r="G558" s="6"/>
    </row>
    <row r="559" spans="1:7" x14ac:dyDescent="0.35">
      <c r="A559" s="13" t="s">
        <v>255</v>
      </c>
      <c r="B559" s="8"/>
      <c r="C559" s="9"/>
      <c r="D559" s="10"/>
      <c r="E559" s="21"/>
      <c r="F559" s="22"/>
      <c r="G559" s="6"/>
    </row>
    <row r="560" spans="1:7" x14ac:dyDescent="0.35">
      <c r="A560" s="13" t="s">
        <v>256</v>
      </c>
      <c r="B560" s="8"/>
      <c r="C560" s="9"/>
      <c r="D560" s="10"/>
      <c r="E560" s="21"/>
      <c r="F560" s="22"/>
      <c r="G560" s="6"/>
    </row>
    <row r="561" spans="1:7" x14ac:dyDescent="0.35">
      <c r="A561" s="13" t="s">
        <v>257</v>
      </c>
      <c r="B561" s="8"/>
      <c r="C561" s="9"/>
      <c r="D561" s="10"/>
      <c r="E561" s="21"/>
      <c r="F561" s="22"/>
      <c r="G561" s="6"/>
    </row>
    <row r="562" spans="1:7" x14ac:dyDescent="0.35">
      <c r="A562" s="13" t="s">
        <v>258</v>
      </c>
      <c r="B562" s="8"/>
      <c r="C562" s="9"/>
      <c r="D562" s="10"/>
      <c r="E562" s="21"/>
      <c r="F562" s="22"/>
      <c r="G562" s="6"/>
    </row>
    <row r="563" spans="1:7" x14ac:dyDescent="0.35">
      <c r="A563" s="13" t="s">
        <v>259</v>
      </c>
      <c r="B563" s="8"/>
      <c r="C563" s="9"/>
      <c r="D563" s="10"/>
      <c r="E563" s="21"/>
      <c r="F563" s="22"/>
      <c r="G563" s="6"/>
    </row>
    <row r="564" spans="1:7" x14ac:dyDescent="0.35">
      <c r="A564" s="13" t="s">
        <v>260</v>
      </c>
      <c r="B564" s="8"/>
      <c r="C564" s="9"/>
      <c r="D564" s="10"/>
      <c r="E564" s="21"/>
      <c r="F564" s="22"/>
      <c r="G564" s="6"/>
    </row>
    <row r="565" spans="1:7" x14ac:dyDescent="0.35">
      <c r="A565" s="13" t="s">
        <v>261</v>
      </c>
      <c r="B565" s="8"/>
      <c r="C565" s="9"/>
      <c r="D565" s="10"/>
      <c r="E565" s="21"/>
      <c r="F565" s="22"/>
      <c r="G565" s="6"/>
    </row>
    <row r="566" spans="1:7" x14ac:dyDescent="0.35">
      <c r="A566" s="13" t="s">
        <v>262</v>
      </c>
      <c r="B566" s="8"/>
      <c r="C566" s="9"/>
      <c r="D566" s="10"/>
      <c r="E566" s="21"/>
      <c r="F566" s="22"/>
      <c r="G566" s="6"/>
    </row>
    <row r="567" spans="1:7" x14ac:dyDescent="0.35">
      <c r="A567" s="13" t="s">
        <v>263</v>
      </c>
      <c r="B567" s="8"/>
      <c r="C567" s="9"/>
      <c r="D567" s="10"/>
      <c r="E567" s="21"/>
      <c r="F567" s="22"/>
      <c r="G567" s="6"/>
    </row>
    <row r="568" spans="1:7" x14ac:dyDescent="0.35">
      <c r="A568" s="13" t="s">
        <v>264</v>
      </c>
      <c r="B568" s="8"/>
      <c r="C568" s="9"/>
      <c r="D568" s="10"/>
      <c r="E568" s="21"/>
      <c r="F568" s="22"/>
      <c r="G568" s="6"/>
    </row>
    <row r="569" spans="1:7" x14ac:dyDescent="0.35">
      <c r="A569" s="13" t="s">
        <v>265</v>
      </c>
      <c r="B569" s="8"/>
      <c r="C569" s="9"/>
      <c r="D569" s="10"/>
      <c r="E569" s="21"/>
      <c r="F569" s="22"/>
      <c r="G569" s="6"/>
    </row>
    <row r="570" spans="1:7" x14ac:dyDescent="0.35">
      <c r="A570" s="13" t="s">
        <v>266</v>
      </c>
      <c r="B570" s="8"/>
      <c r="C570" s="9"/>
      <c r="D570" s="10"/>
      <c r="E570" s="21"/>
      <c r="F570" s="22"/>
      <c r="G570" s="6"/>
    </row>
    <row r="571" spans="1:7" x14ac:dyDescent="0.35">
      <c r="A571" s="13" t="s">
        <v>267</v>
      </c>
      <c r="B571" s="8"/>
      <c r="C571" s="9"/>
      <c r="D571" s="10"/>
      <c r="E571" s="21"/>
      <c r="F571" s="22"/>
      <c r="G571" s="6"/>
    </row>
    <row r="572" spans="1:7" x14ac:dyDescent="0.35">
      <c r="A572" s="13" t="s">
        <v>268</v>
      </c>
      <c r="B572" s="8"/>
      <c r="C572" s="9"/>
      <c r="D572" s="10"/>
      <c r="E572" s="21"/>
      <c r="F572" s="22"/>
      <c r="G572" s="6"/>
    </row>
    <row r="573" spans="1:7" x14ac:dyDescent="0.35">
      <c r="A573" s="13" t="s">
        <v>269</v>
      </c>
      <c r="B573" s="8"/>
      <c r="C573" s="9"/>
      <c r="D573" s="10"/>
      <c r="E573" s="21"/>
      <c r="F573" s="22"/>
      <c r="G573" s="6"/>
    </row>
    <row r="574" spans="1:7" x14ac:dyDescent="0.35">
      <c r="A574" s="13" t="s">
        <v>270</v>
      </c>
      <c r="B574" s="8"/>
      <c r="C574" s="9"/>
      <c r="D574" s="10"/>
      <c r="E574" s="21"/>
      <c r="F574" s="22"/>
      <c r="G574" s="6"/>
    </row>
    <row r="575" spans="1:7" x14ac:dyDescent="0.35">
      <c r="A575" s="13" t="s">
        <v>271</v>
      </c>
      <c r="B575" s="8"/>
      <c r="C575" s="9"/>
      <c r="D575" s="10"/>
      <c r="E575" s="21"/>
      <c r="F575" s="22"/>
      <c r="G575" s="6"/>
    </row>
    <row r="576" spans="1:7" x14ac:dyDescent="0.35">
      <c r="A576" s="2"/>
      <c r="B576" s="2"/>
      <c r="C576" s="2"/>
      <c r="D576" s="2"/>
      <c r="E576" s="2"/>
      <c r="F576" s="2"/>
      <c r="G576" s="2"/>
    </row>
    <row r="577" spans="1:7" x14ac:dyDescent="0.35">
      <c r="A577" s="13" t="s">
        <v>24</v>
      </c>
      <c r="B577" s="15" t="s">
        <v>0</v>
      </c>
      <c r="C577" s="16" t="s">
        <v>1</v>
      </c>
      <c r="D577" s="17" t="s">
        <v>2</v>
      </c>
      <c r="E577" s="24" t="s">
        <v>3</v>
      </c>
      <c r="F577" s="23" t="s">
        <v>4</v>
      </c>
      <c r="G577" s="18" t="s">
        <v>5</v>
      </c>
    </row>
    <row r="578" spans="1:7" x14ac:dyDescent="0.35">
      <c r="A578" s="13" t="s">
        <v>242</v>
      </c>
      <c r="B578" s="8"/>
      <c r="C578" s="9"/>
      <c r="D578" s="10"/>
      <c r="E578" s="21"/>
      <c r="F578" s="22"/>
      <c r="G578" s="6"/>
    </row>
    <row r="579" spans="1:7" x14ac:dyDescent="0.35">
      <c r="A579" s="13" t="s">
        <v>243</v>
      </c>
      <c r="B579" s="8"/>
      <c r="C579" s="9"/>
      <c r="D579" s="10"/>
      <c r="E579" s="21"/>
      <c r="F579" s="22"/>
      <c r="G579" s="6"/>
    </row>
    <row r="580" spans="1:7" x14ac:dyDescent="0.35">
      <c r="A580" s="13" t="s">
        <v>244</v>
      </c>
      <c r="B580" s="8"/>
      <c r="C580" s="9"/>
      <c r="D580" s="10"/>
      <c r="E580" s="21"/>
      <c r="F580" s="22"/>
      <c r="G580" s="6"/>
    </row>
    <row r="581" spans="1:7" x14ac:dyDescent="0.35">
      <c r="A581" s="13" t="s">
        <v>245</v>
      </c>
      <c r="B581" s="8"/>
      <c r="C581" s="9"/>
      <c r="D581" s="10"/>
      <c r="E581" s="21"/>
      <c r="F581" s="22"/>
      <c r="G581" s="6"/>
    </row>
    <row r="582" spans="1:7" x14ac:dyDescent="0.35">
      <c r="A582" s="13" t="s">
        <v>246</v>
      </c>
      <c r="B582" s="8"/>
      <c r="C582" s="9"/>
      <c r="D582" s="10"/>
      <c r="E582" s="21"/>
      <c r="F582" s="22"/>
      <c r="G582" s="6"/>
    </row>
    <row r="583" spans="1:7" x14ac:dyDescent="0.35">
      <c r="A583" s="13" t="s">
        <v>247</v>
      </c>
      <c r="B583" s="8"/>
      <c r="C583" s="9"/>
      <c r="D583" s="10"/>
      <c r="E583" s="21"/>
      <c r="F583" s="22"/>
      <c r="G583" s="6"/>
    </row>
    <row r="584" spans="1:7" x14ac:dyDescent="0.35">
      <c r="A584" s="13" t="s">
        <v>248</v>
      </c>
      <c r="B584" s="8"/>
      <c r="C584" s="9"/>
      <c r="D584" s="10"/>
      <c r="E584" s="21"/>
      <c r="F584" s="22"/>
      <c r="G584" s="6"/>
    </row>
    <row r="585" spans="1:7" x14ac:dyDescent="0.35">
      <c r="A585" s="13" t="s">
        <v>249</v>
      </c>
      <c r="B585" s="8"/>
      <c r="C585" s="9"/>
      <c r="D585" s="10"/>
      <c r="E585" s="21"/>
      <c r="F585" s="22"/>
      <c r="G585" s="6"/>
    </row>
    <row r="586" spans="1:7" x14ac:dyDescent="0.35">
      <c r="A586" s="13" t="s">
        <v>250</v>
      </c>
      <c r="B586" s="8"/>
      <c r="C586" s="9"/>
      <c r="D586" s="10"/>
      <c r="E586" s="21"/>
      <c r="F586" s="22"/>
      <c r="G586" s="6"/>
    </row>
    <row r="587" spans="1:7" x14ac:dyDescent="0.35">
      <c r="A587" s="13" t="s">
        <v>251</v>
      </c>
      <c r="B587" s="8"/>
      <c r="C587" s="9"/>
      <c r="D587" s="10"/>
      <c r="E587" s="21"/>
      <c r="F587" s="22"/>
      <c r="G587" s="6"/>
    </row>
    <row r="588" spans="1:7" x14ac:dyDescent="0.35">
      <c r="A588" s="13" t="s">
        <v>252</v>
      </c>
      <c r="B588" s="8"/>
      <c r="C588" s="9"/>
      <c r="D588" s="10"/>
      <c r="E588" s="21"/>
      <c r="F588" s="22"/>
      <c r="G588" s="6"/>
    </row>
    <row r="589" spans="1:7" x14ac:dyDescent="0.35">
      <c r="A589" s="13" t="s">
        <v>253</v>
      </c>
      <c r="B589" s="8"/>
      <c r="C589" s="9"/>
      <c r="D589" s="10"/>
      <c r="E589" s="21"/>
      <c r="F589" s="22"/>
      <c r="G589" s="6"/>
    </row>
    <row r="590" spans="1:7" x14ac:dyDescent="0.35">
      <c r="A590" s="13" t="s">
        <v>254</v>
      </c>
      <c r="B590" s="8"/>
      <c r="C590" s="9"/>
      <c r="D590" s="10"/>
      <c r="E590" s="21"/>
      <c r="F590" s="22"/>
      <c r="G590" s="6"/>
    </row>
    <row r="591" spans="1:7" x14ac:dyDescent="0.35">
      <c r="A591" s="13" t="s">
        <v>255</v>
      </c>
      <c r="B591" s="8"/>
      <c r="C591" s="9"/>
      <c r="D591" s="10"/>
      <c r="E591" s="21"/>
      <c r="F591" s="22"/>
      <c r="G591" s="6"/>
    </row>
    <row r="592" spans="1:7" x14ac:dyDescent="0.35">
      <c r="A592" s="13" t="s">
        <v>256</v>
      </c>
      <c r="B592" s="8"/>
      <c r="C592" s="9"/>
      <c r="D592" s="10"/>
      <c r="E592" s="21"/>
      <c r="F592" s="22"/>
      <c r="G592" s="6"/>
    </row>
    <row r="593" spans="1:7" x14ac:dyDescent="0.35">
      <c r="A593" s="13" t="s">
        <v>257</v>
      </c>
      <c r="B593" s="8"/>
      <c r="C593" s="9"/>
      <c r="D593" s="10"/>
      <c r="E593" s="21"/>
      <c r="F593" s="22"/>
      <c r="G593" s="6"/>
    </row>
    <row r="594" spans="1:7" x14ac:dyDescent="0.35">
      <c r="A594" s="13" t="s">
        <v>258</v>
      </c>
      <c r="B594" s="8"/>
      <c r="C594" s="9"/>
      <c r="D594" s="10"/>
      <c r="E594" s="21"/>
      <c r="F594" s="22"/>
      <c r="G594" s="6"/>
    </row>
    <row r="595" spans="1:7" x14ac:dyDescent="0.35">
      <c r="A595" s="13" t="s">
        <v>259</v>
      </c>
      <c r="B595" s="8"/>
      <c r="C595" s="9"/>
      <c r="D595" s="10"/>
      <c r="E595" s="21"/>
      <c r="F595" s="22"/>
      <c r="G595" s="6"/>
    </row>
    <row r="596" spans="1:7" x14ac:dyDescent="0.35">
      <c r="A596" s="13" t="s">
        <v>260</v>
      </c>
      <c r="B596" s="8"/>
      <c r="C596" s="9"/>
      <c r="D596" s="10"/>
      <c r="E596" s="21"/>
      <c r="F596" s="22"/>
      <c r="G596" s="6"/>
    </row>
    <row r="597" spans="1:7" x14ac:dyDescent="0.35">
      <c r="A597" s="13" t="s">
        <v>261</v>
      </c>
      <c r="B597" s="8"/>
      <c r="C597" s="9"/>
      <c r="D597" s="10"/>
      <c r="E597" s="21"/>
      <c r="F597" s="22"/>
      <c r="G597" s="6"/>
    </row>
    <row r="598" spans="1:7" x14ac:dyDescent="0.35">
      <c r="A598" s="13" t="s">
        <v>262</v>
      </c>
      <c r="B598" s="8"/>
      <c r="C598" s="9"/>
      <c r="D598" s="10"/>
      <c r="E598" s="21"/>
      <c r="F598" s="22"/>
      <c r="G598" s="6"/>
    </row>
    <row r="599" spans="1:7" x14ac:dyDescent="0.35">
      <c r="A599" s="13" t="s">
        <v>263</v>
      </c>
      <c r="B599" s="8"/>
      <c r="C599" s="9"/>
      <c r="D599" s="10"/>
      <c r="E599" s="21"/>
      <c r="F599" s="22"/>
      <c r="G599" s="6"/>
    </row>
    <row r="600" spans="1:7" x14ac:dyDescent="0.35">
      <c r="A600" s="13" t="s">
        <v>264</v>
      </c>
      <c r="B600" s="8"/>
      <c r="C600" s="9"/>
      <c r="D600" s="10"/>
      <c r="E600" s="21"/>
      <c r="F600" s="22"/>
      <c r="G600" s="6"/>
    </row>
    <row r="601" spans="1:7" x14ac:dyDescent="0.35">
      <c r="A601" s="13" t="s">
        <v>265</v>
      </c>
      <c r="B601" s="8"/>
      <c r="C601" s="9"/>
      <c r="D601" s="10"/>
      <c r="E601" s="21"/>
      <c r="F601" s="22"/>
      <c r="G601" s="6"/>
    </row>
    <row r="602" spans="1:7" x14ac:dyDescent="0.35">
      <c r="A602" s="13" t="s">
        <v>266</v>
      </c>
      <c r="B602" s="8"/>
      <c r="C602" s="9"/>
      <c r="D602" s="10"/>
      <c r="E602" s="21"/>
      <c r="F602" s="22"/>
      <c r="G602" s="6"/>
    </row>
    <row r="603" spans="1:7" x14ac:dyDescent="0.35">
      <c r="A603" s="13" t="s">
        <v>267</v>
      </c>
      <c r="B603" s="8"/>
      <c r="C603" s="9"/>
      <c r="D603" s="10"/>
      <c r="E603" s="21"/>
      <c r="F603" s="22"/>
      <c r="G603" s="6"/>
    </row>
    <row r="604" spans="1:7" x14ac:dyDescent="0.35">
      <c r="A604" s="13" t="s">
        <v>268</v>
      </c>
      <c r="B604" s="8"/>
      <c r="C604" s="9"/>
      <c r="D604" s="10"/>
      <c r="E604" s="21"/>
      <c r="F604" s="22"/>
      <c r="G604" s="6"/>
    </row>
    <row r="605" spans="1:7" x14ac:dyDescent="0.35">
      <c r="A605" s="13" t="s">
        <v>269</v>
      </c>
      <c r="B605" s="8"/>
      <c r="C605" s="9"/>
      <c r="D605" s="10"/>
      <c r="E605" s="21"/>
      <c r="F605" s="22"/>
      <c r="G605" s="6"/>
    </row>
    <row r="606" spans="1:7" x14ac:dyDescent="0.35">
      <c r="A606" s="13" t="s">
        <v>270</v>
      </c>
      <c r="B606" s="8"/>
      <c r="C606" s="9"/>
      <c r="D606" s="10"/>
      <c r="E606" s="21"/>
      <c r="F606" s="22"/>
      <c r="G606" s="6"/>
    </row>
    <row r="607" spans="1:7" x14ac:dyDescent="0.35">
      <c r="A607" s="13" t="s">
        <v>271</v>
      </c>
      <c r="B607" s="8"/>
      <c r="C607" s="9"/>
      <c r="D607" s="10"/>
      <c r="E607" s="21"/>
      <c r="F607" s="22"/>
      <c r="G607" s="6"/>
    </row>
    <row r="608" spans="1:7" x14ac:dyDescent="0.35">
      <c r="A608" s="2"/>
      <c r="B608" s="2"/>
      <c r="C608" s="2"/>
      <c r="D608" s="2"/>
      <c r="E608" s="2"/>
      <c r="F608" s="2"/>
      <c r="G608" s="2"/>
    </row>
    <row r="609" spans="1:7" x14ac:dyDescent="0.35">
      <c r="A609" s="13" t="s">
        <v>25</v>
      </c>
      <c r="B609" s="15" t="s">
        <v>0</v>
      </c>
      <c r="C609" s="16" t="s">
        <v>1</v>
      </c>
      <c r="D609" s="17" t="s">
        <v>2</v>
      </c>
      <c r="E609" s="24" t="s">
        <v>3</v>
      </c>
      <c r="F609" s="23" t="s">
        <v>4</v>
      </c>
      <c r="G609" s="18" t="s">
        <v>5</v>
      </c>
    </row>
    <row r="610" spans="1:7" x14ac:dyDescent="0.35">
      <c r="A610" s="13" t="s">
        <v>242</v>
      </c>
      <c r="B610" s="8"/>
      <c r="C610" s="9"/>
      <c r="D610" s="10"/>
      <c r="E610" s="21"/>
      <c r="F610" s="22"/>
      <c r="G610" s="6"/>
    </row>
    <row r="611" spans="1:7" x14ac:dyDescent="0.35">
      <c r="A611" s="13" t="s">
        <v>243</v>
      </c>
      <c r="B611" s="8"/>
      <c r="C611" s="9"/>
      <c r="D611" s="10"/>
      <c r="E611" s="21"/>
      <c r="F611" s="22"/>
      <c r="G611" s="6"/>
    </row>
    <row r="612" spans="1:7" x14ac:dyDescent="0.35">
      <c r="A612" s="13" t="s">
        <v>244</v>
      </c>
      <c r="B612" s="8"/>
      <c r="C612" s="9"/>
      <c r="D612" s="10"/>
      <c r="E612" s="21"/>
      <c r="F612" s="22"/>
      <c r="G612" s="6"/>
    </row>
    <row r="613" spans="1:7" x14ac:dyDescent="0.35">
      <c r="A613" s="13" t="s">
        <v>245</v>
      </c>
      <c r="B613" s="8"/>
      <c r="C613" s="9"/>
      <c r="D613" s="10"/>
      <c r="E613" s="21"/>
      <c r="F613" s="22"/>
      <c r="G613" s="6"/>
    </row>
    <row r="614" spans="1:7" x14ac:dyDescent="0.35">
      <c r="A614" s="13" t="s">
        <v>246</v>
      </c>
      <c r="B614" s="8"/>
      <c r="C614" s="9"/>
      <c r="D614" s="10"/>
      <c r="E614" s="21"/>
      <c r="F614" s="22"/>
      <c r="G614" s="6"/>
    </row>
    <row r="615" spans="1:7" x14ac:dyDescent="0.35">
      <c r="A615" s="13" t="s">
        <v>247</v>
      </c>
      <c r="B615" s="8"/>
      <c r="C615" s="9"/>
      <c r="D615" s="10"/>
      <c r="E615" s="21"/>
      <c r="F615" s="22"/>
      <c r="G615" s="6"/>
    </row>
    <row r="616" spans="1:7" x14ac:dyDescent="0.35">
      <c r="A616" s="13" t="s">
        <v>248</v>
      </c>
      <c r="B616" s="8"/>
      <c r="C616" s="9"/>
      <c r="D616" s="10"/>
      <c r="E616" s="21"/>
      <c r="F616" s="22"/>
      <c r="G616" s="6"/>
    </row>
    <row r="617" spans="1:7" x14ac:dyDescent="0.35">
      <c r="A617" s="13" t="s">
        <v>249</v>
      </c>
      <c r="B617" s="8"/>
      <c r="C617" s="9"/>
      <c r="D617" s="10"/>
      <c r="E617" s="21"/>
      <c r="F617" s="22"/>
      <c r="G617" s="6"/>
    </row>
    <row r="618" spans="1:7" x14ac:dyDescent="0.35">
      <c r="A618" s="13" t="s">
        <v>250</v>
      </c>
      <c r="B618" s="8"/>
      <c r="C618" s="9"/>
      <c r="D618" s="10"/>
      <c r="E618" s="21"/>
      <c r="F618" s="22"/>
      <c r="G618" s="6"/>
    </row>
    <row r="619" spans="1:7" x14ac:dyDescent="0.35">
      <c r="A619" s="13" t="s">
        <v>251</v>
      </c>
      <c r="B619" s="8"/>
      <c r="C619" s="9"/>
      <c r="D619" s="10"/>
      <c r="E619" s="21"/>
      <c r="F619" s="22"/>
      <c r="G619" s="6"/>
    </row>
    <row r="620" spans="1:7" x14ac:dyDescent="0.35">
      <c r="A620" s="13" t="s">
        <v>252</v>
      </c>
      <c r="B620" s="8"/>
      <c r="C620" s="9"/>
      <c r="D620" s="10"/>
      <c r="E620" s="21"/>
      <c r="F620" s="22"/>
      <c r="G620" s="6"/>
    </row>
    <row r="621" spans="1:7" x14ac:dyDescent="0.35">
      <c r="A621" s="13" t="s">
        <v>253</v>
      </c>
      <c r="B621" s="8"/>
      <c r="C621" s="9"/>
      <c r="D621" s="10"/>
      <c r="E621" s="21"/>
      <c r="F621" s="22"/>
      <c r="G621" s="6"/>
    </row>
    <row r="622" spans="1:7" x14ac:dyDescent="0.35">
      <c r="A622" s="13" t="s">
        <v>254</v>
      </c>
      <c r="B622" s="8"/>
      <c r="C622" s="9"/>
      <c r="D622" s="10"/>
      <c r="E622" s="21"/>
      <c r="F622" s="22"/>
      <c r="G622" s="6"/>
    </row>
    <row r="623" spans="1:7" x14ac:dyDescent="0.35">
      <c r="A623" s="13" t="s">
        <v>255</v>
      </c>
      <c r="B623" s="8"/>
      <c r="C623" s="9"/>
      <c r="D623" s="10"/>
      <c r="E623" s="21"/>
      <c r="F623" s="22"/>
      <c r="G623" s="6"/>
    </row>
    <row r="624" spans="1:7" x14ac:dyDescent="0.35">
      <c r="A624" s="13" t="s">
        <v>256</v>
      </c>
      <c r="B624" s="8"/>
      <c r="C624" s="9"/>
      <c r="D624" s="10"/>
      <c r="E624" s="21"/>
      <c r="F624" s="22"/>
      <c r="G624" s="6"/>
    </row>
    <row r="625" spans="1:7" x14ac:dyDescent="0.35">
      <c r="A625" s="13" t="s">
        <v>257</v>
      </c>
      <c r="B625" s="8"/>
      <c r="C625" s="9"/>
      <c r="D625" s="10"/>
      <c r="E625" s="21"/>
      <c r="F625" s="22"/>
      <c r="G625" s="6"/>
    </row>
    <row r="626" spans="1:7" x14ac:dyDescent="0.35">
      <c r="A626" s="13" t="s">
        <v>258</v>
      </c>
      <c r="B626" s="8"/>
      <c r="C626" s="9"/>
      <c r="D626" s="10"/>
      <c r="E626" s="21"/>
      <c r="F626" s="22"/>
      <c r="G626" s="6"/>
    </row>
    <row r="627" spans="1:7" x14ac:dyDescent="0.35">
      <c r="A627" s="13" t="s">
        <v>259</v>
      </c>
      <c r="B627" s="8"/>
      <c r="C627" s="9"/>
      <c r="D627" s="10"/>
      <c r="E627" s="21"/>
      <c r="F627" s="22"/>
      <c r="G627" s="6"/>
    </row>
    <row r="628" spans="1:7" x14ac:dyDescent="0.35">
      <c r="A628" s="13" t="s">
        <v>260</v>
      </c>
      <c r="B628" s="8"/>
      <c r="C628" s="9"/>
      <c r="D628" s="10"/>
      <c r="E628" s="21"/>
      <c r="F628" s="22"/>
      <c r="G628" s="6"/>
    </row>
    <row r="629" spans="1:7" x14ac:dyDescent="0.35">
      <c r="A629" s="13" t="s">
        <v>261</v>
      </c>
      <c r="B629" s="8"/>
      <c r="C629" s="9"/>
      <c r="D629" s="10"/>
      <c r="E629" s="21"/>
      <c r="F629" s="22"/>
      <c r="G629" s="6"/>
    </row>
    <row r="630" spans="1:7" x14ac:dyDescent="0.35">
      <c r="A630" s="13" t="s">
        <v>262</v>
      </c>
      <c r="B630" s="8"/>
      <c r="C630" s="9"/>
      <c r="D630" s="10"/>
      <c r="E630" s="21"/>
      <c r="F630" s="22"/>
      <c r="G630" s="6"/>
    </row>
    <row r="631" spans="1:7" x14ac:dyDescent="0.35">
      <c r="A631" s="13" t="s">
        <v>263</v>
      </c>
      <c r="B631" s="8"/>
      <c r="C631" s="9"/>
      <c r="D631" s="10"/>
      <c r="E631" s="21"/>
      <c r="F631" s="22"/>
      <c r="G631" s="6"/>
    </row>
    <row r="632" spans="1:7" x14ac:dyDescent="0.35">
      <c r="A632" s="13" t="s">
        <v>264</v>
      </c>
      <c r="B632" s="8"/>
      <c r="C632" s="9"/>
      <c r="D632" s="10"/>
      <c r="E632" s="21"/>
      <c r="F632" s="22"/>
      <c r="G632" s="6"/>
    </row>
    <row r="633" spans="1:7" x14ac:dyDescent="0.35">
      <c r="A633" s="13" t="s">
        <v>265</v>
      </c>
      <c r="B633" s="8"/>
      <c r="C633" s="9"/>
      <c r="D633" s="10"/>
      <c r="E633" s="21"/>
      <c r="F633" s="22"/>
      <c r="G633" s="6"/>
    </row>
    <row r="634" spans="1:7" x14ac:dyDescent="0.35">
      <c r="A634" s="13" t="s">
        <v>266</v>
      </c>
      <c r="B634" s="8"/>
      <c r="C634" s="9"/>
      <c r="D634" s="10"/>
      <c r="E634" s="21"/>
      <c r="F634" s="22"/>
      <c r="G634" s="6"/>
    </row>
    <row r="635" spans="1:7" x14ac:dyDescent="0.35">
      <c r="A635" s="13" t="s">
        <v>267</v>
      </c>
      <c r="B635" s="8"/>
      <c r="C635" s="9"/>
      <c r="D635" s="10"/>
      <c r="E635" s="21"/>
      <c r="F635" s="22"/>
      <c r="G635" s="6"/>
    </row>
    <row r="636" spans="1:7" x14ac:dyDescent="0.35">
      <c r="A636" s="13" t="s">
        <v>268</v>
      </c>
      <c r="B636" s="8"/>
      <c r="C636" s="9"/>
      <c r="D636" s="10"/>
      <c r="E636" s="21"/>
      <c r="F636" s="22"/>
      <c r="G636" s="6"/>
    </row>
    <row r="637" spans="1:7" x14ac:dyDescent="0.35">
      <c r="A637" s="13" t="s">
        <v>269</v>
      </c>
      <c r="B637" s="8"/>
      <c r="C637" s="9"/>
      <c r="D637" s="10"/>
      <c r="E637" s="21"/>
      <c r="F637" s="22"/>
      <c r="G637" s="6"/>
    </row>
    <row r="638" spans="1:7" x14ac:dyDescent="0.35">
      <c r="A638" s="13" t="s">
        <v>270</v>
      </c>
      <c r="B638" s="8"/>
      <c r="C638" s="9"/>
      <c r="D638" s="10"/>
      <c r="E638" s="21"/>
      <c r="F638" s="22"/>
      <c r="G638" s="6"/>
    </row>
    <row r="639" spans="1:7" x14ac:dyDescent="0.35">
      <c r="A639" s="13" t="s">
        <v>271</v>
      </c>
      <c r="B639" s="8"/>
      <c r="C639" s="9"/>
      <c r="D639" s="10"/>
      <c r="E639" s="21"/>
      <c r="F639" s="22"/>
      <c r="G639" s="6"/>
    </row>
    <row r="640" spans="1:7" x14ac:dyDescent="0.35">
      <c r="A640" s="2"/>
      <c r="B640" s="2"/>
      <c r="C640" s="2"/>
      <c r="D640" s="2"/>
      <c r="E640" s="2"/>
      <c r="F640" s="2"/>
      <c r="G640" s="2"/>
    </row>
    <row r="641" spans="1:7" x14ac:dyDescent="0.35">
      <c r="A641" s="13" t="s">
        <v>26</v>
      </c>
      <c r="B641" s="15" t="s">
        <v>0</v>
      </c>
      <c r="C641" s="16" t="s">
        <v>1</v>
      </c>
      <c r="D641" s="17" t="s">
        <v>2</v>
      </c>
      <c r="E641" s="24" t="s">
        <v>3</v>
      </c>
      <c r="F641" s="23" t="s">
        <v>4</v>
      </c>
      <c r="G641" s="18" t="s">
        <v>5</v>
      </c>
    </row>
    <row r="642" spans="1:7" x14ac:dyDescent="0.35">
      <c r="A642" s="13" t="s">
        <v>242</v>
      </c>
      <c r="B642" s="8"/>
      <c r="C642" s="9"/>
      <c r="D642" s="10"/>
      <c r="E642" s="21"/>
      <c r="F642" s="22"/>
      <c r="G642" s="6"/>
    </row>
    <row r="643" spans="1:7" x14ac:dyDescent="0.35">
      <c r="A643" s="13" t="s">
        <v>243</v>
      </c>
      <c r="B643" s="8"/>
      <c r="C643" s="9"/>
      <c r="D643" s="10"/>
      <c r="E643" s="21"/>
      <c r="F643" s="22"/>
      <c r="G643" s="6"/>
    </row>
    <row r="644" spans="1:7" x14ac:dyDescent="0.35">
      <c r="A644" s="13" t="s">
        <v>244</v>
      </c>
      <c r="B644" s="8"/>
      <c r="C644" s="9"/>
      <c r="D644" s="10"/>
      <c r="E644" s="21"/>
      <c r="F644" s="22"/>
      <c r="G644" s="6"/>
    </row>
    <row r="645" spans="1:7" x14ac:dyDescent="0.35">
      <c r="A645" s="13" t="s">
        <v>245</v>
      </c>
      <c r="B645" s="8"/>
      <c r="C645" s="9"/>
      <c r="D645" s="10"/>
      <c r="E645" s="21"/>
      <c r="F645" s="22"/>
      <c r="G645" s="6"/>
    </row>
    <row r="646" spans="1:7" x14ac:dyDescent="0.35">
      <c r="A646" s="13" t="s">
        <v>246</v>
      </c>
      <c r="B646" s="8"/>
      <c r="C646" s="9"/>
      <c r="D646" s="10"/>
      <c r="E646" s="21"/>
      <c r="F646" s="22"/>
      <c r="G646" s="6"/>
    </row>
    <row r="647" spans="1:7" x14ac:dyDescent="0.35">
      <c r="A647" s="13" t="s">
        <v>247</v>
      </c>
      <c r="B647" s="8"/>
      <c r="C647" s="9"/>
      <c r="D647" s="10"/>
      <c r="E647" s="21"/>
      <c r="F647" s="22"/>
      <c r="G647" s="6"/>
    </row>
    <row r="648" spans="1:7" x14ac:dyDescent="0.35">
      <c r="A648" s="13" t="s">
        <v>248</v>
      </c>
      <c r="B648" s="8"/>
      <c r="C648" s="9"/>
      <c r="D648" s="10"/>
      <c r="E648" s="21"/>
      <c r="F648" s="22"/>
      <c r="G648" s="6"/>
    </row>
    <row r="649" spans="1:7" x14ac:dyDescent="0.35">
      <c r="A649" s="13" t="s">
        <v>249</v>
      </c>
      <c r="B649" s="8"/>
      <c r="C649" s="9"/>
      <c r="D649" s="10"/>
      <c r="E649" s="21"/>
      <c r="F649" s="22"/>
      <c r="G649" s="6"/>
    </row>
    <row r="650" spans="1:7" x14ac:dyDescent="0.35">
      <c r="A650" s="13" t="s">
        <v>250</v>
      </c>
      <c r="B650" s="8"/>
      <c r="C650" s="9"/>
      <c r="D650" s="10"/>
      <c r="E650" s="21"/>
      <c r="F650" s="22"/>
      <c r="G650" s="6"/>
    </row>
    <row r="651" spans="1:7" x14ac:dyDescent="0.35">
      <c r="A651" s="13" t="s">
        <v>251</v>
      </c>
      <c r="B651" s="8"/>
      <c r="C651" s="9"/>
      <c r="D651" s="10"/>
      <c r="E651" s="21"/>
      <c r="F651" s="22"/>
      <c r="G651" s="6"/>
    </row>
    <row r="652" spans="1:7" x14ac:dyDescent="0.35">
      <c r="A652" s="13" t="s">
        <v>252</v>
      </c>
      <c r="B652" s="8"/>
      <c r="C652" s="9"/>
      <c r="D652" s="10"/>
      <c r="E652" s="21"/>
      <c r="F652" s="22"/>
      <c r="G652" s="6"/>
    </row>
    <row r="653" spans="1:7" x14ac:dyDescent="0.35">
      <c r="A653" s="13" t="s">
        <v>253</v>
      </c>
      <c r="B653" s="8"/>
      <c r="C653" s="9"/>
      <c r="D653" s="10"/>
      <c r="E653" s="21"/>
      <c r="F653" s="22"/>
      <c r="G653" s="6"/>
    </row>
    <row r="654" spans="1:7" x14ac:dyDescent="0.35">
      <c r="A654" s="13" t="s">
        <v>254</v>
      </c>
      <c r="B654" s="8"/>
      <c r="C654" s="9"/>
      <c r="D654" s="10"/>
      <c r="E654" s="21"/>
      <c r="F654" s="22"/>
      <c r="G654" s="6"/>
    </row>
    <row r="655" spans="1:7" x14ac:dyDescent="0.35">
      <c r="A655" s="13" t="s">
        <v>255</v>
      </c>
      <c r="B655" s="8"/>
      <c r="C655" s="9"/>
      <c r="D655" s="10"/>
      <c r="E655" s="21"/>
      <c r="F655" s="22"/>
      <c r="G655" s="6"/>
    </row>
    <row r="656" spans="1:7" x14ac:dyDescent="0.35">
      <c r="A656" s="13" t="s">
        <v>256</v>
      </c>
      <c r="B656" s="8"/>
      <c r="C656" s="9"/>
      <c r="D656" s="10"/>
      <c r="E656" s="21"/>
      <c r="F656" s="22"/>
      <c r="G656" s="6"/>
    </row>
    <row r="657" spans="1:7" x14ac:dyDescent="0.35">
      <c r="A657" s="13" t="s">
        <v>257</v>
      </c>
      <c r="B657" s="8"/>
      <c r="C657" s="9"/>
      <c r="D657" s="10"/>
      <c r="E657" s="21"/>
      <c r="F657" s="22"/>
      <c r="G657" s="6"/>
    </row>
    <row r="658" spans="1:7" x14ac:dyDescent="0.35">
      <c r="A658" s="13" t="s">
        <v>258</v>
      </c>
      <c r="B658" s="8"/>
      <c r="C658" s="9"/>
      <c r="D658" s="10"/>
      <c r="E658" s="21"/>
      <c r="F658" s="22"/>
      <c r="G658" s="6"/>
    </row>
    <row r="659" spans="1:7" x14ac:dyDescent="0.35">
      <c r="A659" s="13" t="s">
        <v>259</v>
      </c>
      <c r="B659" s="8"/>
      <c r="C659" s="9"/>
      <c r="D659" s="10"/>
      <c r="E659" s="21"/>
      <c r="F659" s="22"/>
      <c r="G659" s="6"/>
    </row>
    <row r="660" spans="1:7" x14ac:dyDescent="0.35">
      <c r="A660" s="13" t="s">
        <v>260</v>
      </c>
      <c r="B660" s="8"/>
      <c r="C660" s="9"/>
      <c r="D660" s="10"/>
      <c r="E660" s="21"/>
      <c r="F660" s="22"/>
      <c r="G660" s="6"/>
    </row>
    <row r="661" spans="1:7" x14ac:dyDescent="0.35">
      <c r="A661" s="13" t="s">
        <v>261</v>
      </c>
      <c r="B661" s="8"/>
      <c r="C661" s="9"/>
      <c r="D661" s="10"/>
      <c r="E661" s="21"/>
      <c r="F661" s="22"/>
      <c r="G661" s="6"/>
    </row>
    <row r="662" spans="1:7" x14ac:dyDescent="0.35">
      <c r="A662" s="13" t="s">
        <v>262</v>
      </c>
      <c r="B662" s="8"/>
      <c r="C662" s="9"/>
      <c r="D662" s="10"/>
      <c r="E662" s="21"/>
      <c r="F662" s="22"/>
      <c r="G662" s="6"/>
    </row>
    <row r="663" spans="1:7" x14ac:dyDescent="0.35">
      <c r="A663" s="13" t="s">
        <v>263</v>
      </c>
      <c r="B663" s="8"/>
      <c r="C663" s="9"/>
      <c r="D663" s="10"/>
      <c r="E663" s="21"/>
      <c r="F663" s="22"/>
      <c r="G663" s="6"/>
    </row>
    <row r="664" spans="1:7" x14ac:dyDescent="0.35">
      <c r="A664" s="13" t="s">
        <v>264</v>
      </c>
      <c r="B664" s="8"/>
      <c r="C664" s="9"/>
      <c r="D664" s="10"/>
      <c r="E664" s="21"/>
      <c r="F664" s="22"/>
      <c r="G664" s="6"/>
    </row>
    <row r="665" spans="1:7" x14ac:dyDescent="0.35">
      <c r="A665" s="13" t="s">
        <v>265</v>
      </c>
      <c r="B665" s="8"/>
      <c r="C665" s="9"/>
      <c r="D665" s="10"/>
      <c r="E665" s="21"/>
      <c r="F665" s="22"/>
      <c r="G665" s="6"/>
    </row>
    <row r="666" spans="1:7" x14ac:dyDescent="0.35">
      <c r="A666" s="13" t="s">
        <v>266</v>
      </c>
      <c r="B666" s="8"/>
      <c r="C666" s="9"/>
      <c r="D666" s="10"/>
      <c r="E666" s="21"/>
      <c r="F666" s="22"/>
      <c r="G666" s="6"/>
    </row>
    <row r="667" spans="1:7" x14ac:dyDescent="0.35">
      <c r="A667" s="13" t="s">
        <v>267</v>
      </c>
      <c r="B667" s="8"/>
      <c r="C667" s="9"/>
      <c r="D667" s="10"/>
      <c r="E667" s="21"/>
      <c r="F667" s="22"/>
      <c r="G667" s="6"/>
    </row>
    <row r="668" spans="1:7" x14ac:dyDescent="0.35">
      <c r="A668" s="13" t="s">
        <v>268</v>
      </c>
      <c r="B668" s="8"/>
      <c r="C668" s="9"/>
      <c r="D668" s="10"/>
      <c r="E668" s="21"/>
      <c r="F668" s="22"/>
      <c r="G668" s="6"/>
    </row>
    <row r="669" spans="1:7" x14ac:dyDescent="0.35">
      <c r="A669" s="13" t="s">
        <v>269</v>
      </c>
      <c r="B669" s="8"/>
      <c r="C669" s="9"/>
      <c r="D669" s="10"/>
      <c r="E669" s="21"/>
      <c r="F669" s="22"/>
      <c r="G669" s="6"/>
    </row>
    <row r="670" spans="1:7" x14ac:dyDescent="0.35">
      <c r="A670" s="13" t="s">
        <v>270</v>
      </c>
      <c r="B670" s="8"/>
      <c r="C670" s="9"/>
      <c r="D670" s="10"/>
      <c r="E670" s="21"/>
      <c r="F670" s="22"/>
      <c r="G670" s="6"/>
    </row>
    <row r="671" spans="1:7" x14ac:dyDescent="0.35">
      <c r="A671" s="13" t="s">
        <v>271</v>
      </c>
      <c r="B671" s="8"/>
      <c r="C671" s="9"/>
      <c r="D671" s="10"/>
      <c r="E671" s="21"/>
      <c r="F671" s="22"/>
      <c r="G671" s="6"/>
    </row>
    <row r="672" spans="1:7" x14ac:dyDescent="0.35">
      <c r="A672" s="2"/>
      <c r="B672" s="2"/>
      <c r="C672" s="2"/>
      <c r="D672" s="2"/>
      <c r="E672" s="2"/>
      <c r="F672" s="2"/>
      <c r="G672" s="2"/>
    </row>
    <row r="673" spans="1:7" x14ac:dyDescent="0.35">
      <c r="A673" s="13" t="s">
        <v>27</v>
      </c>
      <c r="B673" s="15" t="s">
        <v>0</v>
      </c>
      <c r="C673" s="16" t="s">
        <v>1</v>
      </c>
      <c r="D673" s="17" t="s">
        <v>2</v>
      </c>
      <c r="E673" s="24" t="s">
        <v>3</v>
      </c>
      <c r="F673" s="23" t="s">
        <v>4</v>
      </c>
      <c r="G673" s="18" t="s">
        <v>5</v>
      </c>
    </row>
    <row r="674" spans="1:7" x14ac:dyDescent="0.35">
      <c r="A674" s="13" t="s">
        <v>242</v>
      </c>
      <c r="B674" s="8"/>
      <c r="C674" s="9"/>
      <c r="D674" s="10"/>
      <c r="E674" s="21"/>
      <c r="F674" s="22"/>
      <c r="G674" s="6"/>
    </row>
    <row r="675" spans="1:7" x14ac:dyDescent="0.35">
      <c r="A675" s="13" t="s">
        <v>243</v>
      </c>
      <c r="B675" s="8"/>
      <c r="C675" s="9"/>
      <c r="D675" s="10"/>
      <c r="E675" s="21"/>
      <c r="F675" s="22"/>
      <c r="G675" s="6"/>
    </row>
    <row r="676" spans="1:7" x14ac:dyDescent="0.35">
      <c r="A676" s="13" t="s">
        <v>244</v>
      </c>
      <c r="B676" s="8"/>
      <c r="C676" s="9"/>
      <c r="D676" s="10"/>
      <c r="E676" s="21"/>
      <c r="F676" s="22"/>
      <c r="G676" s="6"/>
    </row>
    <row r="677" spans="1:7" x14ac:dyDescent="0.35">
      <c r="A677" s="13" t="s">
        <v>245</v>
      </c>
      <c r="B677" s="8"/>
      <c r="C677" s="9"/>
      <c r="D677" s="10"/>
      <c r="E677" s="21"/>
      <c r="F677" s="22"/>
      <c r="G677" s="6"/>
    </row>
    <row r="678" spans="1:7" x14ac:dyDescent="0.35">
      <c r="A678" s="13" t="s">
        <v>246</v>
      </c>
      <c r="B678" s="8"/>
      <c r="C678" s="9"/>
      <c r="D678" s="10"/>
      <c r="E678" s="21"/>
      <c r="F678" s="22"/>
      <c r="G678" s="6"/>
    </row>
    <row r="679" spans="1:7" x14ac:dyDescent="0.35">
      <c r="A679" s="13" t="s">
        <v>247</v>
      </c>
      <c r="B679" s="8"/>
      <c r="C679" s="9"/>
      <c r="D679" s="10"/>
      <c r="E679" s="21"/>
      <c r="F679" s="22"/>
      <c r="G679" s="6"/>
    </row>
    <row r="680" spans="1:7" x14ac:dyDescent="0.35">
      <c r="A680" s="13" t="s">
        <v>248</v>
      </c>
      <c r="B680" s="8"/>
      <c r="C680" s="9"/>
      <c r="D680" s="10"/>
      <c r="E680" s="21"/>
      <c r="F680" s="22"/>
      <c r="G680" s="6"/>
    </row>
    <row r="681" spans="1:7" x14ac:dyDescent="0.35">
      <c r="A681" s="13" t="s">
        <v>249</v>
      </c>
      <c r="B681" s="8"/>
      <c r="C681" s="9"/>
      <c r="D681" s="10"/>
      <c r="E681" s="21"/>
      <c r="F681" s="22"/>
      <c r="G681" s="6"/>
    </row>
    <row r="682" spans="1:7" x14ac:dyDescent="0.35">
      <c r="A682" s="13" t="s">
        <v>250</v>
      </c>
      <c r="B682" s="8"/>
      <c r="C682" s="9"/>
      <c r="D682" s="10"/>
      <c r="E682" s="21"/>
      <c r="F682" s="22"/>
      <c r="G682" s="6"/>
    </row>
    <row r="683" spans="1:7" x14ac:dyDescent="0.35">
      <c r="A683" s="13" t="s">
        <v>251</v>
      </c>
      <c r="B683" s="8"/>
      <c r="C683" s="9"/>
      <c r="D683" s="10"/>
      <c r="E683" s="21"/>
      <c r="F683" s="22"/>
      <c r="G683" s="6"/>
    </row>
    <row r="684" spans="1:7" x14ac:dyDescent="0.35">
      <c r="A684" s="13" t="s">
        <v>252</v>
      </c>
      <c r="B684" s="8"/>
      <c r="C684" s="9"/>
      <c r="D684" s="10"/>
      <c r="E684" s="21"/>
      <c r="F684" s="22"/>
      <c r="G684" s="6"/>
    </row>
    <row r="685" spans="1:7" x14ac:dyDescent="0.35">
      <c r="A685" s="13" t="s">
        <v>253</v>
      </c>
      <c r="B685" s="8"/>
      <c r="C685" s="9"/>
      <c r="D685" s="10"/>
      <c r="E685" s="21"/>
      <c r="F685" s="22"/>
      <c r="G685" s="6"/>
    </row>
    <row r="686" spans="1:7" x14ac:dyDescent="0.35">
      <c r="A686" s="13" t="s">
        <v>254</v>
      </c>
      <c r="B686" s="8"/>
      <c r="C686" s="9"/>
      <c r="D686" s="10"/>
      <c r="E686" s="21"/>
      <c r="F686" s="22"/>
      <c r="G686" s="6"/>
    </row>
    <row r="687" spans="1:7" x14ac:dyDescent="0.35">
      <c r="A687" s="13" t="s">
        <v>255</v>
      </c>
      <c r="B687" s="8"/>
      <c r="C687" s="9"/>
      <c r="D687" s="10"/>
      <c r="E687" s="21"/>
      <c r="F687" s="22"/>
      <c r="G687" s="6"/>
    </row>
    <row r="688" spans="1:7" x14ac:dyDescent="0.35">
      <c r="A688" s="13" t="s">
        <v>256</v>
      </c>
      <c r="B688" s="8"/>
      <c r="C688" s="9"/>
      <c r="D688" s="10"/>
      <c r="E688" s="21"/>
      <c r="F688" s="22"/>
      <c r="G688" s="6"/>
    </row>
    <row r="689" spans="1:7" x14ac:dyDescent="0.35">
      <c r="A689" s="13" t="s">
        <v>257</v>
      </c>
      <c r="B689" s="8"/>
      <c r="C689" s="9"/>
      <c r="D689" s="10"/>
      <c r="E689" s="21"/>
      <c r="F689" s="22"/>
      <c r="G689" s="6"/>
    </row>
    <row r="690" spans="1:7" x14ac:dyDescent="0.35">
      <c r="A690" s="13" t="s">
        <v>258</v>
      </c>
      <c r="B690" s="8"/>
      <c r="C690" s="9"/>
      <c r="D690" s="10"/>
      <c r="E690" s="21"/>
      <c r="F690" s="22"/>
      <c r="G690" s="6"/>
    </row>
    <row r="691" spans="1:7" x14ac:dyDescent="0.35">
      <c r="A691" s="13" t="s">
        <v>259</v>
      </c>
      <c r="B691" s="8"/>
      <c r="C691" s="9"/>
      <c r="D691" s="10"/>
      <c r="E691" s="21"/>
      <c r="F691" s="22"/>
      <c r="G691" s="6"/>
    </row>
    <row r="692" spans="1:7" x14ac:dyDescent="0.35">
      <c r="A692" s="13" t="s">
        <v>260</v>
      </c>
      <c r="B692" s="8"/>
      <c r="C692" s="9"/>
      <c r="D692" s="10"/>
      <c r="E692" s="21"/>
      <c r="F692" s="22"/>
      <c r="G692" s="6"/>
    </row>
    <row r="693" spans="1:7" x14ac:dyDescent="0.35">
      <c r="A693" s="13" t="s">
        <v>261</v>
      </c>
      <c r="B693" s="8"/>
      <c r="C693" s="9"/>
      <c r="D693" s="10"/>
      <c r="E693" s="21"/>
      <c r="F693" s="22"/>
      <c r="G693" s="6"/>
    </row>
    <row r="694" spans="1:7" x14ac:dyDescent="0.35">
      <c r="A694" s="13" t="s">
        <v>262</v>
      </c>
      <c r="B694" s="8"/>
      <c r="C694" s="9"/>
      <c r="D694" s="10"/>
      <c r="E694" s="21"/>
      <c r="F694" s="22"/>
      <c r="G694" s="6"/>
    </row>
    <row r="695" spans="1:7" x14ac:dyDescent="0.35">
      <c r="A695" s="13" t="s">
        <v>263</v>
      </c>
      <c r="B695" s="8"/>
      <c r="C695" s="9"/>
      <c r="D695" s="10"/>
      <c r="E695" s="21"/>
      <c r="F695" s="22"/>
      <c r="G695" s="6"/>
    </row>
    <row r="696" spans="1:7" x14ac:dyDescent="0.35">
      <c r="A696" s="13" t="s">
        <v>264</v>
      </c>
      <c r="B696" s="8"/>
      <c r="C696" s="9"/>
      <c r="D696" s="10"/>
      <c r="E696" s="21"/>
      <c r="F696" s="22"/>
      <c r="G696" s="6"/>
    </row>
    <row r="697" spans="1:7" x14ac:dyDescent="0.35">
      <c r="A697" s="13" t="s">
        <v>265</v>
      </c>
      <c r="B697" s="8"/>
      <c r="C697" s="9"/>
      <c r="D697" s="10"/>
      <c r="E697" s="21"/>
      <c r="F697" s="22"/>
      <c r="G697" s="6"/>
    </row>
    <row r="698" spans="1:7" x14ac:dyDescent="0.35">
      <c r="A698" s="13" t="s">
        <v>266</v>
      </c>
      <c r="B698" s="8"/>
      <c r="C698" s="9"/>
      <c r="D698" s="10"/>
      <c r="E698" s="21"/>
      <c r="F698" s="22"/>
      <c r="G698" s="6"/>
    </row>
    <row r="699" spans="1:7" x14ac:dyDescent="0.35">
      <c r="A699" s="13" t="s">
        <v>267</v>
      </c>
      <c r="B699" s="8"/>
      <c r="C699" s="9"/>
      <c r="D699" s="10"/>
      <c r="E699" s="21"/>
      <c r="F699" s="22"/>
      <c r="G699" s="6"/>
    </row>
    <row r="700" spans="1:7" x14ac:dyDescent="0.35">
      <c r="A700" s="13" t="s">
        <v>268</v>
      </c>
      <c r="B700" s="8"/>
      <c r="C700" s="9"/>
      <c r="D700" s="10"/>
      <c r="E700" s="21"/>
      <c r="F700" s="22"/>
      <c r="G700" s="6"/>
    </row>
    <row r="701" spans="1:7" x14ac:dyDescent="0.35">
      <c r="A701" s="13" t="s">
        <v>269</v>
      </c>
      <c r="B701" s="8"/>
      <c r="C701" s="9"/>
      <c r="D701" s="10"/>
      <c r="E701" s="21"/>
      <c r="F701" s="22"/>
      <c r="G701" s="6"/>
    </row>
    <row r="702" spans="1:7" x14ac:dyDescent="0.35">
      <c r="A702" s="13" t="s">
        <v>270</v>
      </c>
      <c r="B702" s="8"/>
      <c r="C702" s="9"/>
      <c r="D702" s="10"/>
      <c r="E702" s="21"/>
      <c r="F702" s="22"/>
      <c r="G702" s="6"/>
    </row>
    <row r="703" spans="1:7" x14ac:dyDescent="0.35">
      <c r="A703" s="13" t="s">
        <v>271</v>
      </c>
      <c r="B703" s="8"/>
      <c r="C703" s="9"/>
      <c r="D703" s="10"/>
      <c r="E703" s="21"/>
      <c r="F703" s="22"/>
      <c r="G703" s="6"/>
    </row>
    <row r="704" spans="1:7" x14ac:dyDescent="0.35">
      <c r="A704" s="2"/>
      <c r="B704" s="2"/>
      <c r="C704" s="2"/>
      <c r="D704" s="2"/>
      <c r="E704" s="2"/>
      <c r="F704" s="2"/>
      <c r="G704" s="2"/>
    </row>
    <row r="705" spans="1:7" x14ac:dyDescent="0.35">
      <c r="A705" s="13" t="s">
        <v>28</v>
      </c>
      <c r="B705" s="15" t="s">
        <v>0</v>
      </c>
      <c r="C705" s="16" t="s">
        <v>1</v>
      </c>
      <c r="D705" s="17" t="s">
        <v>2</v>
      </c>
      <c r="E705" s="24" t="s">
        <v>3</v>
      </c>
      <c r="F705" s="23" t="s">
        <v>4</v>
      </c>
      <c r="G705" s="18" t="s">
        <v>5</v>
      </c>
    </row>
    <row r="706" spans="1:7" x14ac:dyDescent="0.35">
      <c r="A706" s="13" t="s">
        <v>242</v>
      </c>
      <c r="B706" s="8"/>
      <c r="C706" s="9"/>
      <c r="D706" s="10"/>
      <c r="E706" s="21"/>
      <c r="F706" s="22"/>
      <c r="G706" s="6"/>
    </row>
    <row r="707" spans="1:7" x14ac:dyDescent="0.35">
      <c r="A707" s="13" t="s">
        <v>243</v>
      </c>
      <c r="B707" s="8"/>
      <c r="C707" s="9"/>
      <c r="D707" s="10"/>
      <c r="E707" s="21"/>
      <c r="F707" s="22"/>
      <c r="G707" s="6"/>
    </row>
    <row r="708" spans="1:7" x14ac:dyDescent="0.35">
      <c r="A708" s="13" t="s">
        <v>244</v>
      </c>
      <c r="B708" s="8"/>
      <c r="C708" s="9"/>
      <c r="D708" s="10"/>
      <c r="E708" s="21"/>
      <c r="F708" s="22"/>
      <c r="G708" s="6"/>
    </row>
    <row r="709" spans="1:7" x14ac:dyDescent="0.35">
      <c r="A709" s="13" t="s">
        <v>245</v>
      </c>
      <c r="B709" s="8"/>
      <c r="C709" s="9"/>
      <c r="D709" s="10"/>
      <c r="E709" s="21"/>
      <c r="F709" s="22"/>
      <c r="G709" s="6"/>
    </row>
    <row r="710" spans="1:7" x14ac:dyDescent="0.35">
      <c r="A710" s="13" t="s">
        <v>246</v>
      </c>
      <c r="B710" s="8"/>
      <c r="C710" s="9"/>
      <c r="D710" s="10"/>
      <c r="E710" s="21"/>
      <c r="F710" s="22"/>
      <c r="G710" s="6"/>
    </row>
    <row r="711" spans="1:7" x14ac:dyDescent="0.35">
      <c r="A711" s="13" t="s">
        <v>247</v>
      </c>
      <c r="B711" s="8"/>
      <c r="C711" s="9"/>
      <c r="D711" s="10"/>
      <c r="E711" s="21"/>
      <c r="F711" s="22"/>
      <c r="G711" s="6"/>
    </row>
    <row r="712" spans="1:7" x14ac:dyDescent="0.35">
      <c r="A712" s="13" t="s">
        <v>248</v>
      </c>
      <c r="B712" s="8"/>
      <c r="C712" s="9"/>
      <c r="D712" s="10"/>
      <c r="E712" s="21"/>
      <c r="F712" s="22"/>
      <c r="G712" s="6"/>
    </row>
    <row r="713" spans="1:7" x14ac:dyDescent="0.35">
      <c r="A713" s="13" t="s">
        <v>249</v>
      </c>
      <c r="B713" s="8"/>
      <c r="C713" s="9"/>
      <c r="D713" s="10"/>
      <c r="E713" s="21"/>
      <c r="F713" s="22"/>
      <c r="G713" s="6"/>
    </row>
    <row r="714" spans="1:7" x14ac:dyDescent="0.35">
      <c r="A714" s="13" t="s">
        <v>250</v>
      </c>
      <c r="B714" s="8"/>
      <c r="C714" s="9"/>
      <c r="D714" s="10"/>
      <c r="E714" s="21"/>
      <c r="F714" s="22"/>
      <c r="G714" s="6"/>
    </row>
    <row r="715" spans="1:7" x14ac:dyDescent="0.35">
      <c r="A715" s="13" t="s">
        <v>251</v>
      </c>
      <c r="B715" s="8"/>
      <c r="C715" s="9"/>
      <c r="D715" s="10"/>
      <c r="E715" s="21"/>
      <c r="F715" s="22"/>
      <c r="G715" s="6"/>
    </row>
    <row r="716" spans="1:7" x14ac:dyDescent="0.35">
      <c r="A716" s="13" t="s">
        <v>252</v>
      </c>
      <c r="B716" s="8"/>
      <c r="C716" s="9"/>
      <c r="D716" s="10"/>
      <c r="E716" s="21"/>
      <c r="F716" s="22"/>
      <c r="G716" s="6"/>
    </row>
    <row r="717" spans="1:7" x14ac:dyDescent="0.35">
      <c r="A717" s="13" t="s">
        <v>253</v>
      </c>
      <c r="B717" s="8"/>
      <c r="C717" s="9"/>
      <c r="D717" s="10"/>
      <c r="E717" s="21"/>
      <c r="F717" s="22"/>
      <c r="G717" s="6"/>
    </row>
    <row r="718" spans="1:7" x14ac:dyDescent="0.35">
      <c r="A718" s="13" t="s">
        <v>254</v>
      </c>
      <c r="B718" s="8"/>
      <c r="C718" s="9"/>
      <c r="D718" s="10"/>
      <c r="E718" s="21"/>
      <c r="F718" s="22"/>
      <c r="G718" s="6"/>
    </row>
    <row r="719" spans="1:7" x14ac:dyDescent="0.35">
      <c r="A719" s="13" t="s">
        <v>255</v>
      </c>
      <c r="B719" s="8"/>
      <c r="C719" s="9"/>
      <c r="D719" s="10"/>
      <c r="E719" s="21"/>
      <c r="F719" s="22"/>
      <c r="G719" s="6"/>
    </row>
    <row r="720" spans="1:7" x14ac:dyDescent="0.35">
      <c r="A720" s="13" t="s">
        <v>256</v>
      </c>
      <c r="B720" s="8"/>
      <c r="C720" s="9"/>
      <c r="D720" s="10"/>
      <c r="E720" s="21"/>
      <c r="F720" s="22"/>
      <c r="G720" s="6"/>
    </row>
    <row r="721" spans="1:7" x14ac:dyDescent="0.35">
      <c r="A721" s="13" t="s">
        <v>257</v>
      </c>
      <c r="B721" s="8"/>
      <c r="C721" s="9"/>
      <c r="D721" s="10"/>
      <c r="E721" s="21"/>
      <c r="F721" s="22"/>
      <c r="G721" s="6"/>
    </row>
    <row r="722" spans="1:7" x14ac:dyDescent="0.35">
      <c r="A722" s="13" t="s">
        <v>258</v>
      </c>
      <c r="B722" s="8"/>
      <c r="C722" s="9"/>
      <c r="D722" s="10"/>
      <c r="E722" s="21"/>
      <c r="F722" s="22"/>
      <c r="G722" s="6"/>
    </row>
    <row r="723" spans="1:7" x14ac:dyDescent="0.35">
      <c r="A723" s="13" t="s">
        <v>259</v>
      </c>
      <c r="B723" s="8"/>
      <c r="C723" s="9"/>
      <c r="D723" s="10"/>
      <c r="E723" s="21"/>
      <c r="F723" s="22"/>
      <c r="G723" s="6"/>
    </row>
    <row r="724" spans="1:7" x14ac:dyDescent="0.35">
      <c r="A724" s="13" t="s">
        <v>260</v>
      </c>
      <c r="B724" s="8"/>
      <c r="C724" s="9"/>
      <c r="D724" s="10"/>
      <c r="E724" s="21"/>
      <c r="F724" s="22"/>
      <c r="G724" s="6"/>
    </row>
    <row r="725" spans="1:7" x14ac:dyDescent="0.35">
      <c r="A725" s="13" t="s">
        <v>261</v>
      </c>
      <c r="B725" s="8"/>
      <c r="C725" s="9"/>
      <c r="D725" s="10"/>
      <c r="E725" s="21"/>
      <c r="F725" s="22"/>
      <c r="G725" s="6"/>
    </row>
    <row r="726" spans="1:7" x14ac:dyDescent="0.35">
      <c r="A726" s="13" t="s">
        <v>262</v>
      </c>
      <c r="B726" s="8"/>
      <c r="C726" s="9"/>
      <c r="D726" s="10"/>
      <c r="E726" s="21"/>
      <c r="F726" s="22"/>
      <c r="G726" s="6"/>
    </row>
    <row r="727" spans="1:7" x14ac:dyDescent="0.35">
      <c r="A727" s="13" t="s">
        <v>263</v>
      </c>
      <c r="B727" s="8"/>
      <c r="C727" s="9"/>
      <c r="D727" s="10"/>
      <c r="E727" s="21"/>
      <c r="F727" s="22"/>
      <c r="G727" s="6"/>
    </row>
    <row r="728" spans="1:7" x14ac:dyDescent="0.35">
      <c r="A728" s="13" t="s">
        <v>264</v>
      </c>
      <c r="B728" s="8"/>
      <c r="C728" s="9"/>
      <c r="D728" s="10"/>
      <c r="E728" s="21"/>
      <c r="F728" s="22"/>
      <c r="G728" s="6"/>
    </row>
    <row r="729" spans="1:7" x14ac:dyDescent="0.35">
      <c r="A729" s="13" t="s">
        <v>265</v>
      </c>
      <c r="B729" s="8"/>
      <c r="C729" s="9"/>
      <c r="D729" s="10"/>
      <c r="E729" s="21"/>
      <c r="F729" s="22"/>
      <c r="G729" s="6"/>
    </row>
    <row r="730" spans="1:7" x14ac:dyDescent="0.35">
      <c r="A730" s="13" t="s">
        <v>266</v>
      </c>
      <c r="B730" s="8"/>
      <c r="C730" s="9"/>
      <c r="D730" s="10"/>
      <c r="E730" s="21"/>
      <c r="F730" s="22"/>
      <c r="G730" s="6"/>
    </row>
    <row r="731" spans="1:7" x14ac:dyDescent="0.35">
      <c r="A731" s="13" t="s">
        <v>267</v>
      </c>
      <c r="B731" s="8"/>
      <c r="C731" s="9"/>
      <c r="D731" s="10"/>
      <c r="E731" s="21"/>
      <c r="F731" s="22"/>
      <c r="G731" s="6"/>
    </row>
    <row r="732" spans="1:7" x14ac:dyDescent="0.35">
      <c r="A732" s="13" t="s">
        <v>268</v>
      </c>
      <c r="B732" s="8"/>
      <c r="C732" s="9"/>
      <c r="D732" s="10"/>
      <c r="E732" s="21"/>
      <c r="F732" s="22"/>
      <c r="G732" s="6"/>
    </row>
    <row r="733" spans="1:7" x14ac:dyDescent="0.35">
      <c r="A733" s="13" t="s">
        <v>269</v>
      </c>
      <c r="B733" s="8"/>
      <c r="C733" s="9"/>
      <c r="D733" s="10"/>
      <c r="E733" s="21"/>
      <c r="F733" s="22"/>
      <c r="G733" s="6"/>
    </row>
    <row r="734" spans="1:7" x14ac:dyDescent="0.35">
      <c r="A734" s="13" t="s">
        <v>270</v>
      </c>
      <c r="B734" s="8"/>
      <c r="C734" s="9"/>
      <c r="D734" s="10"/>
      <c r="E734" s="21"/>
      <c r="F734" s="22"/>
      <c r="G734" s="6"/>
    </row>
    <row r="735" spans="1:7" x14ac:dyDescent="0.35">
      <c r="A735" s="13" t="s">
        <v>271</v>
      </c>
      <c r="B735" s="8"/>
      <c r="C735" s="9"/>
      <c r="D735" s="10"/>
      <c r="E735" s="21"/>
      <c r="F735" s="22"/>
      <c r="G735" s="6"/>
    </row>
    <row r="736" spans="1:7" x14ac:dyDescent="0.35">
      <c r="A736" s="2"/>
      <c r="B736" s="2"/>
      <c r="C736" s="2"/>
      <c r="D736" s="2"/>
      <c r="E736" s="2"/>
      <c r="F736" s="2"/>
      <c r="G736" s="2"/>
    </row>
    <row r="737" spans="1:7" x14ac:dyDescent="0.35">
      <c r="A737" s="13" t="s">
        <v>29</v>
      </c>
      <c r="B737" s="15" t="s">
        <v>0</v>
      </c>
      <c r="C737" s="16" t="s">
        <v>1</v>
      </c>
      <c r="D737" s="17" t="s">
        <v>2</v>
      </c>
      <c r="E737" s="24" t="s">
        <v>3</v>
      </c>
      <c r="F737" s="23" t="s">
        <v>4</v>
      </c>
      <c r="G737" s="18" t="s">
        <v>5</v>
      </c>
    </row>
    <row r="738" spans="1:7" x14ac:dyDescent="0.35">
      <c r="A738" s="13" t="s">
        <v>242</v>
      </c>
      <c r="B738" s="8"/>
      <c r="C738" s="9"/>
      <c r="D738" s="10"/>
      <c r="E738" s="21"/>
      <c r="F738" s="22"/>
      <c r="G738" s="6"/>
    </row>
    <row r="739" spans="1:7" x14ac:dyDescent="0.35">
      <c r="A739" s="13" t="s">
        <v>243</v>
      </c>
      <c r="B739" s="8"/>
      <c r="C739" s="9"/>
      <c r="D739" s="10"/>
      <c r="E739" s="21"/>
      <c r="F739" s="22"/>
      <c r="G739" s="6"/>
    </row>
    <row r="740" spans="1:7" x14ac:dyDescent="0.35">
      <c r="A740" s="13" t="s">
        <v>244</v>
      </c>
      <c r="B740" s="8"/>
      <c r="C740" s="9"/>
      <c r="D740" s="10"/>
      <c r="E740" s="21"/>
      <c r="F740" s="22"/>
      <c r="G740" s="6"/>
    </row>
    <row r="741" spans="1:7" x14ac:dyDescent="0.35">
      <c r="A741" s="13" t="s">
        <v>245</v>
      </c>
      <c r="B741" s="8"/>
      <c r="C741" s="9"/>
      <c r="D741" s="10"/>
      <c r="E741" s="21"/>
      <c r="F741" s="22"/>
      <c r="G741" s="6"/>
    </row>
    <row r="742" spans="1:7" x14ac:dyDescent="0.35">
      <c r="A742" s="13" t="s">
        <v>246</v>
      </c>
      <c r="B742" s="8"/>
      <c r="C742" s="9"/>
      <c r="D742" s="10"/>
      <c r="E742" s="21"/>
      <c r="F742" s="22"/>
      <c r="G742" s="6"/>
    </row>
    <row r="743" spans="1:7" x14ac:dyDescent="0.35">
      <c r="A743" s="13" t="s">
        <v>247</v>
      </c>
      <c r="B743" s="8"/>
      <c r="C743" s="9"/>
      <c r="D743" s="10"/>
      <c r="E743" s="21"/>
      <c r="F743" s="22"/>
      <c r="G743" s="6"/>
    </row>
    <row r="744" spans="1:7" x14ac:dyDescent="0.35">
      <c r="A744" s="13" t="s">
        <v>248</v>
      </c>
      <c r="B744" s="8"/>
      <c r="C744" s="9"/>
      <c r="D744" s="10"/>
      <c r="E744" s="21"/>
      <c r="F744" s="22"/>
      <c r="G744" s="6"/>
    </row>
    <row r="745" spans="1:7" x14ac:dyDescent="0.35">
      <c r="A745" s="13" t="s">
        <v>249</v>
      </c>
      <c r="B745" s="8"/>
      <c r="C745" s="9"/>
      <c r="D745" s="10"/>
      <c r="E745" s="21"/>
      <c r="F745" s="22"/>
      <c r="G745" s="6"/>
    </row>
    <row r="746" spans="1:7" x14ac:dyDescent="0.35">
      <c r="A746" s="13" t="s">
        <v>250</v>
      </c>
      <c r="B746" s="8"/>
      <c r="C746" s="9"/>
      <c r="D746" s="10"/>
      <c r="E746" s="21"/>
      <c r="F746" s="22"/>
      <c r="G746" s="6"/>
    </row>
    <row r="747" spans="1:7" x14ac:dyDescent="0.35">
      <c r="A747" s="13" t="s">
        <v>251</v>
      </c>
      <c r="B747" s="8"/>
      <c r="C747" s="9"/>
      <c r="D747" s="10"/>
      <c r="E747" s="21"/>
      <c r="F747" s="22"/>
      <c r="G747" s="6"/>
    </row>
    <row r="748" spans="1:7" x14ac:dyDescent="0.35">
      <c r="A748" s="13" t="s">
        <v>252</v>
      </c>
      <c r="B748" s="8"/>
      <c r="C748" s="9"/>
      <c r="D748" s="10"/>
      <c r="E748" s="21"/>
      <c r="F748" s="22"/>
      <c r="G748" s="6"/>
    </row>
    <row r="749" spans="1:7" x14ac:dyDescent="0.35">
      <c r="A749" s="13" t="s">
        <v>253</v>
      </c>
      <c r="B749" s="8"/>
      <c r="C749" s="9"/>
      <c r="D749" s="10"/>
      <c r="E749" s="21"/>
      <c r="F749" s="22"/>
      <c r="G749" s="6"/>
    </row>
    <row r="750" spans="1:7" x14ac:dyDescent="0.35">
      <c r="A750" s="13" t="s">
        <v>254</v>
      </c>
      <c r="B750" s="8"/>
      <c r="C750" s="9"/>
      <c r="D750" s="10"/>
      <c r="E750" s="21"/>
      <c r="F750" s="22"/>
      <c r="G750" s="6"/>
    </row>
    <row r="751" spans="1:7" x14ac:dyDescent="0.35">
      <c r="A751" s="13" t="s">
        <v>255</v>
      </c>
      <c r="B751" s="8"/>
      <c r="C751" s="9"/>
      <c r="D751" s="10"/>
      <c r="E751" s="21"/>
      <c r="F751" s="22"/>
      <c r="G751" s="6"/>
    </row>
    <row r="752" spans="1:7" x14ac:dyDescent="0.35">
      <c r="A752" s="13" t="s">
        <v>256</v>
      </c>
      <c r="B752" s="8"/>
      <c r="C752" s="9"/>
      <c r="D752" s="10"/>
      <c r="E752" s="21"/>
      <c r="F752" s="22"/>
      <c r="G752" s="6"/>
    </row>
    <row r="753" spans="1:7" x14ac:dyDescent="0.35">
      <c r="A753" s="13" t="s">
        <v>257</v>
      </c>
      <c r="B753" s="8"/>
      <c r="C753" s="9"/>
      <c r="D753" s="10"/>
      <c r="E753" s="21"/>
      <c r="F753" s="22"/>
      <c r="G753" s="6"/>
    </row>
    <row r="754" spans="1:7" x14ac:dyDescent="0.35">
      <c r="A754" s="13" t="s">
        <v>258</v>
      </c>
      <c r="B754" s="8"/>
      <c r="C754" s="9"/>
      <c r="D754" s="10"/>
      <c r="E754" s="21"/>
      <c r="F754" s="22"/>
      <c r="G754" s="6"/>
    </row>
    <row r="755" spans="1:7" x14ac:dyDescent="0.35">
      <c r="A755" s="13" t="s">
        <v>259</v>
      </c>
      <c r="B755" s="8"/>
      <c r="C755" s="9"/>
      <c r="D755" s="10"/>
      <c r="E755" s="21"/>
      <c r="F755" s="22"/>
      <c r="G755" s="6"/>
    </row>
    <row r="756" spans="1:7" x14ac:dyDescent="0.35">
      <c r="A756" s="13" t="s">
        <v>260</v>
      </c>
      <c r="B756" s="8"/>
      <c r="C756" s="9"/>
      <c r="D756" s="10"/>
      <c r="E756" s="21"/>
      <c r="F756" s="22"/>
      <c r="G756" s="6"/>
    </row>
    <row r="757" spans="1:7" x14ac:dyDescent="0.35">
      <c r="A757" s="13" t="s">
        <v>261</v>
      </c>
      <c r="B757" s="8"/>
      <c r="C757" s="9"/>
      <c r="D757" s="10"/>
      <c r="E757" s="21"/>
      <c r="F757" s="22"/>
      <c r="G757" s="6"/>
    </row>
    <row r="758" spans="1:7" x14ac:dyDescent="0.35">
      <c r="A758" s="13" t="s">
        <v>262</v>
      </c>
      <c r="B758" s="8"/>
      <c r="C758" s="9"/>
      <c r="D758" s="10"/>
      <c r="E758" s="21"/>
      <c r="F758" s="22"/>
      <c r="G758" s="6"/>
    </row>
    <row r="759" spans="1:7" x14ac:dyDescent="0.35">
      <c r="A759" s="13" t="s">
        <v>263</v>
      </c>
      <c r="B759" s="8"/>
      <c r="C759" s="9"/>
      <c r="D759" s="10"/>
      <c r="E759" s="21"/>
      <c r="F759" s="22"/>
      <c r="G759" s="6"/>
    </row>
    <row r="760" spans="1:7" x14ac:dyDescent="0.35">
      <c r="A760" s="13" t="s">
        <v>264</v>
      </c>
      <c r="B760" s="8"/>
      <c r="C760" s="9"/>
      <c r="D760" s="10"/>
      <c r="E760" s="21"/>
      <c r="F760" s="22"/>
      <c r="G760" s="6"/>
    </row>
    <row r="761" spans="1:7" x14ac:dyDescent="0.35">
      <c r="A761" s="13" t="s">
        <v>265</v>
      </c>
      <c r="B761" s="8"/>
      <c r="C761" s="9"/>
      <c r="D761" s="10"/>
      <c r="E761" s="21"/>
      <c r="F761" s="22"/>
      <c r="G761" s="6"/>
    </row>
    <row r="762" spans="1:7" x14ac:dyDescent="0.35">
      <c r="A762" s="13" t="s">
        <v>266</v>
      </c>
      <c r="B762" s="8"/>
      <c r="C762" s="9"/>
      <c r="D762" s="10"/>
      <c r="E762" s="21"/>
      <c r="F762" s="22"/>
      <c r="G762" s="6"/>
    </row>
    <row r="763" spans="1:7" x14ac:dyDescent="0.35">
      <c r="A763" s="13" t="s">
        <v>267</v>
      </c>
      <c r="B763" s="8"/>
      <c r="C763" s="9"/>
      <c r="D763" s="10"/>
      <c r="E763" s="21"/>
      <c r="F763" s="22"/>
      <c r="G763" s="6"/>
    </row>
    <row r="764" spans="1:7" x14ac:dyDescent="0.35">
      <c r="A764" s="13" t="s">
        <v>268</v>
      </c>
      <c r="B764" s="8"/>
      <c r="C764" s="9"/>
      <c r="D764" s="10"/>
      <c r="E764" s="21"/>
      <c r="F764" s="22"/>
      <c r="G764" s="6"/>
    </row>
    <row r="765" spans="1:7" x14ac:dyDescent="0.35">
      <c r="A765" s="13" t="s">
        <v>269</v>
      </c>
      <c r="B765" s="8"/>
      <c r="C765" s="9"/>
      <c r="D765" s="10"/>
      <c r="E765" s="21"/>
      <c r="F765" s="22"/>
      <c r="G765" s="6"/>
    </row>
    <row r="766" spans="1:7" x14ac:dyDescent="0.35">
      <c r="A766" s="13" t="s">
        <v>270</v>
      </c>
      <c r="B766" s="8"/>
      <c r="C766" s="9"/>
      <c r="D766" s="10"/>
      <c r="E766" s="21"/>
      <c r="F766" s="22"/>
      <c r="G766" s="6"/>
    </row>
    <row r="767" spans="1:7" x14ac:dyDescent="0.35">
      <c r="A767" s="13" t="s">
        <v>271</v>
      </c>
      <c r="B767" s="8"/>
      <c r="C767" s="9"/>
      <c r="D767" s="10"/>
      <c r="E767" s="21"/>
      <c r="F767" s="22"/>
      <c r="G767" s="6"/>
    </row>
    <row r="768" spans="1:7" x14ac:dyDescent="0.35">
      <c r="A768" s="2"/>
      <c r="B768" s="2"/>
      <c r="C768" s="2"/>
      <c r="D768" s="2"/>
      <c r="E768" s="2"/>
      <c r="F768" s="2"/>
      <c r="G768" s="2"/>
    </row>
    <row r="769" spans="1:7" x14ac:dyDescent="0.35">
      <c r="A769" s="13" t="s">
        <v>30</v>
      </c>
      <c r="B769" s="15" t="s">
        <v>0</v>
      </c>
      <c r="C769" s="16" t="s">
        <v>1</v>
      </c>
      <c r="D769" s="17" t="s">
        <v>2</v>
      </c>
      <c r="E769" s="24" t="s">
        <v>3</v>
      </c>
      <c r="F769" s="23" t="s">
        <v>4</v>
      </c>
      <c r="G769" s="18" t="s">
        <v>5</v>
      </c>
    </row>
    <row r="770" spans="1:7" x14ac:dyDescent="0.35">
      <c r="A770" s="13" t="s">
        <v>242</v>
      </c>
      <c r="B770" s="8"/>
      <c r="C770" s="9"/>
      <c r="D770" s="10"/>
      <c r="E770" s="21"/>
      <c r="F770" s="22"/>
      <c r="G770" s="6"/>
    </row>
    <row r="771" spans="1:7" x14ac:dyDescent="0.35">
      <c r="A771" s="13" t="s">
        <v>243</v>
      </c>
      <c r="B771" s="8"/>
      <c r="C771" s="9"/>
      <c r="D771" s="10"/>
      <c r="E771" s="21"/>
      <c r="F771" s="22"/>
      <c r="G771" s="6"/>
    </row>
    <row r="772" spans="1:7" x14ac:dyDescent="0.35">
      <c r="A772" s="13" t="s">
        <v>244</v>
      </c>
      <c r="B772" s="8"/>
      <c r="C772" s="9"/>
      <c r="D772" s="10"/>
      <c r="E772" s="21"/>
      <c r="F772" s="22"/>
      <c r="G772" s="6"/>
    </row>
    <row r="773" spans="1:7" x14ac:dyDescent="0.35">
      <c r="A773" s="13" t="s">
        <v>245</v>
      </c>
      <c r="B773" s="8"/>
      <c r="C773" s="9"/>
      <c r="D773" s="10"/>
      <c r="E773" s="21"/>
      <c r="F773" s="22"/>
      <c r="G773" s="6"/>
    </row>
    <row r="774" spans="1:7" x14ac:dyDescent="0.35">
      <c r="A774" s="13" t="s">
        <v>246</v>
      </c>
      <c r="B774" s="8"/>
      <c r="C774" s="9"/>
      <c r="D774" s="10"/>
      <c r="E774" s="21"/>
      <c r="F774" s="22"/>
      <c r="G774" s="6"/>
    </row>
    <row r="775" spans="1:7" x14ac:dyDescent="0.35">
      <c r="A775" s="13" t="s">
        <v>247</v>
      </c>
      <c r="B775" s="8"/>
      <c r="C775" s="9"/>
      <c r="D775" s="10"/>
      <c r="E775" s="21"/>
      <c r="F775" s="22"/>
      <c r="G775" s="6"/>
    </row>
    <row r="776" spans="1:7" x14ac:dyDescent="0.35">
      <c r="A776" s="13" t="s">
        <v>248</v>
      </c>
      <c r="B776" s="8"/>
      <c r="C776" s="9"/>
      <c r="D776" s="10"/>
      <c r="E776" s="21"/>
      <c r="F776" s="22"/>
      <c r="G776" s="6"/>
    </row>
    <row r="777" spans="1:7" x14ac:dyDescent="0.35">
      <c r="A777" s="13" t="s">
        <v>249</v>
      </c>
      <c r="B777" s="8"/>
      <c r="C777" s="9"/>
      <c r="D777" s="10"/>
      <c r="E777" s="21"/>
      <c r="F777" s="22"/>
      <c r="G777" s="6"/>
    </row>
    <row r="778" spans="1:7" x14ac:dyDescent="0.35">
      <c r="A778" s="13" t="s">
        <v>250</v>
      </c>
      <c r="B778" s="8"/>
      <c r="C778" s="9"/>
      <c r="D778" s="10"/>
      <c r="E778" s="21"/>
      <c r="F778" s="22"/>
      <c r="G778" s="6"/>
    </row>
    <row r="779" spans="1:7" x14ac:dyDescent="0.35">
      <c r="A779" s="13" t="s">
        <v>251</v>
      </c>
      <c r="B779" s="8"/>
      <c r="C779" s="9"/>
      <c r="D779" s="10"/>
      <c r="E779" s="21"/>
      <c r="F779" s="22"/>
      <c r="G779" s="6"/>
    </row>
    <row r="780" spans="1:7" x14ac:dyDescent="0.35">
      <c r="A780" s="13" t="s">
        <v>252</v>
      </c>
      <c r="B780" s="8"/>
      <c r="C780" s="9"/>
      <c r="D780" s="10"/>
      <c r="E780" s="21"/>
      <c r="F780" s="22"/>
      <c r="G780" s="6"/>
    </row>
    <row r="781" spans="1:7" x14ac:dyDescent="0.35">
      <c r="A781" s="13" t="s">
        <v>253</v>
      </c>
      <c r="B781" s="8"/>
      <c r="C781" s="9"/>
      <c r="D781" s="10"/>
      <c r="E781" s="21"/>
      <c r="F781" s="22"/>
      <c r="G781" s="6"/>
    </row>
    <row r="782" spans="1:7" x14ac:dyDescent="0.35">
      <c r="A782" s="13" t="s">
        <v>254</v>
      </c>
      <c r="B782" s="8"/>
      <c r="C782" s="9"/>
      <c r="D782" s="10"/>
      <c r="E782" s="21"/>
      <c r="F782" s="22"/>
      <c r="G782" s="6"/>
    </row>
    <row r="783" spans="1:7" x14ac:dyDescent="0.35">
      <c r="A783" s="13" t="s">
        <v>255</v>
      </c>
      <c r="B783" s="8"/>
      <c r="C783" s="9"/>
      <c r="D783" s="10"/>
      <c r="E783" s="21"/>
      <c r="F783" s="22"/>
      <c r="G783" s="6"/>
    </row>
    <row r="784" spans="1:7" x14ac:dyDescent="0.35">
      <c r="A784" s="13" t="s">
        <v>256</v>
      </c>
      <c r="B784" s="8"/>
      <c r="C784" s="9"/>
      <c r="D784" s="10"/>
      <c r="E784" s="21"/>
      <c r="F784" s="22"/>
      <c r="G784" s="6"/>
    </row>
    <row r="785" spans="1:7" x14ac:dyDescent="0.35">
      <c r="A785" s="13" t="s">
        <v>257</v>
      </c>
      <c r="B785" s="8"/>
      <c r="C785" s="9"/>
      <c r="D785" s="10"/>
      <c r="E785" s="21"/>
      <c r="F785" s="22"/>
      <c r="G785" s="6"/>
    </row>
    <row r="786" spans="1:7" x14ac:dyDescent="0.35">
      <c r="A786" s="13" t="s">
        <v>258</v>
      </c>
      <c r="B786" s="8"/>
      <c r="C786" s="9"/>
      <c r="D786" s="10"/>
      <c r="E786" s="21"/>
      <c r="F786" s="22"/>
      <c r="G786" s="6"/>
    </row>
    <row r="787" spans="1:7" x14ac:dyDescent="0.35">
      <c r="A787" s="13" t="s">
        <v>259</v>
      </c>
      <c r="B787" s="8"/>
      <c r="C787" s="9"/>
      <c r="D787" s="10"/>
      <c r="E787" s="21"/>
      <c r="F787" s="22"/>
      <c r="G787" s="6"/>
    </row>
    <row r="788" spans="1:7" x14ac:dyDescent="0.35">
      <c r="A788" s="13" t="s">
        <v>260</v>
      </c>
      <c r="B788" s="8"/>
      <c r="C788" s="9"/>
      <c r="D788" s="10"/>
      <c r="E788" s="21"/>
      <c r="F788" s="22"/>
      <c r="G788" s="6"/>
    </row>
    <row r="789" spans="1:7" x14ac:dyDescent="0.35">
      <c r="A789" s="13" t="s">
        <v>261</v>
      </c>
      <c r="B789" s="8"/>
      <c r="C789" s="9"/>
      <c r="D789" s="10"/>
      <c r="E789" s="21"/>
      <c r="F789" s="22"/>
      <c r="G789" s="6"/>
    </row>
    <row r="790" spans="1:7" x14ac:dyDescent="0.35">
      <c r="A790" s="13" t="s">
        <v>262</v>
      </c>
      <c r="B790" s="8"/>
      <c r="C790" s="9"/>
      <c r="D790" s="10"/>
      <c r="E790" s="21"/>
      <c r="F790" s="22"/>
      <c r="G790" s="6"/>
    </row>
    <row r="791" spans="1:7" x14ac:dyDescent="0.35">
      <c r="A791" s="13" t="s">
        <v>263</v>
      </c>
      <c r="B791" s="8"/>
      <c r="C791" s="9"/>
      <c r="D791" s="10"/>
      <c r="E791" s="21"/>
      <c r="F791" s="22"/>
      <c r="G791" s="6"/>
    </row>
    <row r="792" spans="1:7" x14ac:dyDescent="0.35">
      <c r="A792" s="13" t="s">
        <v>264</v>
      </c>
      <c r="B792" s="8"/>
      <c r="C792" s="9"/>
      <c r="D792" s="10"/>
      <c r="E792" s="21"/>
      <c r="F792" s="22"/>
      <c r="G792" s="6"/>
    </row>
    <row r="793" spans="1:7" x14ac:dyDescent="0.35">
      <c r="A793" s="13" t="s">
        <v>265</v>
      </c>
      <c r="B793" s="8"/>
      <c r="C793" s="9"/>
      <c r="D793" s="10"/>
      <c r="E793" s="21"/>
      <c r="F793" s="22"/>
      <c r="G793" s="6"/>
    </row>
    <row r="794" spans="1:7" x14ac:dyDescent="0.35">
      <c r="A794" s="13" t="s">
        <v>266</v>
      </c>
      <c r="B794" s="8"/>
      <c r="C794" s="9"/>
      <c r="D794" s="10"/>
      <c r="E794" s="21"/>
      <c r="F794" s="22"/>
      <c r="G794" s="6"/>
    </row>
    <row r="795" spans="1:7" x14ac:dyDescent="0.35">
      <c r="A795" s="13" t="s">
        <v>267</v>
      </c>
      <c r="B795" s="8"/>
      <c r="C795" s="9"/>
      <c r="D795" s="10"/>
      <c r="E795" s="21"/>
      <c r="F795" s="22"/>
      <c r="G795" s="6"/>
    </row>
    <row r="796" spans="1:7" x14ac:dyDescent="0.35">
      <c r="A796" s="13" t="s">
        <v>268</v>
      </c>
      <c r="B796" s="8"/>
      <c r="C796" s="9"/>
      <c r="D796" s="10"/>
      <c r="E796" s="21"/>
      <c r="F796" s="22"/>
      <c r="G796" s="6"/>
    </row>
    <row r="797" spans="1:7" x14ac:dyDescent="0.35">
      <c r="A797" s="13" t="s">
        <v>269</v>
      </c>
      <c r="B797" s="8"/>
      <c r="C797" s="9"/>
      <c r="D797" s="10"/>
      <c r="E797" s="21"/>
      <c r="F797" s="22"/>
      <c r="G797" s="6"/>
    </row>
    <row r="798" spans="1:7" x14ac:dyDescent="0.35">
      <c r="A798" s="13" t="s">
        <v>270</v>
      </c>
      <c r="B798" s="8"/>
      <c r="C798" s="9"/>
      <c r="D798" s="10"/>
      <c r="E798" s="21"/>
      <c r="F798" s="22"/>
      <c r="G798" s="6"/>
    </row>
    <row r="799" spans="1:7" x14ac:dyDescent="0.35">
      <c r="A799" s="13" t="s">
        <v>271</v>
      </c>
      <c r="B799" s="8"/>
      <c r="C799" s="9"/>
      <c r="D799" s="10"/>
      <c r="E799" s="21"/>
      <c r="F799" s="22"/>
      <c r="G799" s="6"/>
    </row>
    <row r="800" spans="1:7" x14ac:dyDescent="0.35">
      <c r="A800" s="2"/>
      <c r="B800" s="2"/>
      <c r="C800" s="2"/>
      <c r="D800" s="2"/>
      <c r="E800" s="2"/>
      <c r="F800" s="2"/>
      <c r="G800" s="2"/>
    </row>
    <row r="801" spans="1:7" x14ac:dyDescent="0.35">
      <c r="A801" s="13" t="s">
        <v>31</v>
      </c>
      <c r="B801" s="15" t="s">
        <v>0</v>
      </c>
      <c r="C801" s="16" t="s">
        <v>1</v>
      </c>
      <c r="D801" s="17" t="s">
        <v>2</v>
      </c>
      <c r="E801" s="24" t="s">
        <v>3</v>
      </c>
      <c r="F801" s="23" t="s">
        <v>4</v>
      </c>
      <c r="G801" s="18" t="s">
        <v>5</v>
      </c>
    </row>
    <row r="802" spans="1:7" x14ac:dyDescent="0.35">
      <c r="A802" s="13" t="s">
        <v>242</v>
      </c>
      <c r="B802" s="8"/>
      <c r="C802" s="9"/>
      <c r="D802" s="10"/>
      <c r="E802" s="21"/>
      <c r="F802" s="22"/>
      <c r="G802" s="6"/>
    </row>
    <row r="803" spans="1:7" x14ac:dyDescent="0.35">
      <c r="A803" s="13" t="s">
        <v>243</v>
      </c>
      <c r="B803" s="8"/>
      <c r="C803" s="9"/>
      <c r="D803" s="10"/>
      <c r="E803" s="21"/>
      <c r="F803" s="22"/>
      <c r="G803" s="6"/>
    </row>
    <row r="804" spans="1:7" x14ac:dyDescent="0.35">
      <c r="A804" s="13" t="s">
        <v>244</v>
      </c>
      <c r="B804" s="8"/>
      <c r="C804" s="9"/>
      <c r="D804" s="10"/>
      <c r="E804" s="21"/>
      <c r="F804" s="22"/>
      <c r="G804" s="6"/>
    </row>
    <row r="805" spans="1:7" x14ac:dyDescent="0.35">
      <c r="A805" s="13" t="s">
        <v>245</v>
      </c>
      <c r="B805" s="8"/>
      <c r="C805" s="9"/>
      <c r="D805" s="10"/>
      <c r="E805" s="21"/>
      <c r="F805" s="22"/>
      <c r="G805" s="6"/>
    </row>
    <row r="806" spans="1:7" x14ac:dyDescent="0.35">
      <c r="A806" s="13" t="s">
        <v>246</v>
      </c>
      <c r="B806" s="8"/>
      <c r="C806" s="9"/>
      <c r="D806" s="10"/>
      <c r="E806" s="21"/>
      <c r="F806" s="22"/>
      <c r="G806" s="6"/>
    </row>
    <row r="807" spans="1:7" x14ac:dyDescent="0.35">
      <c r="A807" s="13" t="s">
        <v>247</v>
      </c>
      <c r="B807" s="8"/>
      <c r="C807" s="9"/>
      <c r="D807" s="10"/>
      <c r="E807" s="21"/>
      <c r="F807" s="22"/>
      <c r="G807" s="6"/>
    </row>
    <row r="808" spans="1:7" x14ac:dyDescent="0.35">
      <c r="A808" s="13" t="s">
        <v>248</v>
      </c>
      <c r="B808" s="8"/>
      <c r="C808" s="9"/>
      <c r="D808" s="10"/>
      <c r="E808" s="21"/>
      <c r="F808" s="22"/>
      <c r="G808" s="6"/>
    </row>
    <row r="809" spans="1:7" x14ac:dyDescent="0.35">
      <c r="A809" s="13" t="s">
        <v>249</v>
      </c>
      <c r="B809" s="8"/>
      <c r="C809" s="9"/>
      <c r="D809" s="10"/>
      <c r="E809" s="21"/>
      <c r="F809" s="22"/>
      <c r="G809" s="6"/>
    </row>
    <row r="810" spans="1:7" x14ac:dyDescent="0.35">
      <c r="A810" s="13" t="s">
        <v>250</v>
      </c>
      <c r="B810" s="8"/>
      <c r="C810" s="9"/>
      <c r="D810" s="10"/>
      <c r="E810" s="21"/>
      <c r="F810" s="22"/>
      <c r="G810" s="6"/>
    </row>
    <row r="811" spans="1:7" x14ac:dyDescent="0.35">
      <c r="A811" s="13" t="s">
        <v>251</v>
      </c>
      <c r="B811" s="8"/>
      <c r="C811" s="9"/>
      <c r="D811" s="10"/>
      <c r="E811" s="21"/>
      <c r="F811" s="22"/>
      <c r="G811" s="6"/>
    </row>
    <row r="812" spans="1:7" x14ac:dyDescent="0.35">
      <c r="A812" s="13" t="s">
        <v>252</v>
      </c>
      <c r="B812" s="8"/>
      <c r="C812" s="9"/>
      <c r="D812" s="10"/>
      <c r="E812" s="21"/>
      <c r="F812" s="22"/>
      <c r="G812" s="6"/>
    </row>
    <row r="813" spans="1:7" x14ac:dyDescent="0.35">
      <c r="A813" s="13" t="s">
        <v>253</v>
      </c>
      <c r="B813" s="8"/>
      <c r="C813" s="9"/>
      <c r="D813" s="10"/>
      <c r="E813" s="21"/>
      <c r="F813" s="22"/>
      <c r="G813" s="6"/>
    </row>
    <row r="814" spans="1:7" x14ac:dyDescent="0.35">
      <c r="A814" s="13" t="s">
        <v>254</v>
      </c>
      <c r="B814" s="8"/>
      <c r="C814" s="9"/>
      <c r="D814" s="10"/>
      <c r="E814" s="21"/>
      <c r="F814" s="22"/>
      <c r="G814" s="6"/>
    </row>
    <row r="815" spans="1:7" x14ac:dyDescent="0.35">
      <c r="A815" s="13" t="s">
        <v>255</v>
      </c>
      <c r="B815" s="8"/>
      <c r="C815" s="9"/>
      <c r="D815" s="10"/>
      <c r="E815" s="21"/>
      <c r="F815" s="22"/>
      <c r="G815" s="6"/>
    </row>
    <row r="816" spans="1:7" x14ac:dyDescent="0.35">
      <c r="A816" s="13" t="s">
        <v>256</v>
      </c>
      <c r="B816" s="8"/>
      <c r="C816" s="9"/>
      <c r="D816" s="10"/>
      <c r="E816" s="21"/>
      <c r="F816" s="22"/>
      <c r="G816" s="6"/>
    </row>
    <row r="817" spans="1:7" x14ac:dyDescent="0.35">
      <c r="A817" s="13" t="s">
        <v>257</v>
      </c>
      <c r="B817" s="8"/>
      <c r="C817" s="9"/>
      <c r="D817" s="10"/>
      <c r="E817" s="21"/>
      <c r="F817" s="22"/>
      <c r="G817" s="6"/>
    </row>
    <row r="818" spans="1:7" x14ac:dyDescent="0.35">
      <c r="A818" s="13" t="s">
        <v>258</v>
      </c>
      <c r="B818" s="8"/>
      <c r="C818" s="9"/>
      <c r="D818" s="10"/>
      <c r="E818" s="21"/>
      <c r="F818" s="22"/>
      <c r="G818" s="6"/>
    </row>
    <row r="819" spans="1:7" x14ac:dyDescent="0.35">
      <c r="A819" s="13" t="s">
        <v>259</v>
      </c>
      <c r="B819" s="8"/>
      <c r="C819" s="9"/>
      <c r="D819" s="10"/>
      <c r="E819" s="21"/>
      <c r="F819" s="22"/>
      <c r="G819" s="6"/>
    </row>
    <row r="820" spans="1:7" x14ac:dyDescent="0.35">
      <c r="A820" s="13" t="s">
        <v>260</v>
      </c>
      <c r="B820" s="8"/>
      <c r="C820" s="9"/>
      <c r="D820" s="10"/>
      <c r="E820" s="21"/>
      <c r="F820" s="22"/>
      <c r="G820" s="6"/>
    </row>
    <row r="821" spans="1:7" x14ac:dyDescent="0.35">
      <c r="A821" s="13" t="s">
        <v>261</v>
      </c>
      <c r="B821" s="8"/>
      <c r="C821" s="9"/>
      <c r="D821" s="10"/>
      <c r="E821" s="21"/>
      <c r="F821" s="22"/>
      <c r="G821" s="6"/>
    </row>
    <row r="822" spans="1:7" x14ac:dyDescent="0.35">
      <c r="A822" s="13" t="s">
        <v>262</v>
      </c>
      <c r="B822" s="8"/>
      <c r="C822" s="9"/>
      <c r="D822" s="10"/>
      <c r="E822" s="21"/>
      <c r="F822" s="22"/>
      <c r="G822" s="6"/>
    </row>
    <row r="823" spans="1:7" x14ac:dyDescent="0.35">
      <c r="A823" s="13" t="s">
        <v>263</v>
      </c>
      <c r="B823" s="8"/>
      <c r="C823" s="9"/>
      <c r="D823" s="10"/>
      <c r="E823" s="21"/>
      <c r="F823" s="22"/>
      <c r="G823" s="6"/>
    </row>
    <row r="824" spans="1:7" x14ac:dyDescent="0.35">
      <c r="A824" s="13" t="s">
        <v>264</v>
      </c>
      <c r="B824" s="8"/>
      <c r="C824" s="9"/>
      <c r="D824" s="10"/>
      <c r="E824" s="21"/>
      <c r="F824" s="22"/>
      <c r="G824" s="6"/>
    </row>
    <row r="825" spans="1:7" x14ac:dyDescent="0.35">
      <c r="A825" s="13" t="s">
        <v>265</v>
      </c>
      <c r="B825" s="8"/>
      <c r="C825" s="9"/>
      <c r="D825" s="10"/>
      <c r="E825" s="21"/>
      <c r="F825" s="22"/>
      <c r="G825" s="6"/>
    </row>
    <row r="826" spans="1:7" x14ac:dyDescent="0.35">
      <c r="A826" s="13" t="s">
        <v>266</v>
      </c>
      <c r="B826" s="8"/>
      <c r="C826" s="9"/>
      <c r="D826" s="10"/>
      <c r="E826" s="21"/>
      <c r="F826" s="22"/>
      <c r="G826" s="6"/>
    </row>
    <row r="827" spans="1:7" x14ac:dyDescent="0.35">
      <c r="A827" s="13" t="s">
        <v>267</v>
      </c>
      <c r="B827" s="8"/>
      <c r="C827" s="9"/>
      <c r="D827" s="10"/>
      <c r="E827" s="21"/>
      <c r="F827" s="22"/>
      <c r="G827" s="6"/>
    </row>
    <row r="828" spans="1:7" x14ac:dyDescent="0.35">
      <c r="A828" s="13" t="s">
        <v>268</v>
      </c>
      <c r="B828" s="8"/>
      <c r="C828" s="9"/>
      <c r="D828" s="10"/>
      <c r="E828" s="21"/>
      <c r="F828" s="22"/>
      <c r="G828" s="6"/>
    </row>
    <row r="829" spans="1:7" x14ac:dyDescent="0.35">
      <c r="A829" s="13" t="s">
        <v>269</v>
      </c>
      <c r="B829" s="8"/>
      <c r="C829" s="9"/>
      <c r="D829" s="10"/>
      <c r="E829" s="21"/>
      <c r="F829" s="22"/>
      <c r="G829" s="6"/>
    </row>
    <row r="830" spans="1:7" x14ac:dyDescent="0.35">
      <c r="A830" s="13" t="s">
        <v>270</v>
      </c>
      <c r="B830" s="8"/>
      <c r="C830" s="9"/>
      <c r="D830" s="10"/>
      <c r="E830" s="21"/>
      <c r="F830" s="22"/>
      <c r="G830" s="6"/>
    </row>
    <row r="831" spans="1:7" x14ac:dyDescent="0.35">
      <c r="A831" s="13" t="s">
        <v>271</v>
      </c>
      <c r="B831" s="8"/>
      <c r="C831" s="9"/>
      <c r="D831" s="10"/>
      <c r="E831" s="21"/>
      <c r="F831" s="22"/>
      <c r="G831" s="6"/>
    </row>
    <row r="832" spans="1:7" x14ac:dyDescent="0.35">
      <c r="A832" s="2"/>
      <c r="B832" s="2"/>
      <c r="C832" s="2"/>
      <c r="D832" s="2"/>
      <c r="E832" s="2"/>
      <c r="F832" s="2"/>
      <c r="G832" s="2"/>
    </row>
    <row r="833" spans="1:7" x14ac:dyDescent="0.35">
      <c r="A833" s="13" t="s">
        <v>32</v>
      </c>
      <c r="B833" s="15" t="s">
        <v>0</v>
      </c>
      <c r="C833" s="16" t="s">
        <v>1</v>
      </c>
      <c r="D833" s="17" t="s">
        <v>2</v>
      </c>
      <c r="E833" s="24" t="s">
        <v>3</v>
      </c>
      <c r="F833" s="23" t="s">
        <v>4</v>
      </c>
      <c r="G833" s="18" t="s">
        <v>5</v>
      </c>
    </row>
    <row r="834" spans="1:7" x14ac:dyDescent="0.35">
      <c r="A834" s="13" t="s">
        <v>242</v>
      </c>
      <c r="B834" s="8"/>
      <c r="C834" s="9"/>
      <c r="D834" s="10"/>
      <c r="E834" s="21"/>
      <c r="F834" s="22"/>
      <c r="G834" s="6"/>
    </row>
    <row r="835" spans="1:7" x14ac:dyDescent="0.35">
      <c r="A835" s="13" t="s">
        <v>243</v>
      </c>
      <c r="B835" s="8"/>
      <c r="C835" s="9"/>
      <c r="D835" s="10"/>
      <c r="E835" s="21"/>
      <c r="F835" s="22"/>
      <c r="G835" s="6"/>
    </row>
    <row r="836" spans="1:7" x14ac:dyDescent="0.35">
      <c r="A836" s="13" t="s">
        <v>244</v>
      </c>
      <c r="B836" s="8"/>
      <c r="C836" s="9"/>
      <c r="D836" s="10"/>
      <c r="E836" s="21"/>
      <c r="F836" s="22"/>
      <c r="G836" s="6"/>
    </row>
    <row r="837" spans="1:7" x14ac:dyDescent="0.35">
      <c r="A837" s="13" t="s">
        <v>245</v>
      </c>
      <c r="B837" s="8"/>
      <c r="C837" s="9"/>
      <c r="D837" s="10"/>
      <c r="E837" s="21"/>
      <c r="F837" s="22"/>
      <c r="G837" s="6"/>
    </row>
    <row r="838" spans="1:7" x14ac:dyDescent="0.35">
      <c r="A838" s="13" t="s">
        <v>246</v>
      </c>
      <c r="B838" s="8"/>
      <c r="C838" s="9"/>
      <c r="D838" s="10"/>
      <c r="E838" s="21"/>
      <c r="F838" s="22"/>
      <c r="G838" s="6"/>
    </row>
    <row r="839" spans="1:7" x14ac:dyDescent="0.35">
      <c r="A839" s="13" t="s">
        <v>247</v>
      </c>
      <c r="B839" s="8"/>
      <c r="C839" s="9"/>
      <c r="D839" s="10"/>
      <c r="E839" s="21"/>
      <c r="F839" s="22"/>
      <c r="G839" s="6"/>
    </row>
    <row r="840" spans="1:7" x14ac:dyDescent="0.35">
      <c r="A840" s="13" t="s">
        <v>248</v>
      </c>
      <c r="B840" s="8"/>
      <c r="C840" s="9"/>
      <c r="D840" s="10"/>
      <c r="E840" s="21"/>
      <c r="F840" s="22"/>
      <c r="G840" s="6"/>
    </row>
    <row r="841" spans="1:7" x14ac:dyDescent="0.35">
      <c r="A841" s="13" t="s">
        <v>249</v>
      </c>
      <c r="B841" s="8"/>
      <c r="C841" s="9"/>
      <c r="D841" s="10"/>
      <c r="E841" s="21"/>
      <c r="F841" s="22"/>
      <c r="G841" s="6"/>
    </row>
    <row r="842" spans="1:7" x14ac:dyDescent="0.35">
      <c r="A842" s="13" t="s">
        <v>250</v>
      </c>
      <c r="B842" s="8"/>
      <c r="C842" s="9"/>
      <c r="D842" s="10"/>
      <c r="E842" s="21"/>
      <c r="F842" s="22"/>
      <c r="G842" s="6"/>
    </row>
    <row r="843" spans="1:7" x14ac:dyDescent="0.35">
      <c r="A843" s="13" t="s">
        <v>251</v>
      </c>
      <c r="B843" s="8"/>
      <c r="C843" s="9"/>
      <c r="D843" s="10"/>
      <c r="E843" s="21"/>
      <c r="F843" s="22"/>
      <c r="G843" s="6"/>
    </row>
    <row r="844" spans="1:7" x14ac:dyDescent="0.35">
      <c r="A844" s="13" t="s">
        <v>252</v>
      </c>
      <c r="B844" s="8"/>
      <c r="C844" s="9"/>
      <c r="D844" s="10"/>
      <c r="E844" s="21"/>
      <c r="F844" s="22"/>
      <c r="G844" s="6"/>
    </row>
    <row r="845" spans="1:7" x14ac:dyDescent="0.35">
      <c r="A845" s="13" t="s">
        <v>253</v>
      </c>
      <c r="B845" s="8"/>
      <c r="C845" s="9"/>
      <c r="D845" s="10"/>
      <c r="E845" s="21"/>
      <c r="F845" s="22"/>
      <c r="G845" s="6"/>
    </row>
    <row r="846" spans="1:7" x14ac:dyDescent="0.35">
      <c r="A846" s="13" t="s">
        <v>254</v>
      </c>
      <c r="B846" s="8"/>
      <c r="C846" s="9"/>
      <c r="D846" s="10"/>
      <c r="E846" s="21"/>
      <c r="F846" s="22"/>
      <c r="G846" s="6"/>
    </row>
    <row r="847" spans="1:7" x14ac:dyDescent="0.35">
      <c r="A847" s="13" t="s">
        <v>255</v>
      </c>
      <c r="B847" s="8"/>
      <c r="C847" s="9"/>
      <c r="D847" s="10"/>
      <c r="E847" s="21"/>
      <c r="F847" s="22"/>
      <c r="G847" s="6"/>
    </row>
    <row r="848" spans="1:7" x14ac:dyDescent="0.35">
      <c r="A848" s="13" t="s">
        <v>256</v>
      </c>
      <c r="B848" s="8"/>
      <c r="C848" s="9"/>
      <c r="D848" s="10"/>
      <c r="E848" s="21"/>
      <c r="F848" s="22"/>
      <c r="G848" s="6"/>
    </row>
    <row r="849" spans="1:7" x14ac:dyDescent="0.35">
      <c r="A849" s="13" t="s">
        <v>257</v>
      </c>
      <c r="B849" s="8"/>
      <c r="C849" s="9"/>
      <c r="D849" s="10"/>
      <c r="E849" s="21"/>
      <c r="F849" s="22"/>
      <c r="G849" s="6"/>
    </row>
    <row r="850" spans="1:7" x14ac:dyDescent="0.35">
      <c r="A850" s="13" t="s">
        <v>258</v>
      </c>
      <c r="B850" s="8"/>
      <c r="C850" s="9"/>
      <c r="D850" s="10"/>
      <c r="E850" s="21"/>
      <c r="F850" s="22"/>
      <c r="G850" s="6"/>
    </row>
    <row r="851" spans="1:7" x14ac:dyDescent="0.35">
      <c r="A851" s="13" t="s">
        <v>259</v>
      </c>
      <c r="B851" s="8"/>
      <c r="C851" s="9"/>
      <c r="D851" s="10"/>
      <c r="E851" s="21"/>
      <c r="F851" s="22"/>
      <c r="G851" s="6"/>
    </row>
    <row r="852" spans="1:7" x14ac:dyDescent="0.35">
      <c r="A852" s="13" t="s">
        <v>260</v>
      </c>
      <c r="B852" s="8"/>
      <c r="C852" s="9"/>
      <c r="D852" s="10"/>
      <c r="E852" s="21"/>
      <c r="F852" s="22"/>
      <c r="G852" s="6"/>
    </row>
    <row r="853" spans="1:7" x14ac:dyDescent="0.35">
      <c r="A853" s="13" t="s">
        <v>261</v>
      </c>
      <c r="B853" s="8"/>
      <c r="C853" s="9"/>
      <c r="D853" s="10"/>
      <c r="E853" s="21"/>
      <c r="F853" s="22"/>
      <c r="G853" s="6"/>
    </row>
    <row r="854" spans="1:7" x14ac:dyDescent="0.35">
      <c r="A854" s="13" t="s">
        <v>262</v>
      </c>
      <c r="B854" s="8"/>
      <c r="C854" s="9"/>
      <c r="D854" s="10"/>
      <c r="E854" s="21"/>
      <c r="F854" s="22"/>
      <c r="G854" s="6"/>
    </row>
    <row r="855" spans="1:7" x14ac:dyDescent="0.35">
      <c r="A855" s="13" t="s">
        <v>263</v>
      </c>
      <c r="B855" s="8"/>
      <c r="C855" s="9"/>
      <c r="D855" s="10"/>
      <c r="E855" s="21"/>
      <c r="F855" s="22"/>
      <c r="G855" s="6"/>
    </row>
    <row r="856" spans="1:7" x14ac:dyDescent="0.35">
      <c r="A856" s="13" t="s">
        <v>264</v>
      </c>
      <c r="B856" s="8"/>
      <c r="C856" s="9"/>
      <c r="D856" s="10"/>
      <c r="E856" s="21"/>
      <c r="F856" s="22"/>
      <c r="G856" s="6"/>
    </row>
    <row r="857" spans="1:7" x14ac:dyDescent="0.35">
      <c r="A857" s="13" t="s">
        <v>265</v>
      </c>
      <c r="B857" s="8"/>
      <c r="C857" s="9"/>
      <c r="D857" s="10"/>
      <c r="E857" s="21"/>
      <c r="F857" s="22"/>
      <c r="G857" s="6"/>
    </row>
    <row r="858" spans="1:7" x14ac:dyDescent="0.35">
      <c r="A858" s="13" t="s">
        <v>266</v>
      </c>
      <c r="B858" s="8"/>
      <c r="C858" s="9"/>
      <c r="D858" s="10"/>
      <c r="E858" s="21"/>
      <c r="F858" s="22"/>
      <c r="G858" s="6"/>
    </row>
    <row r="859" spans="1:7" x14ac:dyDescent="0.35">
      <c r="A859" s="13" t="s">
        <v>267</v>
      </c>
      <c r="B859" s="8"/>
      <c r="C859" s="9"/>
      <c r="D859" s="10"/>
      <c r="E859" s="21"/>
      <c r="F859" s="22"/>
      <c r="G859" s="6"/>
    </row>
    <row r="860" spans="1:7" x14ac:dyDescent="0.35">
      <c r="A860" s="13" t="s">
        <v>268</v>
      </c>
      <c r="B860" s="8"/>
      <c r="C860" s="9"/>
      <c r="D860" s="10"/>
      <c r="E860" s="21"/>
      <c r="F860" s="22"/>
      <c r="G860" s="6"/>
    </row>
    <row r="861" spans="1:7" x14ac:dyDescent="0.35">
      <c r="A861" s="13" t="s">
        <v>269</v>
      </c>
      <c r="B861" s="8"/>
      <c r="C861" s="9"/>
      <c r="D861" s="10"/>
      <c r="E861" s="21"/>
      <c r="F861" s="22"/>
      <c r="G861" s="6"/>
    </row>
    <row r="862" spans="1:7" x14ac:dyDescent="0.35">
      <c r="A862" s="13" t="s">
        <v>270</v>
      </c>
      <c r="B862" s="8"/>
      <c r="C862" s="9"/>
      <c r="D862" s="10"/>
      <c r="E862" s="21"/>
      <c r="F862" s="22"/>
      <c r="G862" s="6"/>
    </row>
    <row r="863" spans="1:7" x14ac:dyDescent="0.35">
      <c r="A863" s="13" t="s">
        <v>271</v>
      </c>
      <c r="B863" s="8"/>
      <c r="C863" s="9"/>
      <c r="D863" s="10"/>
      <c r="E863" s="21"/>
      <c r="F863" s="22"/>
      <c r="G863" s="6"/>
    </row>
    <row r="864" spans="1:7" x14ac:dyDescent="0.35">
      <c r="A864" s="2"/>
      <c r="B864" s="2"/>
      <c r="C864" s="2"/>
      <c r="D864" s="2"/>
      <c r="E864" s="2"/>
      <c r="F864" s="2"/>
      <c r="G864" s="2"/>
    </row>
    <row r="865" spans="1:7" x14ac:dyDescent="0.35">
      <c r="A865" s="13" t="s">
        <v>33</v>
      </c>
      <c r="B865" s="15" t="s">
        <v>0</v>
      </c>
      <c r="C865" s="16" t="s">
        <v>1</v>
      </c>
      <c r="D865" s="17" t="s">
        <v>2</v>
      </c>
      <c r="E865" s="24" t="s">
        <v>3</v>
      </c>
      <c r="F865" s="23" t="s">
        <v>4</v>
      </c>
      <c r="G865" s="18" t="s">
        <v>5</v>
      </c>
    </row>
    <row r="866" spans="1:7" x14ac:dyDescent="0.35">
      <c r="A866" s="13" t="s">
        <v>242</v>
      </c>
      <c r="B866" s="8"/>
      <c r="C866" s="9"/>
      <c r="D866" s="10"/>
      <c r="E866" s="21"/>
      <c r="F866" s="22"/>
      <c r="G866" s="6"/>
    </row>
    <row r="867" spans="1:7" x14ac:dyDescent="0.35">
      <c r="A867" s="13" t="s">
        <v>243</v>
      </c>
      <c r="B867" s="8"/>
      <c r="C867" s="9"/>
      <c r="D867" s="10"/>
      <c r="E867" s="21"/>
      <c r="F867" s="22"/>
      <c r="G867" s="6"/>
    </row>
    <row r="868" spans="1:7" x14ac:dyDescent="0.35">
      <c r="A868" s="13" t="s">
        <v>244</v>
      </c>
      <c r="B868" s="8"/>
      <c r="C868" s="9"/>
      <c r="D868" s="10"/>
      <c r="E868" s="21"/>
      <c r="F868" s="22"/>
      <c r="G868" s="6"/>
    </row>
    <row r="869" spans="1:7" x14ac:dyDescent="0.35">
      <c r="A869" s="13" t="s">
        <v>245</v>
      </c>
      <c r="B869" s="8"/>
      <c r="C869" s="9"/>
      <c r="D869" s="10"/>
      <c r="E869" s="21"/>
      <c r="F869" s="22"/>
      <c r="G869" s="6"/>
    </row>
    <row r="870" spans="1:7" x14ac:dyDescent="0.35">
      <c r="A870" s="13" t="s">
        <v>246</v>
      </c>
      <c r="B870" s="8"/>
      <c r="C870" s="9"/>
      <c r="D870" s="10"/>
      <c r="E870" s="21"/>
      <c r="F870" s="22"/>
      <c r="G870" s="6"/>
    </row>
    <row r="871" spans="1:7" x14ac:dyDescent="0.35">
      <c r="A871" s="13" t="s">
        <v>247</v>
      </c>
      <c r="B871" s="8"/>
      <c r="C871" s="9"/>
      <c r="D871" s="10"/>
      <c r="E871" s="21"/>
      <c r="F871" s="22"/>
      <c r="G871" s="6"/>
    </row>
    <row r="872" spans="1:7" x14ac:dyDescent="0.35">
      <c r="A872" s="13" t="s">
        <v>248</v>
      </c>
      <c r="B872" s="8"/>
      <c r="C872" s="9"/>
      <c r="D872" s="10"/>
      <c r="E872" s="21"/>
      <c r="F872" s="22"/>
      <c r="G872" s="6"/>
    </row>
    <row r="873" spans="1:7" x14ac:dyDescent="0.35">
      <c r="A873" s="13" t="s">
        <v>249</v>
      </c>
      <c r="B873" s="8"/>
      <c r="C873" s="9"/>
      <c r="D873" s="10"/>
      <c r="E873" s="21"/>
      <c r="F873" s="22"/>
      <c r="G873" s="6"/>
    </row>
    <row r="874" spans="1:7" x14ac:dyDescent="0.35">
      <c r="A874" s="13" t="s">
        <v>250</v>
      </c>
      <c r="B874" s="8"/>
      <c r="C874" s="9"/>
      <c r="D874" s="10"/>
      <c r="E874" s="21"/>
      <c r="F874" s="22"/>
      <c r="G874" s="6"/>
    </row>
    <row r="875" spans="1:7" x14ac:dyDescent="0.35">
      <c r="A875" s="13" t="s">
        <v>251</v>
      </c>
      <c r="B875" s="8"/>
      <c r="C875" s="9"/>
      <c r="D875" s="10"/>
      <c r="E875" s="21"/>
      <c r="F875" s="22"/>
      <c r="G875" s="6"/>
    </row>
    <row r="876" spans="1:7" x14ac:dyDescent="0.35">
      <c r="A876" s="13" t="s">
        <v>252</v>
      </c>
      <c r="B876" s="8"/>
      <c r="C876" s="9"/>
      <c r="D876" s="10"/>
      <c r="E876" s="21"/>
      <c r="F876" s="22"/>
      <c r="G876" s="6"/>
    </row>
    <row r="877" spans="1:7" x14ac:dyDescent="0.35">
      <c r="A877" s="13" t="s">
        <v>253</v>
      </c>
      <c r="B877" s="8"/>
      <c r="C877" s="9"/>
      <c r="D877" s="10"/>
      <c r="E877" s="21"/>
      <c r="F877" s="22"/>
      <c r="G877" s="6"/>
    </row>
    <row r="878" spans="1:7" x14ac:dyDescent="0.35">
      <c r="A878" s="13" t="s">
        <v>254</v>
      </c>
      <c r="B878" s="8"/>
      <c r="C878" s="9"/>
      <c r="D878" s="10"/>
      <c r="E878" s="21"/>
      <c r="F878" s="22"/>
      <c r="G878" s="6"/>
    </row>
    <row r="879" spans="1:7" x14ac:dyDescent="0.35">
      <c r="A879" s="13" t="s">
        <v>255</v>
      </c>
      <c r="B879" s="8"/>
      <c r="C879" s="9"/>
      <c r="D879" s="10"/>
      <c r="E879" s="21"/>
      <c r="F879" s="22"/>
      <c r="G879" s="6"/>
    </row>
    <row r="880" spans="1:7" x14ac:dyDescent="0.35">
      <c r="A880" s="13" t="s">
        <v>256</v>
      </c>
      <c r="B880" s="8"/>
      <c r="C880" s="9"/>
      <c r="D880" s="10"/>
      <c r="E880" s="21"/>
      <c r="F880" s="22"/>
      <c r="G880" s="6"/>
    </row>
    <row r="881" spans="1:7" x14ac:dyDescent="0.35">
      <c r="A881" s="13" t="s">
        <v>257</v>
      </c>
      <c r="B881" s="8"/>
      <c r="C881" s="9"/>
      <c r="D881" s="10"/>
      <c r="E881" s="21"/>
      <c r="F881" s="22"/>
      <c r="G881" s="6"/>
    </row>
    <row r="882" spans="1:7" x14ac:dyDescent="0.35">
      <c r="A882" s="13" t="s">
        <v>258</v>
      </c>
      <c r="B882" s="8"/>
      <c r="C882" s="9"/>
      <c r="D882" s="10"/>
      <c r="E882" s="21"/>
      <c r="F882" s="22"/>
      <c r="G882" s="6"/>
    </row>
    <row r="883" spans="1:7" x14ac:dyDescent="0.35">
      <c r="A883" s="13" t="s">
        <v>259</v>
      </c>
      <c r="B883" s="8"/>
      <c r="C883" s="9"/>
      <c r="D883" s="10"/>
      <c r="E883" s="21"/>
      <c r="F883" s="22"/>
      <c r="G883" s="6"/>
    </row>
    <row r="884" spans="1:7" x14ac:dyDescent="0.35">
      <c r="A884" s="13" t="s">
        <v>260</v>
      </c>
      <c r="B884" s="8"/>
      <c r="C884" s="9"/>
      <c r="D884" s="10"/>
      <c r="E884" s="21"/>
      <c r="F884" s="22"/>
      <c r="G884" s="6"/>
    </row>
    <row r="885" spans="1:7" x14ac:dyDescent="0.35">
      <c r="A885" s="13" t="s">
        <v>261</v>
      </c>
      <c r="B885" s="8"/>
      <c r="C885" s="9"/>
      <c r="D885" s="10"/>
      <c r="E885" s="21"/>
      <c r="F885" s="22"/>
      <c r="G885" s="6"/>
    </row>
    <row r="886" spans="1:7" x14ac:dyDescent="0.35">
      <c r="A886" s="13" t="s">
        <v>262</v>
      </c>
      <c r="B886" s="8"/>
      <c r="C886" s="9"/>
      <c r="D886" s="10"/>
      <c r="E886" s="21"/>
      <c r="F886" s="22"/>
      <c r="G886" s="6"/>
    </row>
    <row r="887" spans="1:7" x14ac:dyDescent="0.35">
      <c r="A887" s="13" t="s">
        <v>263</v>
      </c>
      <c r="B887" s="8"/>
      <c r="C887" s="9"/>
      <c r="D887" s="10"/>
      <c r="E887" s="21"/>
      <c r="F887" s="22"/>
      <c r="G887" s="6"/>
    </row>
    <row r="888" spans="1:7" x14ac:dyDescent="0.35">
      <c r="A888" s="13" t="s">
        <v>264</v>
      </c>
      <c r="B888" s="8"/>
      <c r="C888" s="9"/>
      <c r="D888" s="10"/>
      <c r="E888" s="21"/>
      <c r="F888" s="22"/>
      <c r="G888" s="6"/>
    </row>
    <row r="889" spans="1:7" x14ac:dyDescent="0.35">
      <c r="A889" s="13" t="s">
        <v>265</v>
      </c>
      <c r="B889" s="8"/>
      <c r="C889" s="9"/>
      <c r="D889" s="10"/>
      <c r="E889" s="21"/>
      <c r="F889" s="22"/>
      <c r="G889" s="6"/>
    </row>
    <row r="890" spans="1:7" x14ac:dyDescent="0.35">
      <c r="A890" s="13" t="s">
        <v>266</v>
      </c>
      <c r="B890" s="8"/>
      <c r="C890" s="9"/>
      <c r="D890" s="10"/>
      <c r="E890" s="21"/>
      <c r="F890" s="22"/>
      <c r="G890" s="6"/>
    </row>
    <row r="891" spans="1:7" x14ac:dyDescent="0.35">
      <c r="A891" s="13" t="s">
        <v>267</v>
      </c>
      <c r="B891" s="8"/>
      <c r="C891" s="9"/>
      <c r="D891" s="10"/>
      <c r="E891" s="21"/>
      <c r="F891" s="22"/>
      <c r="G891" s="6"/>
    </row>
    <row r="892" spans="1:7" x14ac:dyDescent="0.35">
      <c r="A892" s="13" t="s">
        <v>268</v>
      </c>
      <c r="B892" s="8"/>
      <c r="C892" s="9"/>
      <c r="D892" s="10"/>
      <c r="E892" s="21"/>
      <c r="F892" s="22"/>
      <c r="G892" s="6"/>
    </row>
    <row r="893" spans="1:7" x14ac:dyDescent="0.35">
      <c r="A893" s="13" t="s">
        <v>269</v>
      </c>
      <c r="B893" s="8"/>
      <c r="C893" s="9"/>
      <c r="D893" s="10"/>
      <c r="E893" s="21"/>
      <c r="F893" s="22"/>
      <c r="G893" s="6"/>
    </row>
    <row r="894" spans="1:7" x14ac:dyDescent="0.35">
      <c r="A894" s="13" t="s">
        <v>270</v>
      </c>
      <c r="B894" s="8"/>
      <c r="C894" s="9"/>
      <c r="D894" s="10"/>
      <c r="E894" s="21"/>
      <c r="F894" s="22"/>
      <c r="G894" s="6"/>
    </row>
    <row r="895" spans="1:7" x14ac:dyDescent="0.35">
      <c r="A895" s="13" t="s">
        <v>271</v>
      </c>
      <c r="B895" s="8"/>
      <c r="C895" s="9"/>
      <c r="D895" s="10"/>
      <c r="E895" s="21"/>
      <c r="F895" s="22"/>
      <c r="G895" s="6"/>
    </row>
    <row r="896" spans="1:7" x14ac:dyDescent="0.35">
      <c r="A896" s="2"/>
      <c r="B896" s="2"/>
      <c r="C896" s="2"/>
      <c r="D896" s="2"/>
      <c r="E896" s="2"/>
      <c r="F896" s="2"/>
      <c r="G896" s="2"/>
    </row>
    <row r="897" spans="1:7" x14ac:dyDescent="0.35">
      <c r="A897" s="13" t="s">
        <v>34</v>
      </c>
      <c r="B897" s="15" t="s">
        <v>0</v>
      </c>
      <c r="C897" s="16" t="s">
        <v>1</v>
      </c>
      <c r="D897" s="17" t="s">
        <v>2</v>
      </c>
      <c r="E897" s="24" t="s">
        <v>3</v>
      </c>
      <c r="F897" s="23" t="s">
        <v>4</v>
      </c>
      <c r="G897" s="18" t="s">
        <v>5</v>
      </c>
    </row>
    <row r="898" spans="1:7" x14ac:dyDescent="0.35">
      <c r="A898" s="13" t="s">
        <v>242</v>
      </c>
      <c r="B898" s="8"/>
      <c r="C898" s="9"/>
      <c r="D898" s="10"/>
      <c r="E898" s="21"/>
      <c r="F898" s="22"/>
      <c r="G898" s="6"/>
    </row>
    <row r="899" spans="1:7" x14ac:dyDescent="0.35">
      <c r="A899" s="13" t="s">
        <v>243</v>
      </c>
      <c r="B899" s="8"/>
      <c r="C899" s="9"/>
      <c r="D899" s="10"/>
      <c r="E899" s="21"/>
      <c r="F899" s="22"/>
      <c r="G899" s="6"/>
    </row>
    <row r="900" spans="1:7" x14ac:dyDescent="0.35">
      <c r="A900" s="13" t="s">
        <v>244</v>
      </c>
      <c r="B900" s="8"/>
      <c r="C900" s="9"/>
      <c r="D900" s="10"/>
      <c r="E900" s="21"/>
      <c r="F900" s="22"/>
      <c r="G900" s="6"/>
    </row>
    <row r="901" spans="1:7" x14ac:dyDescent="0.35">
      <c r="A901" s="13" t="s">
        <v>245</v>
      </c>
      <c r="B901" s="8"/>
      <c r="C901" s="9"/>
      <c r="D901" s="10"/>
      <c r="E901" s="21"/>
      <c r="F901" s="22"/>
      <c r="G901" s="6"/>
    </row>
    <row r="902" spans="1:7" x14ac:dyDescent="0.35">
      <c r="A902" s="13" t="s">
        <v>246</v>
      </c>
      <c r="B902" s="8"/>
      <c r="C902" s="9"/>
      <c r="D902" s="10"/>
      <c r="E902" s="21"/>
      <c r="F902" s="22"/>
      <c r="G902" s="6"/>
    </row>
    <row r="903" spans="1:7" x14ac:dyDescent="0.35">
      <c r="A903" s="13" t="s">
        <v>247</v>
      </c>
      <c r="B903" s="8"/>
      <c r="C903" s="9"/>
      <c r="D903" s="10"/>
      <c r="E903" s="21"/>
      <c r="F903" s="22"/>
      <c r="G903" s="6"/>
    </row>
    <row r="904" spans="1:7" x14ac:dyDescent="0.35">
      <c r="A904" s="13" t="s">
        <v>248</v>
      </c>
      <c r="B904" s="8"/>
      <c r="C904" s="9"/>
      <c r="D904" s="10"/>
      <c r="E904" s="21"/>
      <c r="F904" s="22"/>
      <c r="G904" s="6"/>
    </row>
    <row r="905" spans="1:7" x14ac:dyDescent="0.35">
      <c r="A905" s="13" t="s">
        <v>249</v>
      </c>
      <c r="B905" s="8"/>
      <c r="C905" s="9"/>
      <c r="D905" s="10"/>
      <c r="E905" s="21"/>
      <c r="F905" s="22"/>
      <c r="G905" s="6"/>
    </row>
    <row r="906" spans="1:7" x14ac:dyDescent="0.35">
      <c r="A906" s="13" t="s">
        <v>250</v>
      </c>
      <c r="B906" s="8"/>
      <c r="C906" s="9"/>
      <c r="D906" s="10"/>
      <c r="E906" s="21"/>
      <c r="F906" s="22"/>
      <c r="G906" s="6"/>
    </row>
    <row r="907" spans="1:7" x14ac:dyDescent="0.35">
      <c r="A907" s="13" t="s">
        <v>251</v>
      </c>
      <c r="B907" s="8"/>
      <c r="C907" s="9"/>
      <c r="D907" s="10"/>
      <c r="E907" s="21"/>
      <c r="F907" s="22"/>
      <c r="G907" s="6"/>
    </row>
    <row r="908" spans="1:7" x14ac:dyDescent="0.35">
      <c r="A908" s="13" t="s">
        <v>252</v>
      </c>
      <c r="B908" s="8"/>
      <c r="C908" s="9"/>
      <c r="D908" s="10"/>
      <c r="E908" s="21"/>
      <c r="F908" s="22"/>
      <c r="G908" s="6"/>
    </row>
    <row r="909" spans="1:7" x14ac:dyDescent="0.35">
      <c r="A909" s="13" t="s">
        <v>253</v>
      </c>
      <c r="B909" s="8"/>
      <c r="C909" s="9"/>
      <c r="D909" s="10"/>
      <c r="E909" s="21"/>
      <c r="F909" s="22"/>
      <c r="G909" s="6"/>
    </row>
    <row r="910" spans="1:7" x14ac:dyDescent="0.35">
      <c r="A910" s="13" t="s">
        <v>254</v>
      </c>
      <c r="B910" s="8"/>
      <c r="C910" s="9"/>
      <c r="D910" s="10"/>
      <c r="E910" s="21"/>
      <c r="F910" s="22"/>
      <c r="G910" s="6"/>
    </row>
    <row r="911" spans="1:7" x14ac:dyDescent="0.35">
      <c r="A911" s="13" t="s">
        <v>255</v>
      </c>
      <c r="B911" s="8"/>
      <c r="C911" s="9"/>
      <c r="D911" s="10"/>
      <c r="E911" s="21"/>
      <c r="F911" s="22"/>
      <c r="G911" s="6"/>
    </row>
    <row r="912" spans="1:7" x14ac:dyDescent="0.35">
      <c r="A912" s="13" t="s">
        <v>256</v>
      </c>
      <c r="B912" s="8"/>
      <c r="C912" s="9"/>
      <c r="D912" s="10"/>
      <c r="E912" s="21"/>
      <c r="F912" s="22"/>
      <c r="G912" s="6"/>
    </row>
    <row r="913" spans="1:7" x14ac:dyDescent="0.35">
      <c r="A913" s="13" t="s">
        <v>257</v>
      </c>
      <c r="B913" s="8"/>
      <c r="C913" s="9"/>
      <c r="D913" s="10"/>
      <c r="E913" s="21"/>
      <c r="F913" s="22"/>
      <c r="G913" s="6"/>
    </row>
    <row r="914" spans="1:7" x14ac:dyDescent="0.35">
      <c r="A914" s="13" t="s">
        <v>258</v>
      </c>
      <c r="B914" s="8"/>
      <c r="C914" s="9"/>
      <c r="D914" s="10"/>
      <c r="E914" s="21"/>
      <c r="F914" s="22"/>
      <c r="G914" s="6"/>
    </row>
    <row r="915" spans="1:7" x14ac:dyDescent="0.35">
      <c r="A915" s="13" t="s">
        <v>259</v>
      </c>
      <c r="B915" s="8"/>
      <c r="C915" s="9"/>
      <c r="D915" s="10"/>
      <c r="E915" s="21"/>
      <c r="F915" s="22"/>
      <c r="G915" s="6"/>
    </row>
    <row r="916" spans="1:7" x14ac:dyDescent="0.35">
      <c r="A916" s="13" t="s">
        <v>260</v>
      </c>
      <c r="B916" s="8"/>
      <c r="C916" s="9"/>
      <c r="D916" s="10"/>
      <c r="E916" s="21"/>
      <c r="F916" s="22"/>
      <c r="G916" s="6"/>
    </row>
    <row r="917" spans="1:7" x14ac:dyDescent="0.35">
      <c r="A917" s="13" t="s">
        <v>261</v>
      </c>
      <c r="B917" s="8"/>
      <c r="C917" s="9"/>
      <c r="D917" s="10"/>
      <c r="E917" s="21"/>
      <c r="F917" s="22"/>
      <c r="G917" s="6"/>
    </row>
    <row r="918" spans="1:7" x14ac:dyDescent="0.35">
      <c r="A918" s="13" t="s">
        <v>262</v>
      </c>
      <c r="B918" s="8"/>
      <c r="C918" s="9"/>
      <c r="D918" s="10"/>
      <c r="E918" s="21"/>
      <c r="F918" s="22"/>
      <c r="G918" s="6"/>
    </row>
    <row r="919" spans="1:7" x14ac:dyDescent="0.35">
      <c r="A919" s="13" t="s">
        <v>263</v>
      </c>
      <c r="B919" s="8"/>
      <c r="C919" s="9"/>
      <c r="D919" s="10"/>
      <c r="E919" s="21"/>
      <c r="F919" s="22"/>
      <c r="G919" s="6"/>
    </row>
    <row r="920" spans="1:7" x14ac:dyDescent="0.35">
      <c r="A920" s="13" t="s">
        <v>264</v>
      </c>
      <c r="B920" s="8"/>
      <c r="C920" s="9"/>
      <c r="D920" s="10"/>
      <c r="E920" s="21"/>
      <c r="F920" s="22"/>
      <c r="G920" s="6"/>
    </row>
    <row r="921" spans="1:7" x14ac:dyDescent="0.35">
      <c r="A921" s="13" t="s">
        <v>265</v>
      </c>
      <c r="B921" s="8"/>
      <c r="C921" s="9"/>
      <c r="D921" s="10"/>
      <c r="E921" s="21"/>
      <c r="F921" s="22"/>
      <c r="G921" s="6"/>
    </row>
    <row r="922" spans="1:7" x14ac:dyDescent="0.35">
      <c r="A922" s="13" t="s">
        <v>266</v>
      </c>
      <c r="B922" s="8"/>
      <c r="C922" s="9"/>
      <c r="D922" s="10"/>
      <c r="E922" s="21"/>
      <c r="F922" s="22"/>
      <c r="G922" s="6"/>
    </row>
    <row r="923" spans="1:7" x14ac:dyDescent="0.35">
      <c r="A923" s="13" t="s">
        <v>267</v>
      </c>
      <c r="B923" s="8"/>
      <c r="C923" s="9"/>
      <c r="D923" s="10"/>
      <c r="E923" s="21"/>
      <c r="F923" s="22"/>
      <c r="G923" s="6"/>
    </row>
    <row r="924" spans="1:7" x14ac:dyDescent="0.35">
      <c r="A924" s="13" t="s">
        <v>268</v>
      </c>
      <c r="B924" s="8"/>
      <c r="C924" s="9"/>
      <c r="D924" s="10"/>
      <c r="E924" s="21"/>
      <c r="F924" s="22"/>
      <c r="G924" s="6"/>
    </row>
    <row r="925" spans="1:7" x14ac:dyDescent="0.35">
      <c r="A925" s="13" t="s">
        <v>269</v>
      </c>
      <c r="B925" s="8"/>
      <c r="C925" s="9"/>
      <c r="D925" s="10"/>
      <c r="E925" s="21"/>
      <c r="F925" s="22"/>
      <c r="G925" s="6"/>
    </row>
    <row r="926" spans="1:7" x14ac:dyDescent="0.35">
      <c r="A926" s="13" t="s">
        <v>270</v>
      </c>
      <c r="B926" s="8"/>
      <c r="C926" s="9"/>
      <c r="D926" s="10"/>
      <c r="E926" s="21"/>
      <c r="F926" s="22"/>
      <c r="G926" s="6"/>
    </row>
    <row r="927" spans="1:7" x14ac:dyDescent="0.35">
      <c r="A927" s="13" t="s">
        <v>271</v>
      </c>
      <c r="B927" s="8"/>
      <c r="C927" s="9"/>
      <c r="D927" s="10"/>
      <c r="E927" s="21"/>
      <c r="F927" s="22"/>
      <c r="G927" s="6"/>
    </row>
    <row r="928" spans="1:7" x14ac:dyDescent="0.35">
      <c r="A928" s="2"/>
      <c r="B928" s="2"/>
      <c r="C928" s="2"/>
      <c r="D928" s="2"/>
      <c r="E928" s="2"/>
      <c r="F928" s="2"/>
      <c r="G928" s="2"/>
    </row>
    <row r="929" spans="1:7" x14ac:dyDescent="0.35">
      <c r="A929" s="13" t="s">
        <v>35</v>
      </c>
      <c r="B929" s="15" t="s">
        <v>0</v>
      </c>
      <c r="C929" s="16" t="s">
        <v>1</v>
      </c>
      <c r="D929" s="17" t="s">
        <v>2</v>
      </c>
      <c r="E929" s="24" t="s">
        <v>3</v>
      </c>
      <c r="F929" s="23" t="s">
        <v>4</v>
      </c>
      <c r="G929" s="18" t="s">
        <v>5</v>
      </c>
    </row>
    <row r="930" spans="1:7" x14ac:dyDescent="0.35">
      <c r="A930" s="13" t="s">
        <v>242</v>
      </c>
      <c r="B930" s="8"/>
      <c r="C930" s="9"/>
      <c r="D930" s="10"/>
      <c r="E930" s="21"/>
      <c r="F930" s="22"/>
      <c r="G930" s="6"/>
    </row>
    <row r="931" spans="1:7" x14ac:dyDescent="0.35">
      <c r="A931" s="13" t="s">
        <v>243</v>
      </c>
      <c r="B931" s="8"/>
      <c r="C931" s="9"/>
      <c r="D931" s="10"/>
      <c r="E931" s="21"/>
      <c r="F931" s="22"/>
      <c r="G931" s="6"/>
    </row>
    <row r="932" spans="1:7" x14ac:dyDescent="0.35">
      <c r="A932" s="13" t="s">
        <v>244</v>
      </c>
      <c r="B932" s="8"/>
      <c r="C932" s="9"/>
      <c r="D932" s="10"/>
      <c r="E932" s="21"/>
      <c r="F932" s="22"/>
      <c r="G932" s="6"/>
    </row>
    <row r="933" spans="1:7" x14ac:dyDescent="0.35">
      <c r="A933" s="13" t="s">
        <v>245</v>
      </c>
      <c r="B933" s="8"/>
      <c r="C933" s="9"/>
      <c r="D933" s="10"/>
      <c r="E933" s="21"/>
      <c r="F933" s="22"/>
      <c r="G933" s="6"/>
    </row>
    <row r="934" spans="1:7" x14ac:dyDescent="0.35">
      <c r="A934" s="13" t="s">
        <v>246</v>
      </c>
      <c r="B934" s="8"/>
      <c r="C934" s="9"/>
      <c r="D934" s="10"/>
      <c r="E934" s="21"/>
      <c r="F934" s="22"/>
      <c r="G934" s="6"/>
    </row>
    <row r="935" spans="1:7" x14ac:dyDescent="0.35">
      <c r="A935" s="13" t="s">
        <v>247</v>
      </c>
      <c r="B935" s="8"/>
      <c r="C935" s="9"/>
      <c r="D935" s="10"/>
      <c r="E935" s="21"/>
      <c r="F935" s="22"/>
      <c r="G935" s="6"/>
    </row>
    <row r="936" spans="1:7" x14ac:dyDescent="0.35">
      <c r="A936" s="13" t="s">
        <v>248</v>
      </c>
      <c r="B936" s="8"/>
      <c r="C936" s="9"/>
      <c r="D936" s="10"/>
      <c r="E936" s="21"/>
      <c r="F936" s="22"/>
      <c r="G936" s="6"/>
    </row>
    <row r="937" spans="1:7" x14ac:dyDescent="0.35">
      <c r="A937" s="13" t="s">
        <v>249</v>
      </c>
      <c r="B937" s="8"/>
      <c r="C937" s="9"/>
      <c r="D937" s="10"/>
      <c r="E937" s="21"/>
      <c r="F937" s="22"/>
      <c r="G937" s="6"/>
    </row>
    <row r="938" spans="1:7" x14ac:dyDescent="0.35">
      <c r="A938" s="13" t="s">
        <v>250</v>
      </c>
      <c r="B938" s="8"/>
      <c r="C938" s="9"/>
      <c r="D938" s="10"/>
      <c r="E938" s="21"/>
      <c r="F938" s="22"/>
      <c r="G938" s="6"/>
    </row>
    <row r="939" spans="1:7" x14ac:dyDescent="0.35">
      <c r="A939" s="13" t="s">
        <v>251</v>
      </c>
      <c r="B939" s="8"/>
      <c r="C939" s="9"/>
      <c r="D939" s="10"/>
      <c r="E939" s="21"/>
      <c r="F939" s="22"/>
      <c r="G939" s="6"/>
    </row>
    <row r="940" spans="1:7" x14ac:dyDescent="0.35">
      <c r="A940" s="13" t="s">
        <v>252</v>
      </c>
      <c r="B940" s="8"/>
      <c r="C940" s="9"/>
      <c r="D940" s="10"/>
      <c r="E940" s="21"/>
      <c r="F940" s="22"/>
      <c r="G940" s="6"/>
    </row>
    <row r="941" spans="1:7" x14ac:dyDescent="0.35">
      <c r="A941" s="13" t="s">
        <v>253</v>
      </c>
      <c r="B941" s="8"/>
      <c r="C941" s="9"/>
      <c r="D941" s="10"/>
      <c r="E941" s="21"/>
      <c r="F941" s="22"/>
      <c r="G941" s="6"/>
    </row>
    <row r="942" spans="1:7" x14ac:dyDescent="0.35">
      <c r="A942" s="13" t="s">
        <v>254</v>
      </c>
      <c r="B942" s="8"/>
      <c r="C942" s="9"/>
      <c r="D942" s="10"/>
      <c r="E942" s="21"/>
      <c r="F942" s="22"/>
      <c r="G942" s="6"/>
    </row>
    <row r="943" spans="1:7" x14ac:dyDescent="0.35">
      <c r="A943" s="13" t="s">
        <v>255</v>
      </c>
      <c r="B943" s="8"/>
      <c r="C943" s="9"/>
      <c r="D943" s="10"/>
      <c r="E943" s="21"/>
      <c r="F943" s="22"/>
      <c r="G943" s="6"/>
    </row>
    <row r="944" spans="1:7" x14ac:dyDescent="0.35">
      <c r="A944" s="13" t="s">
        <v>256</v>
      </c>
      <c r="B944" s="8"/>
      <c r="C944" s="9"/>
      <c r="D944" s="10"/>
      <c r="E944" s="21"/>
      <c r="F944" s="22"/>
      <c r="G944" s="6"/>
    </row>
    <row r="945" spans="1:7" x14ac:dyDescent="0.35">
      <c r="A945" s="13" t="s">
        <v>257</v>
      </c>
      <c r="B945" s="8"/>
      <c r="C945" s="9"/>
      <c r="D945" s="10"/>
      <c r="E945" s="21"/>
      <c r="F945" s="22"/>
      <c r="G945" s="6"/>
    </row>
    <row r="946" spans="1:7" x14ac:dyDescent="0.35">
      <c r="A946" s="13" t="s">
        <v>258</v>
      </c>
      <c r="B946" s="8"/>
      <c r="C946" s="9"/>
      <c r="D946" s="10"/>
      <c r="E946" s="21"/>
      <c r="F946" s="22"/>
      <c r="G946" s="6"/>
    </row>
    <row r="947" spans="1:7" x14ac:dyDescent="0.35">
      <c r="A947" s="13" t="s">
        <v>259</v>
      </c>
      <c r="B947" s="8"/>
      <c r="C947" s="9"/>
      <c r="D947" s="10"/>
      <c r="E947" s="21"/>
      <c r="F947" s="22"/>
      <c r="G947" s="6"/>
    </row>
    <row r="948" spans="1:7" x14ac:dyDescent="0.35">
      <c r="A948" s="13" t="s">
        <v>260</v>
      </c>
      <c r="B948" s="8"/>
      <c r="C948" s="9"/>
      <c r="D948" s="10"/>
      <c r="E948" s="21"/>
      <c r="F948" s="22"/>
      <c r="G948" s="6"/>
    </row>
    <row r="949" spans="1:7" x14ac:dyDescent="0.35">
      <c r="A949" s="13" t="s">
        <v>261</v>
      </c>
      <c r="B949" s="8"/>
      <c r="C949" s="9"/>
      <c r="D949" s="10"/>
      <c r="E949" s="21"/>
      <c r="F949" s="22"/>
      <c r="G949" s="6"/>
    </row>
    <row r="950" spans="1:7" x14ac:dyDescent="0.35">
      <c r="A950" s="13" t="s">
        <v>262</v>
      </c>
      <c r="B950" s="8"/>
      <c r="C950" s="9"/>
      <c r="D950" s="10"/>
      <c r="E950" s="21"/>
      <c r="F950" s="22"/>
      <c r="G950" s="6"/>
    </row>
    <row r="951" spans="1:7" x14ac:dyDescent="0.35">
      <c r="A951" s="13" t="s">
        <v>263</v>
      </c>
      <c r="B951" s="8"/>
      <c r="C951" s="9"/>
      <c r="D951" s="10"/>
      <c r="E951" s="21"/>
      <c r="F951" s="22"/>
      <c r="G951" s="6"/>
    </row>
    <row r="952" spans="1:7" x14ac:dyDescent="0.35">
      <c r="A952" s="13" t="s">
        <v>264</v>
      </c>
      <c r="B952" s="8"/>
      <c r="C952" s="9"/>
      <c r="D952" s="10"/>
      <c r="E952" s="21"/>
      <c r="F952" s="22"/>
      <c r="G952" s="6"/>
    </row>
    <row r="953" spans="1:7" x14ac:dyDescent="0.35">
      <c r="A953" s="13" t="s">
        <v>265</v>
      </c>
      <c r="B953" s="8"/>
      <c r="C953" s="9"/>
      <c r="D953" s="10"/>
      <c r="E953" s="21"/>
      <c r="F953" s="22"/>
      <c r="G953" s="6"/>
    </row>
    <row r="954" spans="1:7" x14ac:dyDescent="0.35">
      <c r="A954" s="13" t="s">
        <v>266</v>
      </c>
      <c r="B954" s="8"/>
      <c r="C954" s="9"/>
      <c r="D954" s="10"/>
      <c r="E954" s="21"/>
      <c r="F954" s="22"/>
      <c r="G954" s="6"/>
    </row>
    <row r="955" spans="1:7" x14ac:dyDescent="0.35">
      <c r="A955" s="13" t="s">
        <v>267</v>
      </c>
      <c r="B955" s="8"/>
      <c r="C955" s="9"/>
      <c r="D955" s="10"/>
      <c r="E955" s="21"/>
      <c r="F955" s="22"/>
      <c r="G955" s="6"/>
    </row>
    <row r="956" spans="1:7" x14ac:dyDescent="0.35">
      <c r="A956" s="13" t="s">
        <v>268</v>
      </c>
      <c r="B956" s="8"/>
      <c r="C956" s="9"/>
      <c r="D956" s="10"/>
      <c r="E956" s="21"/>
      <c r="F956" s="22"/>
      <c r="G956" s="6"/>
    </row>
    <row r="957" spans="1:7" x14ac:dyDescent="0.35">
      <c r="A957" s="13" t="s">
        <v>269</v>
      </c>
      <c r="B957" s="8"/>
      <c r="C957" s="9"/>
      <c r="D957" s="10"/>
      <c r="E957" s="21"/>
      <c r="F957" s="22"/>
      <c r="G957" s="6"/>
    </row>
    <row r="958" spans="1:7" x14ac:dyDescent="0.35">
      <c r="A958" s="13" t="s">
        <v>270</v>
      </c>
      <c r="B958" s="8"/>
      <c r="C958" s="9"/>
      <c r="D958" s="10"/>
      <c r="E958" s="21"/>
      <c r="F958" s="22"/>
      <c r="G958" s="6"/>
    </row>
    <row r="959" spans="1:7" x14ac:dyDescent="0.35">
      <c r="A959" s="13" t="s">
        <v>271</v>
      </c>
      <c r="B959" s="8"/>
      <c r="C959" s="9"/>
      <c r="D959" s="10"/>
      <c r="E959" s="21"/>
      <c r="F959" s="22"/>
      <c r="G959" s="6"/>
    </row>
    <row r="960" spans="1:7" x14ac:dyDescent="0.35">
      <c r="A960" s="2"/>
      <c r="B960" s="2"/>
      <c r="C960" s="2"/>
      <c r="D960" s="2"/>
      <c r="E960" s="2"/>
      <c r="F960" s="2"/>
      <c r="G960" s="2"/>
    </row>
    <row r="961" spans="1:7" x14ac:dyDescent="0.35">
      <c r="A961" s="13" t="s">
        <v>36</v>
      </c>
      <c r="B961" s="15" t="s">
        <v>0</v>
      </c>
      <c r="C961" s="16" t="s">
        <v>1</v>
      </c>
      <c r="D961" s="17" t="s">
        <v>2</v>
      </c>
      <c r="E961" s="24" t="s">
        <v>3</v>
      </c>
      <c r="F961" s="23" t="s">
        <v>4</v>
      </c>
      <c r="G961" s="18" t="s">
        <v>5</v>
      </c>
    </row>
    <row r="962" spans="1:7" x14ac:dyDescent="0.35">
      <c r="A962" s="13" t="s">
        <v>242</v>
      </c>
      <c r="B962" s="8"/>
      <c r="C962" s="9"/>
      <c r="D962" s="10"/>
      <c r="E962" s="21"/>
      <c r="F962" s="22"/>
      <c r="G962" s="6"/>
    </row>
    <row r="963" spans="1:7" x14ac:dyDescent="0.35">
      <c r="A963" s="13" t="s">
        <v>243</v>
      </c>
      <c r="B963" s="8"/>
      <c r="C963" s="9"/>
      <c r="D963" s="10"/>
      <c r="E963" s="21"/>
      <c r="F963" s="22"/>
      <c r="G963" s="6"/>
    </row>
    <row r="964" spans="1:7" x14ac:dyDescent="0.35">
      <c r="A964" s="13" t="s">
        <v>244</v>
      </c>
      <c r="B964" s="8"/>
      <c r="C964" s="9"/>
      <c r="D964" s="10"/>
      <c r="E964" s="21"/>
      <c r="F964" s="22"/>
      <c r="G964" s="6"/>
    </row>
    <row r="965" spans="1:7" x14ac:dyDescent="0.35">
      <c r="A965" s="13" t="s">
        <v>245</v>
      </c>
      <c r="B965" s="8"/>
      <c r="C965" s="9"/>
      <c r="D965" s="10"/>
      <c r="E965" s="21"/>
      <c r="F965" s="22"/>
      <c r="G965" s="6"/>
    </row>
    <row r="966" spans="1:7" x14ac:dyDescent="0.35">
      <c r="A966" s="13" t="s">
        <v>246</v>
      </c>
      <c r="B966" s="8"/>
      <c r="C966" s="9"/>
      <c r="D966" s="10"/>
      <c r="E966" s="21"/>
      <c r="F966" s="22"/>
      <c r="G966" s="6"/>
    </row>
    <row r="967" spans="1:7" x14ac:dyDescent="0.35">
      <c r="A967" s="13" t="s">
        <v>247</v>
      </c>
      <c r="B967" s="8"/>
      <c r="C967" s="9"/>
      <c r="D967" s="10"/>
      <c r="E967" s="21"/>
      <c r="F967" s="22"/>
      <c r="G967" s="6"/>
    </row>
    <row r="968" spans="1:7" x14ac:dyDescent="0.35">
      <c r="A968" s="13" t="s">
        <v>248</v>
      </c>
      <c r="B968" s="8"/>
      <c r="C968" s="9"/>
      <c r="D968" s="10"/>
      <c r="E968" s="21"/>
      <c r="F968" s="22"/>
      <c r="G968" s="6"/>
    </row>
    <row r="969" spans="1:7" x14ac:dyDescent="0.35">
      <c r="A969" s="13" t="s">
        <v>249</v>
      </c>
      <c r="B969" s="8"/>
      <c r="C969" s="9"/>
      <c r="D969" s="10"/>
      <c r="E969" s="21"/>
      <c r="F969" s="22"/>
      <c r="G969" s="6"/>
    </row>
    <row r="970" spans="1:7" x14ac:dyDescent="0.35">
      <c r="A970" s="13" t="s">
        <v>250</v>
      </c>
      <c r="B970" s="8"/>
      <c r="C970" s="9"/>
      <c r="D970" s="10"/>
      <c r="E970" s="21"/>
      <c r="F970" s="22"/>
      <c r="G970" s="6"/>
    </row>
    <row r="971" spans="1:7" x14ac:dyDescent="0.35">
      <c r="A971" s="13" t="s">
        <v>251</v>
      </c>
      <c r="B971" s="8"/>
      <c r="C971" s="9"/>
      <c r="D971" s="10"/>
      <c r="E971" s="21"/>
      <c r="F971" s="22"/>
      <c r="G971" s="6"/>
    </row>
    <row r="972" spans="1:7" x14ac:dyDescent="0.35">
      <c r="A972" s="13" t="s">
        <v>252</v>
      </c>
      <c r="B972" s="8"/>
      <c r="C972" s="9"/>
      <c r="D972" s="10"/>
      <c r="E972" s="21"/>
      <c r="F972" s="22"/>
      <c r="G972" s="6"/>
    </row>
    <row r="973" spans="1:7" x14ac:dyDescent="0.35">
      <c r="A973" s="13" t="s">
        <v>253</v>
      </c>
      <c r="B973" s="8"/>
      <c r="C973" s="9"/>
      <c r="D973" s="10"/>
      <c r="E973" s="21"/>
      <c r="F973" s="22"/>
      <c r="G973" s="6"/>
    </row>
    <row r="974" spans="1:7" x14ac:dyDescent="0.35">
      <c r="A974" s="13" t="s">
        <v>254</v>
      </c>
      <c r="B974" s="8"/>
      <c r="C974" s="9"/>
      <c r="D974" s="10"/>
      <c r="E974" s="21"/>
      <c r="F974" s="22"/>
      <c r="G974" s="6"/>
    </row>
    <row r="975" spans="1:7" x14ac:dyDescent="0.35">
      <c r="A975" s="13" t="s">
        <v>255</v>
      </c>
      <c r="B975" s="8"/>
      <c r="C975" s="9"/>
      <c r="D975" s="10"/>
      <c r="E975" s="21"/>
      <c r="F975" s="22"/>
      <c r="G975" s="6"/>
    </row>
    <row r="976" spans="1:7" x14ac:dyDescent="0.35">
      <c r="A976" s="13" t="s">
        <v>256</v>
      </c>
      <c r="B976" s="8"/>
      <c r="C976" s="9"/>
      <c r="D976" s="10"/>
      <c r="E976" s="21"/>
      <c r="F976" s="22"/>
      <c r="G976" s="6"/>
    </row>
    <row r="977" spans="1:7" x14ac:dyDescent="0.35">
      <c r="A977" s="13" t="s">
        <v>257</v>
      </c>
      <c r="B977" s="8"/>
      <c r="C977" s="9"/>
      <c r="D977" s="10"/>
      <c r="E977" s="21"/>
      <c r="F977" s="22"/>
      <c r="G977" s="6"/>
    </row>
    <row r="978" spans="1:7" x14ac:dyDescent="0.35">
      <c r="A978" s="13" t="s">
        <v>258</v>
      </c>
      <c r="B978" s="8"/>
      <c r="C978" s="9"/>
      <c r="D978" s="10"/>
      <c r="E978" s="21"/>
      <c r="F978" s="22"/>
      <c r="G978" s="6"/>
    </row>
    <row r="979" spans="1:7" x14ac:dyDescent="0.35">
      <c r="A979" s="13" t="s">
        <v>259</v>
      </c>
      <c r="B979" s="8"/>
      <c r="C979" s="9"/>
      <c r="D979" s="10"/>
      <c r="E979" s="21"/>
      <c r="F979" s="22"/>
      <c r="G979" s="6"/>
    </row>
    <row r="980" spans="1:7" x14ac:dyDescent="0.35">
      <c r="A980" s="13" t="s">
        <v>260</v>
      </c>
      <c r="B980" s="8"/>
      <c r="C980" s="9"/>
      <c r="D980" s="10"/>
      <c r="E980" s="21"/>
      <c r="F980" s="22"/>
      <c r="G980" s="6"/>
    </row>
    <row r="981" spans="1:7" x14ac:dyDescent="0.35">
      <c r="A981" s="13" t="s">
        <v>261</v>
      </c>
      <c r="B981" s="8"/>
      <c r="C981" s="9"/>
      <c r="D981" s="10"/>
      <c r="E981" s="21"/>
      <c r="F981" s="22"/>
      <c r="G981" s="6"/>
    </row>
    <row r="982" spans="1:7" x14ac:dyDescent="0.35">
      <c r="A982" s="13" t="s">
        <v>262</v>
      </c>
      <c r="B982" s="8"/>
      <c r="C982" s="9"/>
      <c r="D982" s="10"/>
      <c r="E982" s="21"/>
      <c r="F982" s="22"/>
      <c r="G982" s="6"/>
    </row>
    <row r="983" spans="1:7" x14ac:dyDescent="0.35">
      <c r="A983" s="13" t="s">
        <v>263</v>
      </c>
      <c r="B983" s="8"/>
      <c r="C983" s="9"/>
      <c r="D983" s="10"/>
      <c r="E983" s="21"/>
      <c r="F983" s="22"/>
      <c r="G983" s="6"/>
    </row>
    <row r="984" spans="1:7" x14ac:dyDescent="0.35">
      <c r="A984" s="13" t="s">
        <v>264</v>
      </c>
      <c r="B984" s="8"/>
      <c r="C984" s="9"/>
      <c r="D984" s="10"/>
      <c r="E984" s="21"/>
      <c r="F984" s="22"/>
      <c r="G984" s="6"/>
    </row>
    <row r="985" spans="1:7" x14ac:dyDescent="0.35">
      <c r="A985" s="13" t="s">
        <v>265</v>
      </c>
      <c r="B985" s="8"/>
      <c r="C985" s="9"/>
      <c r="D985" s="10"/>
      <c r="E985" s="21"/>
      <c r="F985" s="22"/>
      <c r="G985" s="6"/>
    </row>
    <row r="986" spans="1:7" x14ac:dyDescent="0.35">
      <c r="A986" s="13" t="s">
        <v>266</v>
      </c>
      <c r="B986" s="8"/>
      <c r="C986" s="9"/>
      <c r="D986" s="10"/>
      <c r="E986" s="21"/>
      <c r="F986" s="22"/>
      <c r="G986" s="6"/>
    </row>
    <row r="987" spans="1:7" x14ac:dyDescent="0.35">
      <c r="A987" s="13" t="s">
        <v>267</v>
      </c>
      <c r="B987" s="8"/>
      <c r="C987" s="9"/>
      <c r="D987" s="10"/>
      <c r="E987" s="21"/>
      <c r="F987" s="22"/>
      <c r="G987" s="6"/>
    </row>
    <row r="988" spans="1:7" x14ac:dyDescent="0.35">
      <c r="A988" s="13" t="s">
        <v>268</v>
      </c>
      <c r="B988" s="8"/>
      <c r="C988" s="9"/>
      <c r="D988" s="10"/>
      <c r="E988" s="21"/>
      <c r="F988" s="22"/>
      <c r="G988" s="6"/>
    </row>
    <row r="989" spans="1:7" x14ac:dyDescent="0.35">
      <c r="A989" s="13" t="s">
        <v>269</v>
      </c>
      <c r="B989" s="8"/>
      <c r="C989" s="9"/>
      <c r="D989" s="10"/>
      <c r="E989" s="21"/>
      <c r="F989" s="22"/>
      <c r="G989" s="6"/>
    </row>
    <row r="990" spans="1:7" x14ac:dyDescent="0.35">
      <c r="A990" s="13" t="s">
        <v>270</v>
      </c>
      <c r="B990" s="8"/>
      <c r="C990" s="9"/>
      <c r="D990" s="10"/>
      <c r="E990" s="21"/>
      <c r="F990" s="22"/>
      <c r="G990" s="6"/>
    </row>
    <row r="991" spans="1:7" x14ac:dyDescent="0.35">
      <c r="A991" s="13" t="s">
        <v>271</v>
      </c>
      <c r="B991" s="8"/>
      <c r="C991" s="9"/>
      <c r="D991" s="10"/>
      <c r="E991" s="21"/>
      <c r="F991" s="22"/>
      <c r="G991" s="6"/>
    </row>
    <row r="992" spans="1:7" x14ac:dyDescent="0.35">
      <c r="A992" s="2"/>
      <c r="B992" s="2"/>
      <c r="C992" s="2"/>
      <c r="D992" s="2"/>
      <c r="E992" s="2"/>
      <c r="F992" s="2"/>
      <c r="G992" s="2"/>
    </row>
    <row r="993" spans="1:7" x14ac:dyDescent="0.35">
      <c r="A993" s="13" t="s">
        <v>37</v>
      </c>
      <c r="B993" s="15" t="s">
        <v>0</v>
      </c>
      <c r="C993" s="16" t="s">
        <v>1</v>
      </c>
      <c r="D993" s="17" t="s">
        <v>2</v>
      </c>
      <c r="E993" s="24" t="s">
        <v>3</v>
      </c>
      <c r="F993" s="23" t="s">
        <v>4</v>
      </c>
      <c r="G993" s="18" t="s">
        <v>5</v>
      </c>
    </row>
    <row r="994" spans="1:7" x14ac:dyDescent="0.35">
      <c r="A994" s="13" t="s">
        <v>242</v>
      </c>
      <c r="B994" s="8"/>
      <c r="C994" s="9"/>
      <c r="D994" s="10"/>
      <c r="E994" s="21"/>
      <c r="F994" s="22"/>
      <c r="G994" s="6"/>
    </row>
    <row r="995" spans="1:7" x14ac:dyDescent="0.35">
      <c r="A995" s="13" t="s">
        <v>243</v>
      </c>
      <c r="B995" s="8"/>
      <c r="C995" s="9"/>
      <c r="D995" s="10"/>
      <c r="E995" s="21"/>
      <c r="F995" s="22"/>
      <c r="G995" s="6"/>
    </row>
    <row r="996" spans="1:7" x14ac:dyDescent="0.35">
      <c r="A996" s="13" t="s">
        <v>244</v>
      </c>
      <c r="B996" s="8"/>
      <c r="C996" s="9"/>
      <c r="D996" s="10"/>
      <c r="E996" s="21"/>
      <c r="F996" s="22"/>
      <c r="G996" s="6"/>
    </row>
    <row r="997" spans="1:7" x14ac:dyDescent="0.35">
      <c r="A997" s="13" t="s">
        <v>245</v>
      </c>
      <c r="B997" s="8"/>
      <c r="C997" s="9"/>
      <c r="D997" s="10"/>
      <c r="E997" s="21"/>
      <c r="F997" s="22"/>
      <c r="G997" s="6"/>
    </row>
    <row r="998" spans="1:7" x14ac:dyDescent="0.35">
      <c r="A998" s="13" t="s">
        <v>246</v>
      </c>
      <c r="B998" s="8"/>
      <c r="C998" s="9"/>
      <c r="D998" s="10"/>
      <c r="E998" s="21"/>
      <c r="F998" s="22"/>
      <c r="G998" s="6"/>
    </row>
    <row r="999" spans="1:7" x14ac:dyDescent="0.35">
      <c r="A999" s="13" t="s">
        <v>247</v>
      </c>
      <c r="B999" s="8"/>
      <c r="C999" s="9"/>
      <c r="D999" s="10"/>
      <c r="E999" s="21"/>
      <c r="F999" s="22"/>
      <c r="G999" s="6"/>
    </row>
    <row r="1000" spans="1:7" x14ac:dyDescent="0.35">
      <c r="A1000" s="13" t="s">
        <v>248</v>
      </c>
      <c r="B1000" s="8"/>
      <c r="C1000" s="9"/>
      <c r="D1000" s="10"/>
      <c r="E1000" s="21"/>
      <c r="F1000" s="22"/>
      <c r="G1000" s="6"/>
    </row>
    <row r="1001" spans="1:7" x14ac:dyDescent="0.35">
      <c r="A1001" s="13" t="s">
        <v>249</v>
      </c>
      <c r="B1001" s="8"/>
      <c r="C1001" s="9"/>
      <c r="D1001" s="10"/>
      <c r="E1001" s="21"/>
      <c r="F1001" s="22"/>
      <c r="G1001" s="6"/>
    </row>
    <row r="1002" spans="1:7" x14ac:dyDescent="0.35">
      <c r="A1002" s="13" t="s">
        <v>250</v>
      </c>
      <c r="B1002" s="8"/>
      <c r="C1002" s="9"/>
      <c r="D1002" s="10"/>
      <c r="E1002" s="21"/>
      <c r="F1002" s="22"/>
      <c r="G1002" s="6"/>
    </row>
    <row r="1003" spans="1:7" x14ac:dyDescent="0.35">
      <c r="A1003" s="13" t="s">
        <v>251</v>
      </c>
      <c r="B1003" s="8"/>
      <c r="C1003" s="9"/>
      <c r="D1003" s="10"/>
      <c r="E1003" s="21"/>
      <c r="F1003" s="22"/>
      <c r="G1003" s="6"/>
    </row>
    <row r="1004" spans="1:7" x14ac:dyDescent="0.35">
      <c r="A1004" s="13" t="s">
        <v>252</v>
      </c>
      <c r="B1004" s="8"/>
      <c r="C1004" s="9"/>
      <c r="D1004" s="10"/>
      <c r="E1004" s="21"/>
      <c r="F1004" s="22"/>
      <c r="G1004" s="6"/>
    </row>
    <row r="1005" spans="1:7" x14ac:dyDescent="0.35">
      <c r="A1005" s="13" t="s">
        <v>253</v>
      </c>
      <c r="B1005" s="8"/>
      <c r="C1005" s="9"/>
      <c r="D1005" s="10"/>
      <c r="E1005" s="21"/>
      <c r="F1005" s="22"/>
      <c r="G1005" s="6"/>
    </row>
    <row r="1006" spans="1:7" x14ac:dyDescent="0.35">
      <c r="A1006" s="13" t="s">
        <v>254</v>
      </c>
      <c r="B1006" s="8"/>
      <c r="C1006" s="9"/>
      <c r="D1006" s="10"/>
      <c r="E1006" s="21"/>
      <c r="F1006" s="22"/>
      <c r="G1006" s="6"/>
    </row>
    <row r="1007" spans="1:7" x14ac:dyDescent="0.35">
      <c r="A1007" s="13" t="s">
        <v>255</v>
      </c>
      <c r="B1007" s="8"/>
      <c r="C1007" s="9"/>
      <c r="D1007" s="10"/>
      <c r="E1007" s="21"/>
      <c r="F1007" s="22"/>
      <c r="G1007" s="6"/>
    </row>
    <row r="1008" spans="1:7" x14ac:dyDescent="0.35">
      <c r="A1008" s="13" t="s">
        <v>256</v>
      </c>
      <c r="B1008" s="8"/>
      <c r="C1008" s="9"/>
      <c r="D1008" s="10"/>
      <c r="E1008" s="21"/>
      <c r="F1008" s="22"/>
      <c r="G1008" s="6"/>
    </row>
    <row r="1009" spans="1:7" x14ac:dyDescent="0.35">
      <c r="A1009" s="13" t="s">
        <v>257</v>
      </c>
      <c r="B1009" s="8"/>
      <c r="C1009" s="9"/>
      <c r="D1009" s="10"/>
      <c r="E1009" s="21"/>
      <c r="F1009" s="22"/>
      <c r="G1009" s="6"/>
    </row>
    <row r="1010" spans="1:7" x14ac:dyDescent="0.35">
      <c r="A1010" s="13" t="s">
        <v>258</v>
      </c>
      <c r="B1010" s="8"/>
      <c r="C1010" s="9"/>
      <c r="D1010" s="10"/>
      <c r="E1010" s="21"/>
      <c r="F1010" s="22"/>
      <c r="G1010" s="6"/>
    </row>
    <row r="1011" spans="1:7" x14ac:dyDescent="0.35">
      <c r="A1011" s="13" t="s">
        <v>259</v>
      </c>
      <c r="B1011" s="8"/>
      <c r="C1011" s="9"/>
      <c r="D1011" s="10"/>
      <c r="E1011" s="21"/>
      <c r="F1011" s="22"/>
      <c r="G1011" s="6"/>
    </row>
    <row r="1012" spans="1:7" x14ac:dyDescent="0.35">
      <c r="A1012" s="13" t="s">
        <v>260</v>
      </c>
      <c r="B1012" s="8"/>
      <c r="C1012" s="9"/>
      <c r="D1012" s="10"/>
      <c r="E1012" s="21"/>
      <c r="F1012" s="22"/>
      <c r="G1012" s="6"/>
    </row>
    <row r="1013" spans="1:7" x14ac:dyDescent="0.35">
      <c r="A1013" s="13" t="s">
        <v>261</v>
      </c>
      <c r="B1013" s="8"/>
      <c r="C1013" s="9"/>
      <c r="D1013" s="10"/>
      <c r="E1013" s="21"/>
      <c r="F1013" s="22"/>
      <c r="G1013" s="6"/>
    </row>
    <row r="1014" spans="1:7" x14ac:dyDescent="0.35">
      <c r="A1014" s="13" t="s">
        <v>262</v>
      </c>
      <c r="B1014" s="8"/>
      <c r="C1014" s="9"/>
      <c r="D1014" s="10"/>
      <c r="E1014" s="21"/>
      <c r="F1014" s="22"/>
      <c r="G1014" s="6"/>
    </row>
    <row r="1015" spans="1:7" x14ac:dyDescent="0.35">
      <c r="A1015" s="13" t="s">
        <v>263</v>
      </c>
      <c r="B1015" s="8"/>
      <c r="C1015" s="9"/>
      <c r="D1015" s="10"/>
      <c r="E1015" s="21"/>
      <c r="F1015" s="22"/>
      <c r="G1015" s="6"/>
    </row>
    <row r="1016" spans="1:7" x14ac:dyDescent="0.35">
      <c r="A1016" s="13" t="s">
        <v>264</v>
      </c>
      <c r="B1016" s="8"/>
      <c r="C1016" s="9"/>
      <c r="D1016" s="10"/>
      <c r="E1016" s="21"/>
      <c r="F1016" s="22"/>
      <c r="G1016" s="6"/>
    </row>
    <row r="1017" spans="1:7" x14ac:dyDescent="0.35">
      <c r="A1017" s="13" t="s">
        <v>265</v>
      </c>
      <c r="B1017" s="8"/>
      <c r="C1017" s="9"/>
      <c r="D1017" s="10"/>
      <c r="E1017" s="21"/>
      <c r="F1017" s="22"/>
      <c r="G1017" s="6"/>
    </row>
    <row r="1018" spans="1:7" x14ac:dyDescent="0.35">
      <c r="A1018" s="13" t="s">
        <v>266</v>
      </c>
      <c r="B1018" s="8"/>
      <c r="C1018" s="9"/>
      <c r="D1018" s="10"/>
      <c r="E1018" s="21"/>
      <c r="F1018" s="22"/>
      <c r="G1018" s="6"/>
    </row>
    <row r="1019" spans="1:7" x14ac:dyDescent="0.35">
      <c r="A1019" s="13" t="s">
        <v>267</v>
      </c>
      <c r="B1019" s="8"/>
      <c r="C1019" s="9"/>
      <c r="D1019" s="10"/>
      <c r="E1019" s="21"/>
      <c r="F1019" s="22"/>
      <c r="G1019" s="6"/>
    </row>
    <row r="1020" spans="1:7" x14ac:dyDescent="0.35">
      <c r="A1020" s="13" t="s">
        <v>268</v>
      </c>
      <c r="B1020" s="8"/>
      <c r="C1020" s="9"/>
      <c r="D1020" s="10"/>
      <c r="E1020" s="21"/>
      <c r="F1020" s="22"/>
      <c r="G1020" s="6"/>
    </row>
    <row r="1021" spans="1:7" x14ac:dyDescent="0.35">
      <c r="A1021" s="13" t="s">
        <v>269</v>
      </c>
      <c r="B1021" s="8"/>
      <c r="C1021" s="9"/>
      <c r="D1021" s="10"/>
      <c r="E1021" s="21"/>
      <c r="F1021" s="22"/>
      <c r="G1021" s="6"/>
    </row>
    <row r="1022" spans="1:7" x14ac:dyDescent="0.35">
      <c r="A1022" s="13" t="s">
        <v>270</v>
      </c>
      <c r="B1022" s="8"/>
      <c r="C1022" s="9"/>
      <c r="D1022" s="10"/>
      <c r="E1022" s="21"/>
      <c r="F1022" s="22"/>
      <c r="G1022" s="6"/>
    </row>
    <row r="1023" spans="1:7" x14ac:dyDescent="0.35">
      <c r="A1023" s="13" t="s">
        <v>271</v>
      </c>
      <c r="B1023" s="8"/>
      <c r="C1023" s="9"/>
      <c r="D1023" s="10"/>
      <c r="E1023" s="21"/>
      <c r="F1023" s="22"/>
      <c r="G1023" s="6"/>
    </row>
    <row r="1024" spans="1:7" x14ac:dyDescent="0.35">
      <c r="A1024" s="2"/>
      <c r="B1024" s="2"/>
      <c r="C1024" s="2"/>
      <c r="D1024" s="2"/>
      <c r="E1024" s="2"/>
      <c r="F1024" s="2"/>
      <c r="G1024" s="2"/>
    </row>
    <row r="1025" spans="1:7" x14ac:dyDescent="0.35">
      <c r="A1025" s="13" t="s">
        <v>38</v>
      </c>
      <c r="B1025" s="15" t="s">
        <v>0</v>
      </c>
      <c r="C1025" s="16" t="s">
        <v>1</v>
      </c>
      <c r="D1025" s="17" t="s">
        <v>2</v>
      </c>
      <c r="E1025" s="24" t="s">
        <v>3</v>
      </c>
      <c r="F1025" s="23" t="s">
        <v>4</v>
      </c>
      <c r="G1025" s="18" t="s">
        <v>5</v>
      </c>
    </row>
    <row r="1026" spans="1:7" x14ac:dyDescent="0.35">
      <c r="A1026" s="13" t="s">
        <v>242</v>
      </c>
      <c r="B1026" s="8"/>
      <c r="C1026" s="9"/>
      <c r="D1026" s="10"/>
      <c r="E1026" s="21"/>
      <c r="F1026" s="22"/>
      <c r="G1026" s="6"/>
    </row>
    <row r="1027" spans="1:7" x14ac:dyDescent="0.35">
      <c r="A1027" s="13" t="s">
        <v>243</v>
      </c>
      <c r="B1027" s="8"/>
      <c r="C1027" s="9"/>
      <c r="D1027" s="10"/>
      <c r="E1027" s="21"/>
      <c r="F1027" s="22"/>
      <c r="G1027" s="6"/>
    </row>
    <row r="1028" spans="1:7" x14ac:dyDescent="0.35">
      <c r="A1028" s="13" t="s">
        <v>244</v>
      </c>
      <c r="B1028" s="8"/>
      <c r="C1028" s="9"/>
      <c r="D1028" s="10"/>
      <c r="E1028" s="21"/>
      <c r="F1028" s="22"/>
      <c r="G1028" s="6"/>
    </row>
    <row r="1029" spans="1:7" x14ac:dyDescent="0.35">
      <c r="A1029" s="13" t="s">
        <v>245</v>
      </c>
      <c r="B1029" s="8"/>
      <c r="C1029" s="9"/>
      <c r="D1029" s="10"/>
      <c r="E1029" s="21"/>
      <c r="F1029" s="22"/>
      <c r="G1029" s="6"/>
    </row>
    <row r="1030" spans="1:7" x14ac:dyDescent="0.35">
      <c r="A1030" s="13" t="s">
        <v>246</v>
      </c>
      <c r="B1030" s="8"/>
      <c r="C1030" s="9"/>
      <c r="D1030" s="10"/>
      <c r="E1030" s="21"/>
      <c r="F1030" s="22"/>
      <c r="G1030" s="6"/>
    </row>
    <row r="1031" spans="1:7" x14ac:dyDescent="0.35">
      <c r="A1031" s="13" t="s">
        <v>247</v>
      </c>
      <c r="B1031" s="8"/>
      <c r="C1031" s="9"/>
      <c r="D1031" s="10"/>
      <c r="E1031" s="21"/>
      <c r="F1031" s="22"/>
      <c r="G1031" s="6"/>
    </row>
    <row r="1032" spans="1:7" x14ac:dyDescent="0.35">
      <c r="A1032" s="13" t="s">
        <v>248</v>
      </c>
      <c r="B1032" s="8"/>
      <c r="C1032" s="9"/>
      <c r="D1032" s="10"/>
      <c r="E1032" s="21"/>
      <c r="F1032" s="22"/>
      <c r="G1032" s="6"/>
    </row>
    <row r="1033" spans="1:7" x14ac:dyDescent="0.35">
      <c r="A1033" s="13" t="s">
        <v>249</v>
      </c>
      <c r="B1033" s="8"/>
      <c r="C1033" s="9"/>
      <c r="D1033" s="10"/>
      <c r="E1033" s="21"/>
      <c r="F1033" s="22"/>
      <c r="G1033" s="6"/>
    </row>
    <row r="1034" spans="1:7" x14ac:dyDescent="0.35">
      <c r="A1034" s="13" t="s">
        <v>250</v>
      </c>
      <c r="B1034" s="8"/>
      <c r="C1034" s="9"/>
      <c r="D1034" s="10"/>
      <c r="E1034" s="21"/>
      <c r="F1034" s="22"/>
      <c r="G1034" s="6"/>
    </row>
    <row r="1035" spans="1:7" x14ac:dyDescent="0.35">
      <c r="A1035" s="13" t="s">
        <v>251</v>
      </c>
      <c r="B1035" s="8"/>
      <c r="C1035" s="9"/>
      <c r="D1035" s="10"/>
      <c r="E1035" s="21"/>
      <c r="F1035" s="22"/>
      <c r="G1035" s="6"/>
    </row>
    <row r="1036" spans="1:7" x14ac:dyDescent="0.35">
      <c r="A1036" s="13" t="s">
        <v>252</v>
      </c>
      <c r="B1036" s="8"/>
      <c r="C1036" s="9"/>
      <c r="D1036" s="10"/>
      <c r="E1036" s="21"/>
      <c r="F1036" s="22"/>
      <c r="G1036" s="6"/>
    </row>
    <row r="1037" spans="1:7" x14ac:dyDescent="0.35">
      <c r="A1037" s="13" t="s">
        <v>253</v>
      </c>
      <c r="B1037" s="8"/>
      <c r="C1037" s="9"/>
      <c r="D1037" s="10"/>
      <c r="E1037" s="21"/>
      <c r="F1037" s="22"/>
      <c r="G1037" s="6"/>
    </row>
    <row r="1038" spans="1:7" x14ac:dyDescent="0.35">
      <c r="A1038" s="13" t="s">
        <v>254</v>
      </c>
      <c r="B1038" s="8"/>
      <c r="C1038" s="9"/>
      <c r="D1038" s="10"/>
      <c r="E1038" s="21"/>
      <c r="F1038" s="22"/>
      <c r="G1038" s="6"/>
    </row>
    <row r="1039" spans="1:7" x14ac:dyDescent="0.35">
      <c r="A1039" s="13" t="s">
        <v>255</v>
      </c>
      <c r="B1039" s="8"/>
      <c r="C1039" s="9"/>
      <c r="D1039" s="10"/>
      <c r="E1039" s="21"/>
      <c r="F1039" s="22"/>
      <c r="G1039" s="6"/>
    </row>
    <row r="1040" spans="1:7" x14ac:dyDescent="0.35">
      <c r="A1040" s="13" t="s">
        <v>256</v>
      </c>
      <c r="B1040" s="8"/>
      <c r="C1040" s="9"/>
      <c r="D1040" s="10"/>
      <c r="E1040" s="21"/>
      <c r="F1040" s="22"/>
      <c r="G1040" s="6"/>
    </row>
    <row r="1041" spans="1:7" x14ac:dyDescent="0.35">
      <c r="A1041" s="13" t="s">
        <v>257</v>
      </c>
      <c r="B1041" s="8"/>
      <c r="C1041" s="9"/>
      <c r="D1041" s="10"/>
      <c r="E1041" s="21"/>
      <c r="F1041" s="22"/>
      <c r="G1041" s="6"/>
    </row>
    <row r="1042" spans="1:7" x14ac:dyDescent="0.35">
      <c r="A1042" s="13" t="s">
        <v>258</v>
      </c>
      <c r="B1042" s="8"/>
      <c r="C1042" s="9"/>
      <c r="D1042" s="10"/>
      <c r="E1042" s="21"/>
      <c r="F1042" s="22"/>
      <c r="G1042" s="6"/>
    </row>
    <row r="1043" spans="1:7" x14ac:dyDescent="0.35">
      <c r="A1043" s="13" t="s">
        <v>259</v>
      </c>
      <c r="B1043" s="8"/>
      <c r="C1043" s="9"/>
      <c r="D1043" s="10"/>
      <c r="E1043" s="21"/>
      <c r="F1043" s="22"/>
      <c r="G1043" s="6"/>
    </row>
    <row r="1044" spans="1:7" x14ac:dyDescent="0.35">
      <c r="A1044" s="13" t="s">
        <v>260</v>
      </c>
      <c r="B1044" s="8"/>
      <c r="C1044" s="9"/>
      <c r="D1044" s="10"/>
      <c r="E1044" s="21"/>
      <c r="F1044" s="22"/>
      <c r="G1044" s="6"/>
    </row>
    <row r="1045" spans="1:7" x14ac:dyDescent="0.35">
      <c r="A1045" s="13" t="s">
        <v>261</v>
      </c>
      <c r="B1045" s="8"/>
      <c r="C1045" s="9"/>
      <c r="D1045" s="10"/>
      <c r="E1045" s="21"/>
      <c r="F1045" s="22"/>
      <c r="G1045" s="6"/>
    </row>
    <row r="1046" spans="1:7" x14ac:dyDescent="0.35">
      <c r="A1046" s="13" t="s">
        <v>262</v>
      </c>
      <c r="B1046" s="8"/>
      <c r="C1046" s="9"/>
      <c r="D1046" s="10"/>
      <c r="E1046" s="21"/>
      <c r="F1046" s="22"/>
      <c r="G1046" s="6"/>
    </row>
    <row r="1047" spans="1:7" x14ac:dyDescent="0.35">
      <c r="A1047" s="13" t="s">
        <v>263</v>
      </c>
      <c r="B1047" s="8"/>
      <c r="C1047" s="9"/>
      <c r="D1047" s="10"/>
      <c r="E1047" s="21"/>
      <c r="F1047" s="22"/>
      <c r="G1047" s="6"/>
    </row>
    <row r="1048" spans="1:7" x14ac:dyDescent="0.35">
      <c r="A1048" s="13" t="s">
        <v>264</v>
      </c>
      <c r="B1048" s="8"/>
      <c r="C1048" s="9"/>
      <c r="D1048" s="10"/>
      <c r="E1048" s="21"/>
      <c r="F1048" s="22"/>
      <c r="G1048" s="6"/>
    </row>
    <row r="1049" spans="1:7" x14ac:dyDescent="0.35">
      <c r="A1049" s="13" t="s">
        <v>265</v>
      </c>
      <c r="B1049" s="8"/>
      <c r="C1049" s="9"/>
      <c r="D1049" s="10"/>
      <c r="E1049" s="21"/>
      <c r="F1049" s="22"/>
      <c r="G1049" s="6"/>
    </row>
    <row r="1050" spans="1:7" x14ac:dyDescent="0.35">
      <c r="A1050" s="13" t="s">
        <v>266</v>
      </c>
      <c r="B1050" s="8"/>
      <c r="C1050" s="9"/>
      <c r="D1050" s="10"/>
      <c r="E1050" s="21"/>
      <c r="F1050" s="22"/>
      <c r="G1050" s="6"/>
    </row>
    <row r="1051" spans="1:7" x14ac:dyDescent="0.35">
      <c r="A1051" s="13" t="s">
        <v>267</v>
      </c>
      <c r="B1051" s="8"/>
      <c r="C1051" s="9"/>
      <c r="D1051" s="10"/>
      <c r="E1051" s="21"/>
      <c r="F1051" s="22"/>
      <c r="G1051" s="6"/>
    </row>
    <row r="1052" spans="1:7" x14ac:dyDescent="0.35">
      <c r="A1052" s="13" t="s">
        <v>268</v>
      </c>
      <c r="B1052" s="8"/>
      <c r="C1052" s="9"/>
      <c r="D1052" s="10"/>
      <c r="E1052" s="21"/>
      <c r="F1052" s="22"/>
      <c r="G1052" s="6"/>
    </row>
    <row r="1053" spans="1:7" x14ac:dyDescent="0.35">
      <c r="A1053" s="13" t="s">
        <v>269</v>
      </c>
      <c r="B1053" s="8"/>
      <c r="C1053" s="9"/>
      <c r="D1053" s="10"/>
      <c r="E1053" s="21"/>
      <c r="F1053" s="22"/>
      <c r="G1053" s="6"/>
    </row>
    <row r="1054" spans="1:7" x14ac:dyDescent="0.35">
      <c r="A1054" s="13" t="s">
        <v>270</v>
      </c>
      <c r="B1054" s="8"/>
      <c r="C1054" s="9"/>
      <c r="D1054" s="10"/>
      <c r="E1054" s="21"/>
      <c r="F1054" s="22"/>
      <c r="G1054" s="6"/>
    </row>
    <row r="1055" spans="1:7" x14ac:dyDescent="0.35">
      <c r="A1055" s="13" t="s">
        <v>271</v>
      </c>
      <c r="B1055" s="8"/>
      <c r="C1055" s="9"/>
      <c r="D1055" s="10"/>
      <c r="E1055" s="21"/>
      <c r="F1055" s="22"/>
      <c r="G1055" s="6"/>
    </row>
    <row r="1056" spans="1:7" x14ac:dyDescent="0.35">
      <c r="A1056" s="2"/>
      <c r="B1056" s="2"/>
      <c r="C1056" s="2"/>
      <c r="D1056" s="2"/>
      <c r="E1056" s="2"/>
      <c r="F1056" s="2"/>
      <c r="G1056" s="2"/>
    </row>
    <row r="1057" spans="1:7" x14ac:dyDescent="0.35">
      <c r="A1057" s="13" t="s">
        <v>39</v>
      </c>
      <c r="B1057" s="15" t="s">
        <v>0</v>
      </c>
      <c r="C1057" s="16" t="s">
        <v>1</v>
      </c>
      <c r="D1057" s="17" t="s">
        <v>2</v>
      </c>
      <c r="E1057" s="24" t="s">
        <v>3</v>
      </c>
      <c r="F1057" s="23" t="s">
        <v>4</v>
      </c>
      <c r="G1057" s="18" t="s">
        <v>5</v>
      </c>
    </row>
    <row r="1058" spans="1:7" x14ac:dyDescent="0.35">
      <c r="A1058" s="13" t="s">
        <v>242</v>
      </c>
      <c r="B1058" s="8"/>
      <c r="C1058" s="9"/>
      <c r="D1058" s="10"/>
      <c r="E1058" s="21"/>
      <c r="F1058" s="22"/>
      <c r="G1058" s="6"/>
    </row>
    <row r="1059" spans="1:7" x14ac:dyDescent="0.35">
      <c r="A1059" s="13" t="s">
        <v>243</v>
      </c>
      <c r="B1059" s="8"/>
      <c r="C1059" s="9"/>
      <c r="D1059" s="10"/>
      <c r="E1059" s="21"/>
      <c r="F1059" s="22"/>
      <c r="G1059" s="6"/>
    </row>
    <row r="1060" spans="1:7" x14ac:dyDescent="0.35">
      <c r="A1060" s="13" t="s">
        <v>244</v>
      </c>
      <c r="B1060" s="8"/>
      <c r="C1060" s="9"/>
      <c r="D1060" s="10"/>
      <c r="E1060" s="21"/>
      <c r="F1060" s="22"/>
      <c r="G1060" s="6"/>
    </row>
    <row r="1061" spans="1:7" x14ac:dyDescent="0.35">
      <c r="A1061" s="13" t="s">
        <v>245</v>
      </c>
      <c r="B1061" s="8"/>
      <c r="C1061" s="9"/>
      <c r="D1061" s="10"/>
      <c r="E1061" s="21"/>
      <c r="F1061" s="22"/>
      <c r="G1061" s="6"/>
    </row>
    <row r="1062" spans="1:7" x14ac:dyDescent="0.35">
      <c r="A1062" s="13" t="s">
        <v>246</v>
      </c>
      <c r="B1062" s="8"/>
      <c r="C1062" s="9"/>
      <c r="D1062" s="10"/>
      <c r="E1062" s="21"/>
      <c r="F1062" s="22"/>
      <c r="G1062" s="6"/>
    </row>
    <row r="1063" spans="1:7" x14ac:dyDescent="0.35">
      <c r="A1063" s="13" t="s">
        <v>247</v>
      </c>
      <c r="B1063" s="8"/>
      <c r="C1063" s="9"/>
      <c r="D1063" s="10"/>
      <c r="E1063" s="21"/>
      <c r="F1063" s="22"/>
      <c r="G1063" s="6"/>
    </row>
    <row r="1064" spans="1:7" x14ac:dyDescent="0.35">
      <c r="A1064" s="13" t="s">
        <v>248</v>
      </c>
      <c r="B1064" s="8"/>
      <c r="C1064" s="9"/>
      <c r="D1064" s="10"/>
      <c r="E1064" s="21"/>
      <c r="F1064" s="22"/>
      <c r="G1064" s="6"/>
    </row>
    <row r="1065" spans="1:7" x14ac:dyDescent="0.35">
      <c r="A1065" s="13" t="s">
        <v>249</v>
      </c>
      <c r="B1065" s="8"/>
      <c r="C1065" s="9"/>
      <c r="D1065" s="10"/>
      <c r="E1065" s="21"/>
      <c r="F1065" s="22"/>
      <c r="G1065" s="6"/>
    </row>
    <row r="1066" spans="1:7" x14ac:dyDescent="0.35">
      <c r="A1066" s="13" t="s">
        <v>250</v>
      </c>
      <c r="B1066" s="8"/>
      <c r="C1066" s="9"/>
      <c r="D1066" s="10"/>
      <c r="E1066" s="21"/>
      <c r="F1066" s="22"/>
      <c r="G1066" s="6"/>
    </row>
    <row r="1067" spans="1:7" x14ac:dyDescent="0.35">
      <c r="A1067" s="13" t="s">
        <v>251</v>
      </c>
      <c r="B1067" s="8"/>
      <c r="C1067" s="9"/>
      <c r="D1067" s="10"/>
      <c r="E1067" s="21"/>
      <c r="F1067" s="22"/>
      <c r="G1067" s="6"/>
    </row>
    <row r="1068" spans="1:7" x14ac:dyDescent="0.35">
      <c r="A1068" s="13" t="s">
        <v>252</v>
      </c>
      <c r="B1068" s="8"/>
      <c r="C1068" s="9"/>
      <c r="D1068" s="10"/>
      <c r="E1068" s="21"/>
      <c r="F1068" s="22"/>
      <c r="G1068" s="6"/>
    </row>
    <row r="1069" spans="1:7" x14ac:dyDescent="0.35">
      <c r="A1069" s="13" t="s">
        <v>253</v>
      </c>
      <c r="B1069" s="8"/>
      <c r="C1069" s="9"/>
      <c r="D1069" s="10"/>
      <c r="E1069" s="21"/>
      <c r="F1069" s="22"/>
      <c r="G1069" s="6"/>
    </row>
    <row r="1070" spans="1:7" x14ac:dyDescent="0.35">
      <c r="A1070" s="13" t="s">
        <v>254</v>
      </c>
      <c r="B1070" s="8"/>
      <c r="C1070" s="9"/>
      <c r="D1070" s="10"/>
      <c r="E1070" s="21"/>
      <c r="F1070" s="22"/>
      <c r="G1070" s="6"/>
    </row>
    <row r="1071" spans="1:7" x14ac:dyDescent="0.35">
      <c r="A1071" s="13" t="s">
        <v>255</v>
      </c>
      <c r="B1071" s="8"/>
      <c r="C1071" s="9"/>
      <c r="D1071" s="10"/>
      <c r="E1071" s="21"/>
      <c r="F1071" s="22"/>
      <c r="G1071" s="6"/>
    </row>
    <row r="1072" spans="1:7" x14ac:dyDescent="0.35">
      <c r="A1072" s="13" t="s">
        <v>256</v>
      </c>
      <c r="B1072" s="8"/>
      <c r="C1072" s="9"/>
      <c r="D1072" s="10"/>
      <c r="E1072" s="21"/>
      <c r="F1072" s="22"/>
      <c r="G1072" s="6"/>
    </row>
    <row r="1073" spans="1:7" x14ac:dyDescent="0.35">
      <c r="A1073" s="13" t="s">
        <v>257</v>
      </c>
      <c r="B1073" s="8"/>
      <c r="C1073" s="9"/>
      <c r="D1073" s="10"/>
      <c r="E1073" s="21"/>
      <c r="F1073" s="22"/>
      <c r="G1073" s="6"/>
    </row>
    <row r="1074" spans="1:7" x14ac:dyDescent="0.35">
      <c r="A1074" s="13" t="s">
        <v>258</v>
      </c>
      <c r="B1074" s="8"/>
      <c r="C1074" s="9"/>
      <c r="D1074" s="10"/>
      <c r="E1074" s="21"/>
      <c r="F1074" s="22"/>
      <c r="G1074" s="6"/>
    </row>
    <row r="1075" spans="1:7" x14ac:dyDescent="0.35">
      <c r="A1075" s="13" t="s">
        <v>259</v>
      </c>
      <c r="B1075" s="8"/>
      <c r="C1075" s="9"/>
      <c r="D1075" s="10"/>
      <c r="E1075" s="21"/>
      <c r="F1075" s="22"/>
      <c r="G1075" s="6"/>
    </row>
    <row r="1076" spans="1:7" x14ac:dyDescent="0.35">
      <c r="A1076" s="13" t="s">
        <v>260</v>
      </c>
      <c r="B1076" s="8"/>
      <c r="C1076" s="9"/>
      <c r="D1076" s="10"/>
      <c r="E1076" s="21"/>
      <c r="F1076" s="22"/>
      <c r="G1076" s="6"/>
    </row>
    <row r="1077" spans="1:7" x14ac:dyDescent="0.35">
      <c r="A1077" s="13" t="s">
        <v>261</v>
      </c>
      <c r="B1077" s="8"/>
      <c r="C1077" s="9"/>
      <c r="D1077" s="10"/>
      <c r="E1077" s="21"/>
      <c r="F1077" s="22"/>
      <c r="G1077" s="6"/>
    </row>
    <row r="1078" spans="1:7" x14ac:dyDescent="0.35">
      <c r="A1078" s="13" t="s">
        <v>262</v>
      </c>
      <c r="B1078" s="8"/>
      <c r="C1078" s="9"/>
      <c r="D1078" s="10"/>
      <c r="E1078" s="21"/>
      <c r="F1078" s="22"/>
      <c r="G1078" s="6"/>
    </row>
    <row r="1079" spans="1:7" x14ac:dyDescent="0.35">
      <c r="A1079" s="13" t="s">
        <v>263</v>
      </c>
      <c r="B1079" s="8"/>
      <c r="C1079" s="9"/>
      <c r="D1079" s="10"/>
      <c r="E1079" s="21"/>
      <c r="F1079" s="22"/>
      <c r="G1079" s="6"/>
    </row>
    <row r="1080" spans="1:7" x14ac:dyDescent="0.35">
      <c r="A1080" s="13" t="s">
        <v>264</v>
      </c>
      <c r="B1080" s="8"/>
      <c r="C1080" s="9"/>
      <c r="D1080" s="10"/>
      <c r="E1080" s="21"/>
      <c r="F1080" s="22"/>
      <c r="G1080" s="6"/>
    </row>
    <row r="1081" spans="1:7" x14ac:dyDescent="0.35">
      <c r="A1081" s="13" t="s">
        <v>265</v>
      </c>
      <c r="B1081" s="8"/>
      <c r="C1081" s="9"/>
      <c r="D1081" s="10"/>
      <c r="E1081" s="21"/>
      <c r="F1081" s="22"/>
      <c r="G1081" s="6"/>
    </row>
    <row r="1082" spans="1:7" x14ac:dyDescent="0.35">
      <c r="A1082" s="13" t="s">
        <v>266</v>
      </c>
      <c r="B1082" s="8"/>
      <c r="C1082" s="9"/>
      <c r="D1082" s="10"/>
      <c r="E1082" s="21"/>
      <c r="F1082" s="22"/>
      <c r="G1082" s="6"/>
    </row>
    <row r="1083" spans="1:7" x14ac:dyDescent="0.35">
      <c r="A1083" s="13" t="s">
        <v>267</v>
      </c>
      <c r="B1083" s="8"/>
      <c r="C1083" s="9"/>
      <c r="D1083" s="10"/>
      <c r="E1083" s="21"/>
      <c r="F1083" s="22"/>
      <c r="G1083" s="6"/>
    </row>
    <row r="1084" spans="1:7" x14ac:dyDescent="0.35">
      <c r="A1084" s="13" t="s">
        <v>268</v>
      </c>
      <c r="B1084" s="8"/>
      <c r="C1084" s="9"/>
      <c r="D1084" s="10"/>
      <c r="E1084" s="21"/>
      <c r="F1084" s="22"/>
      <c r="G1084" s="6"/>
    </row>
    <row r="1085" spans="1:7" x14ac:dyDescent="0.35">
      <c r="A1085" s="13" t="s">
        <v>269</v>
      </c>
      <c r="B1085" s="8"/>
      <c r="C1085" s="9"/>
      <c r="D1085" s="10"/>
      <c r="E1085" s="21"/>
      <c r="F1085" s="22"/>
      <c r="G1085" s="6"/>
    </row>
    <row r="1086" spans="1:7" x14ac:dyDescent="0.35">
      <c r="A1086" s="13" t="s">
        <v>270</v>
      </c>
      <c r="B1086" s="8"/>
      <c r="C1086" s="9"/>
      <c r="D1086" s="10"/>
      <c r="E1086" s="21"/>
      <c r="F1086" s="22"/>
      <c r="G1086" s="6"/>
    </row>
    <row r="1087" spans="1:7" x14ac:dyDescent="0.35">
      <c r="A1087" s="13" t="s">
        <v>271</v>
      </c>
      <c r="B1087" s="8"/>
      <c r="C1087" s="9"/>
      <c r="D1087" s="10"/>
      <c r="E1087" s="21"/>
      <c r="F1087" s="22"/>
      <c r="G1087" s="6"/>
    </row>
    <row r="1088" spans="1:7" x14ac:dyDescent="0.35">
      <c r="A1088" s="2"/>
      <c r="B1088" s="2"/>
      <c r="C1088" s="2"/>
      <c r="D1088" s="2"/>
      <c r="E1088" s="2"/>
      <c r="F1088" s="2"/>
      <c r="G1088" s="2"/>
    </row>
    <row r="1089" spans="1:7" x14ac:dyDescent="0.35">
      <c r="A1089" s="13" t="s">
        <v>40</v>
      </c>
      <c r="B1089" s="15" t="s">
        <v>0</v>
      </c>
      <c r="C1089" s="16" t="s">
        <v>1</v>
      </c>
      <c r="D1089" s="17" t="s">
        <v>2</v>
      </c>
      <c r="E1089" s="24" t="s">
        <v>3</v>
      </c>
      <c r="F1089" s="23" t="s">
        <v>4</v>
      </c>
      <c r="G1089" s="18" t="s">
        <v>5</v>
      </c>
    </row>
    <row r="1090" spans="1:7" x14ac:dyDescent="0.35">
      <c r="A1090" s="13" t="s">
        <v>242</v>
      </c>
      <c r="B1090" s="8"/>
      <c r="C1090" s="9"/>
      <c r="D1090" s="10"/>
      <c r="E1090" s="21"/>
      <c r="F1090" s="22"/>
      <c r="G1090" s="6"/>
    </row>
    <row r="1091" spans="1:7" x14ac:dyDescent="0.35">
      <c r="A1091" s="13" t="s">
        <v>243</v>
      </c>
      <c r="B1091" s="8"/>
      <c r="C1091" s="9"/>
      <c r="D1091" s="10"/>
      <c r="E1091" s="21"/>
      <c r="F1091" s="22"/>
      <c r="G1091" s="6"/>
    </row>
    <row r="1092" spans="1:7" x14ac:dyDescent="0.35">
      <c r="A1092" s="13" t="s">
        <v>244</v>
      </c>
      <c r="B1092" s="8"/>
      <c r="C1092" s="9"/>
      <c r="D1092" s="10"/>
      <c r="E1092" s="21"/>
      <c r="F1092" s="22"/>
      <c r="G1092" s="6"/>
    </row>
    <row r="1093" spans="1:7" x14ac:dyDescent="0.35">
      <c r="A1093" s="13" t="s">
        <v>245</v>
      </c>
      <c r="B1093" s="8"/>
      <c r="C1093" s="9"/>
      <c r="D1093" s="10"/>
      <c r="E1093" s="21"/>
      <c r="F1093" s="22"/>
      <c r="G1093" s="6"/>
    </row>
    <row r="1094" spans="1:7" x14ac:dyDescent="0.35">
      <c r="A1094" s="13" t="s">
        <v>246</v>
      </c>
      <c r="B1094" s="8"/>
      <c r="C1094" s="9"/>
      <c r="D1094" s="10"/>
      <c r="E1094" s="21"/>
      <c r="F1094" s="22"/>
      <c r="G1094" s="6"/>
    </row>
    <row r="1095" spans="1:7" x14ac:dyDescent="0.35">
      <c r="A1095" s="13" t="s">
        <v>247</v>
      </c>
      <c r="B1095" s="8"/>
      <c r="C1095" s="9"/>
      <c r="D1095" s="10"/>
      <c r="E1095" s="21"/>
      <c r="F1095" s="22"/>
      <c r="G1095" s="6"/>
    </row>
    <row r="1096" spans="1:7" x14ac:dyDescent="0.35">
      <c r="A1096" s="13" t="s">
        <v>248</v>
      </c>
      <c r="B1096" s="8"/>
      <c r="C1096" s="9"/>
      <c r="D1096" s="10"/>
      <c r="E1096" s="21"/>
      <c r="F1096" s="22"/>
      <c r="G1096" s="6"/>
    </row>
    <row r="1097" spans="1:7" x14ac:dyDescent="0.35">
      <c r="A1097" s="13" t="s">
        <v>249</v>
      </c>
      <c r="B1097" s="8"/>
      <c r="C1097" s="9"/>
      <c r="D1097" s="10"/>
      <c r="E1097" s="21"/>
      <c r="F1097" s="22"/>
      <c r="G1097" s="6"/>
    </row>
    <row r="1098" spans="1:7" x14ac:dyDescent="0.35">
      <c r="A1098" s="13" t="s">
        <v>250</v>
      </c>
      <c r="B1098" s="8"/>
      <c r="C1098" s="9"/>
      <c r="D1098" s="10"/>
      <c r="E1098" s="21"/>
      <c r="F1098" s="22"/>
      <c r="G1098" s="6"/>
    </row>
    <row r="1099" spans="1:7" x14ac:dyDescent="0.35">
      <c r="A1099" s="13" t="s">
        <v>251</v>
      </c>
      <c r="B1099" s="8"/>
      <c r="C1099" s="9"/>
      <c r="D1099" s="10"/>
      <c r="E1099" s="21"/>
      <c r="F1099" s="22"/>
      <c r="G1099" s="6"/>
    </row>
    <row r="1100" spans="1:7" x14ac:dyDescent="0.35">
      <c r="A1100" s="13" t="s">
        <v>252</v>
      </c>
      <c r="B1100" s="8"/>
      <c r="C1100" s="9"/>
      <c r="D1100" s="10"/>
      <c r="E1100" s="21"/>
      <c r="F1100" s="22"/>
      <c r="G1100" s="6"/>
    </row>
    <row r="1101" spans="1:7" x14ac:dyDescent="0.35">
      <c r="A1101" s="13" t="s">
        <v>253</v>
      </c>
      <c r="B1101" s="8"/>
      <c r="C1101" s="9"/>
      <c r="D1101" s="10"/>
      <c r="E1101" s="21"/>
      <c r="F1101" s="22"/>
      <c r="G1101" s="6"/>
    </row>
    <row r="1102" spans="1:7" x14ac:dyDescent="0.35">
      <c r="A1102" s="13" t="s">
        <v>254</v>
      </c>
      <c r="B1102" s="8"/>
      <c r="C1102" s="9"/>
      <c r="D1102" s="10"/>
      <c r="E1102" s="21"/>
      <c r="F1102" s="22"/>
      <c r="G1102" s="6"/>
    </row>
    <row r="1103" spans="1:7" x14ac:dyDescent="0.35">
      <c r="A1103" s="13" t="s">
        <v>255</v>
      </c>
      <c r="B1103" s="8"/>
      <c r="C1103" s="9"/>
      <c r="D1103" s="10"/>
      <c r="E1103" s="21"/>
      <c r="F1103" s="22"/>
      <c r="G1103" s="6"/>
    </row>
    <row r="1104" spans="1:7" x14ac:dyDescent="0.35">
      <c r="A1104" s="13" t="s">
        <v>256</v>
      </c>
      <c r="B1104" s="8"/>
      <c r="C1104" s="9"/>
      <c r="D1104" s="10"/>
      <c r="E1104" s="21"/>
      <c r="F1104" s="22"/>
      <c r="G1104" s="6"/>
    </row>
    <row r="1105" spans="1:7" x14ac:dyDescent="0.35">
      <c r="A1105" s="13" t="s">
        <v>257</v>
      </c>
      <c r="B1105" s="8"/>
      <c r="C1105" s="9"/>
      <c r="D1105" s="10"/>
      <c r="E1105" s="21"/>
      <c r="F1105" s="22"/>
      <c r="G1105" s="6"/>
    </row>
    <row r="1106" spans="1:7" x14ac:dyDescent="0.35">
      <c r="A1106" s="13" t="s">
        <v>258</v>
      </c>
      <c r="B1106" s="8"/>
      <c r="C1106" s="9"/>
      <c r="D1106" s="10"/>
      <c r="E1106" s="21"/>
      <c r="F1106" s="22"/>
      <c r="G1106" s="6"/>
    </row>
    <row r="1107" spans="1:7" x14ac:dyDescent="0.35">
      <c r="A1107" s="13" t="s">
        <v>259</v>
      </c>
      <c r="B1107" s="8"/>
      <c r="C1107" s="9"/>
      <c r="D1107" s="10"/>
      <c r="E1107" s="21"/>
      <c r="F1107" s="22"/>
      <c r="G1107" s="6"/>
    </row>
    <row r="1108" spans="1:7" x14ac:dyDescent="0.35">
      <c r="A1108" s="13" t="s">
        <v>260</v>
      </c>
      <c r="B1108" s="8"/>
      <c r="C1108" s="9"/>
      <c r="D1108" s="10"/>
      <c r="E1108" s="21"/>
      <c r="F1108" s="22"/>
      <c r="G1108" s="6"/>
    </row>
    <row r="1109" spans="1:7" x14ac:dyDescent="0.35">
      <c r="A1109" s="13" t="s">
        <v>261</v>
      </c>
      <c r="B1109" s="8"/>
      <c r="C1109" s="9"/>
      <c r="D1109" s="10"/>
      <c r="E1109" s="21"/>
      <c r="F1109" s="22"/>
      <c r="G1109" s="6"/>
    </row>
    <row r="1110" spans="1:7" x14ac:dyDescent="0.35">
      <c r="A1110" s="13" t="s">
        <v>262</v>
      </c>
      <c r="B1110" s="8"/>
      <c r="C1110" s="9"/>
      <c r="D1110" s="10"/>
      <c r="E1110" s="21"/>
      <c r="F1110" s="22"/>
      <c r="G1110" s="6"/>
    </row>
    <row r="1111" spans="1:7" x14ac:dyDescent="0.35">
      <c r="A1111" s="13" t="s">
        <v>263</v>
      </c>
      <c r="B1111" s="8"/>
      <c r="C1111" s="9"/>
      <c r="D1111" s="10"/>
      <c r="E1111" s="21"/>
      <c r="F1111" s="22"/>
      <c r="G1111" s="6"/>
    </row>
    <row r="1112" spans="1:7" x14ac:dyDescent="0.35">
      <c r="A1112" s="13" t="s">
        <v>264</v>
      </c>
      <c r="B1112" s="8"/>
      <c r="C1112" s="9"/>
      <c r="D1112" s="10"/>
      <c r="E1112" s="21"/>
      <c r="F1112" s="22"/>
      <c r="G1112" s="6"/>
    </row>
    <row r="1113" spans="1:7" x14ac:dyDescent="0.35">
      <c r="A1113" s="13" t="s">
        <v>265</v>
      </c>
      <c r="B1113" s="8"/>
      <c r="C1113" s="9"/>
      <c r="D1113" s="10"/>
      <c r="E1113" s="21"/>
      <c r="F1113" s="22"/>
      <c r="G1113" s="6"/>
    </row>
    <row r="1114" spans="1:7" x14ac:dyDescent="0.35">
      <c r="A1114" s="13" t="s">
        <v>266</v>
      </c>
      <c r="B1114" s="8"/>
      <c r="C1114" s="9"/>
      <c r="D1114" s="10"/>
      <c r="E1114" s="21"/>
      <c r="F1114" s="22"/>
      <c r="G1114" s="6"/>
    </row>
    <row r="1115" spans="1:7" x14ac:dyDescent="0.35">
      <c r="A1115" s="13" t="s">
        <v>267</v>
      </c>
      <c r="B1115" s="8"/>
      <c r="C1115" s="9"/>
      <c r="D1115" s="10"/>
      <c r="E1115" s="21"/>
      <c r="F1115" s="22"/>
      <c r="G1115" s="6"/>
    </row>
    <row r="1116" spans="1:7" x14ac:dyDescent="0.35">
      <c r="A1116" s="13" t="s">
        <v>268</v>
      </c>
      <c r="B1116" s="8"/>
      <c r="C1116" s="9"/>
      <c r="D1116" s="10"/>
      <c r="E1116" s="21"/>
      <c r="F1116" s="22"/>
      <c r="G1116" s="6"/>
    </row>
    <row r="1117" spans="1:7" x14ac:dyDescent="0.35">
      <c r="A1117" s="13" t="s">
        <v>269</v>
      </c>
      <c r="B1117" s="8"/>
      <c r="C1117" s="9"/>
      <c r="D1117" s="10"/>
      <c r="E1117" s="21"/>
      <c r="F1117" s="22"/>
      <c r="G1117" s="6"/>
    </row>
    <row r="1118" spans="1:7" x14ac:dyDescent="0.35">
      <c r="A1118" s="13" t="s">
        <v>270</v>
      </c>
      <c r="B1118" s="8"/>
      <c r="C1118" s="9"/>
      <c r="D1118" s="10"/>
      <c r="E1118" s="21"/>
      <c r="F1118" s="22"/>
      <c r="G1118" s="6"/>
    </row>
    <row r="1119" spans="1:7" x14ac:dyDescent="0.35">
      <c r="A1119" s="13" t="s">
        <v>271</v>
      </c>
      <c r="B1119" s="8"/>
      <c r="C1119" s="9"/>
      <c r="D1119" s="10"/>
      <c r="E1119" s="21"/>
      <c r="F1119" s="22"/>
      <c r="G1119" s="6"/>
    </row>
    <row r="1120" spans="1:7" x14ac:dyDescent="0.35">
      <c r="A1120" s="2"/>
      <c r="B1120" s="2"/>
      <c r="C1120" s="2"/>
      <c r="D1120" s="2"/>
      <c r="E1120" s="2"/>
      <c r="F1120" s="2"/>
      <c r="G1120" s="2"/>
    </row>
    <row r="1121" spans="1:7" x14ac:dyDescent="0.35">
      <c r="A1121" s="13" t="s">
        <v>41</v>
      </c>
      <c r="B1121" s="15" t="s">
        <v>0</v>
      </c>
      <c r="C1121" s="16" t="s">
        <v>1</v>
      </c>
      <c r="D1121" s="17" t="s">
        <v>2</v>
      </c>
      <c r="E1121" s="24" t="s">
        <v>3</v>
      </c>
      <c r="F1121" s="23" t="s">
        <v>4</v>
      </c>
      <c r="G1121" s="18" t="s">
        <v>5</v>
      </c>
    </row>
    <row r="1122" spans="1:7" x14ac:dyDescent="0.35">
      <c r="A1122" s="13" t="s">
        <v>242</v>
      </c>
      <c r="B1122" s="8"/>
      <c r="C1122" s="9"/>
      <c r="D1122" s="10"/>
      <c r="E1122" s="21"/>
      <c r="F1122" s="22"/>
      <c r="G1122" s="6"/>
    </row>
    <row r="1123" spans="1:7" x14ac:dyDescent="0.35">
      <c r="A1123" s="13" t="s">
        <v>243</v>
      </c>
      <c r="B1123" s="8"/>
      <c r="C1123" s="9"/>
      <c r="D1123" s="10"/>
      <c r="E1123" s="21"/>
      <c r="F1123" s="22"/>
      <c r="G1123" s="6"/>
    </row>
    <row r="1124" spans="1:7" x14ac:dyDescent="0.35">
      <c r="A1124" s="13" t="s">
        <v>244</v>
      </c>
      <c r="B1124" s="8"/>
      <c r="C1124" s="9"/>
      <c r="D1124" s="10"/>
      <c r="E1124" s="21"/>
      <c r="F1124" s="22"/>
      <c r="G1124" s="6"/>
    </row>
    <row r="1125" spans="1:7" x14ac:dyDescent="0.35">
      <c r="A1125" s="13" t="s">
        <v>245</v>
      </c>
      <c r="B1125" s="8"/>
      <c r="C1125" s="9"/>
      <c r="D1125" s="10"/>
      <c r="E1125" s="21"/>
      <c r="F1125" s="22"/>
      <c r="G1125" s="6"/>
    </row>
    <row r="1126" spans="1:7" x14ac:dyDescent="0.35">
      <c r="A1126" s="13" t="s">
        <v>246</v>
      </c>
      <c r="B1126" s="8"/>
      <c r="C1126" s="9"/>
      <c r="D1126" s="10"/>
      <c r="E1126" s="21"/>
      <c r="F1126" s="22"/>
      <c r="G1126" s="6"/>
    </row>
    <row r="1127" spans="1:7" x14ac:dyDescent="0.35">
      <c r="A1127" s="13" t="s">
        <v>247</v>
      </c>
      <c r="B1127" s="8"/>
      <c r="C1127" s="9"/>
      <c r="D1127" s="10"/>
      <c r="E1127" s="21"/>
      <c r="F1127" s="22"/>
      <c r="G1127" s="6"/>
    </row>
    <row r="1128" spans="1:7" x14ac:dyDescent="0.35">
      <c r="A1128" s="13" t="s">
        <v>248</v>
      </c>
      <c r="B1128" s="8"/>
      <c r="C1128" s="9"/>
      <c r="D1128" s="10"/>
      <c r="E1128" s="21"/>
      <c r="F1128" s="22"/>
      <c r="G1128" s="6"/>
    </row>
    <row r="1129" spans="1:7" x14ac:dyDescent="0.35">
      <c r="A1129" s="13" t="s">
        <v>249</v>
      </c>
      <c r="B1129" s="8"/>
      <c r="C1129" s="9"/>
      <c r="D1129" s="10"/>
      <c r="E1129" s="21"/>
      <c r="F1129" s="22"/>
      <c r="G1129" s="6"/>
    </row>
    <row r="1130" spans="1:7" x14ac:dyDescent="0.35">
      <c r="A1130" s="13" t="s">
        <v>250</v>
      </c>
      <c r="B1130" s="8"/>
      <c r="C1130" s="9"/>
      <c r="D1130" s="10"/>
      <c r="E1130" s="21"/>
      <c r="F1130" s="22"/>
      <c r="G1130" s="6"/>
    </row>
    <row r="1131" spans="1:7" x14ac:dyDescent="0.35">
      <c r="A1131" s="13" t="s">
        <v>251</v>
      </c>
      <c r="B1131" s="8"/>
      <c r="C1131" s="9"/>
      <c r="D1131" s="10"/>
      <c r="E1131" s="21"/>
      <c r="F1131" s="22"/>
      <c r="G1131" s="6"/>
    </row>
    <row r="1132" spans="1:7" x14ac:dyDescent="0.35">
      <c r="A1132" s="13" t="s">
        <v>252</v>
      </c>
      <c r="B1132" s="8"/>
      <c r="C1132" s="9"/>
      <c r="D1132" s="10"/>
      <c r="E1132" s="21"/>
      <c r="F1132" s="22"/>
      <c r="G1132" s="6"/>
    </row>
    <row r="1133" spans="1:7" x14ac:dyDescent="0.35">
      <c r="A1133" s="13" t="s">
        <v>253</v>
      </c>
      <c r="B1133" s="8"/>
      <c r="C1133" s="9"/>
      <c r="D1133" s="10"/>
      <c r="E1133" s="21"/>
      <c r="F1133" s="22"/>
      <c r="G1133" s="6"/>
    </row>
    <row r="1134" spans="1:7" x14ac:dyDescent="0.35">
      <c r="A1134" s="13" t="s">
        <v>254</v>
      </c>
      <c r="B1134" s="8"/>
      <c r="C1134" s="9"/>
      <c r="D1134" s="10"/>
      <c r="E1134" s="21"/>
      <c r="F1134" s="22"/>
      <c r="G1134" s="6"/>
    </row>
    <row r="1135" spans="1:7" x14ac:dyDescent="0.35">
      <c r="A1135" s="13" t="s">
        <v>255</v>
      </c>
      <c r="B1135" s="8"/>
      <c r="C1135" s="9"/>
      <c r="D1135" s="10"/>
      <c r="E1135" s="21"/>
      <c r="F1135" s="22"/>
      <c r="G1135" s="6"/>
    </row>
    <row r="1136" spans="1:7" x14ac:dyDescent="0.35">
      <c r="A1136" s="13" t="s">
        <v>256</v>
      </c>
      <c r="B1136" s="8"/>
      <c r="C1136" s="9"/>
      <c r="D1136" s="10"/>
      <c r="E1136" s="21"/>
      <c r="F1136" s="22"/>
      <c r="G1136" s="6"/>
    </row>
    <row r="1137" spans="1:7" x14ac:dyDescent="0.35">
      <c r="A1137" s="13" t="s">
        <v>257</v>
      </c>
      <c r="B1137" s="8"/>
      <c r="C1137" s="9"/>
      <c r="D1137" s="10"/>
      <c r="E1137" s="21"/>
      <c r="F1137" s="22"/>
      <c r="G1137" s="6"/>
    </row>
    <row r="1138" spans="1:7" x14ac:dyDescent="0.35">
      <c r="A1138" s="13" t="s">
        <v>258</v>
      </c>
      <c r="B1138" s="8"/>
      <c r="C1138" s="9"/>
      <c r="D1138" s="10"/>
      <c r="E1138" s="21"/>
      <c r="F1138" s="22"/>
      <c r="G1138" s="6"/>
    </row>
    <row r="1139" spans="1:7" x14ac:dyDescent="0.35">
      <c r="A1139" s="13" t="s">
        <v>259</v>
      </c>
      <c r="B1139" s="8"/>
      <c r="C1139" s="9"/>
      <c r="D1139" s="10"/>
      <c r="E1139" s="21"/>
      <c r="F1139" s="22"/>
      <c r="G1139" s="6"/>
    </row>
    <row r="1140" spans="1:7" x14ac:dyDescent="0.35">
      <c r="A1140" s="13" t="s">
        <v>260</v>
      </c>
      <c r="B1140" s="8"/>
      <c r="C1140" s="9"/>
      <c r="D1140" s="10"/>
      <c r="E1140" s="21"/>
      <c r="F1140" s="22"/>
      <c r="G1140" s="6"/>
    </row>
    <row r="1141" spans="1:7" x14ac:dyDescent="0.35">
      <c r="A1141" s="13" t="s">
        <v>261</v>
      </c>
      <c r="B1141" s="8"/>
      <c r="C1141" s="9"/>
      <c r="D1141" s="10"/>
      <c r="E1141" s="21"/>
      <c r="F1141" s="22"/>
      <c r="G1141" s="6"/>
    </row>
    <row r="1142" spans="1:7" x14ac:dyDescent="0.35">
      <c r="A1142" s="13" t="s">
        <v>262</v>
      </c>
      <c r="B1142" s="8"/>
      <c r="C1142" s="9"/>
      <c r="D1142" s="10"/>
      <c r="E1142" s="21"/>
      <c r="F1142" s="22"/>
      <c r="G1142" s="6"/>
    </row>
    <row r="1143" spans="1:7" x14ac:dyDescent="0.35">
      <c r="A1143" s="13" t="s">
        <v>263</v>
      </c>
      <c r="B1143" s="8"/>
      <c r="C1143" s="9"/>
      <c r="D1143" s="10"/>
      <c r="E1143" s="21"/>
      <c r="F1143" s="22"/>
      <c r="G1143" s="6"/>
    </row>
    <row r="1144" spans="1:7" x14ac:dyDescent="0.35">
      <c r="A1144" s="13" t="s">
        <v>264</v>
      </c>
      <c r="B1144" s="8"/>
      <c r="C1144" s="9"/>
      <c r="D1144" s="10"/>
      <c r="E1144" s="21"/>
      <c r="F1144" s="22"/>
      <c r="G1144" s="6"/>
    </row>
    <row r="1145" spans="1:7" x14ac:dyDescent="0.35">
      <c r="A1145" s="13" t="s">
        <v>265</v>
      </c>
      <c r="B1145" s="8"/>
      <c r="C1145" s="9"/>
      <c r="D1145" s="10"/>
      <c r="E1145" s="21"/>
      <c r="F1145" s="22"/>
      <c r="G1145" s="6"/>
    </row>
    <row r="1146" spans="1:7" x14ac:dyDescent="0.35">
      <c r="A1146" s="13" t="s">
        <v>266</v>
      </c>
      <c r="B1146" s="8"/>
      <c r="C1146" s="9"/>
      <c r="D1146" s="10"/>
      <c r="E1146" s="21"/>
      <c r="F1146" s="22"/>
      <c r="G1146" s="6"/>
    </row>
    <row r="1147" spans="1:7" x14ac:dyDescent="0.35">
      <c r="A1147" s="13" t="s">
        <v>267</v>
      </c>
      <c r="B1147" s="8"/>
      <c r="C1147" s="9"/>
      <c r="D1147" s="10"/>
      <c r="E1147" s="21"/>
      <c r="F1147" s="22"/>
      <c r="G1147" s="6"/>
    </row>
    <row r="1148" spans="1:7" x14ac:dyDescent="0.35">
      <c r="A1148" s="13" t="s">
        <v>268</v>
      </c>
      <c r="B1148" s="8"/>
      <c r="C1148" s="9"/>
      <c r="D1148" s="10"/>
      <c r="E1148" s="21"/>
      <c r="F1148" s="22"/>
      <c r="G1148" s="6"/>
    </row>
    <row r="1149" spans="1:7" x14ac:dyDescent="0.35">
      <c r="A1149" s="13" t="s">
        <v>269</v>
      </c>
      <c r="B1149" s="8"/>
      <c r="C1149" s="9"/>
      <c r="D1149" s="10"/>
      <c r="E1149" s="21"/>
      <c r="F1149" s="22"/>
      <c r="G1149" s="6"/>
    </row>
    <row r="1150" spans="1:7" x14ac:dyDescent="0.35">
      <c r="A1150" s="13" t="s">
        <v>270</v>
      </c>
      <c r="B1150" s="8"/>
      <c r="C1150" s="9"/>
      <c r="D1150" s="10"/>
      <c r="E1150" s="21"/>
      <c r="F1150" s="22"/>
      <c r="G1150" s="6"/>
    </row>
    <row r="1151" spans="1:7" x14ac:dyDescent="0.35">
      <c r="A1151" s="13" t="s">
        <v>271</v>
      </c>
      <c r="B1151" s="8"/>
      <c r="C1151" s="9"/>
      <c r="D1151" s="10"/>
      <c r="E1151" s="21"/>
      <c r="F1151" s="22"/>
      <c r="G1151" s="6"/>
    </row>
  </sheetData>
  <pageMargins left="0.7" right="0.7" top="0.75" bottom="0.75" header="0.3" footer="0.3"/>
  <pageSetup orientation="portrait" r:id="rId1"/>
  <headerFooter>
    <oddHeader>&amp;L&amp;"Aptos"&amp;12&amp;K03C03C Public&amp;1#_x000D_</oddHeader>
  </headerFooter>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7A53F-9804-49FC-A5D9-8950436C47AA}">
  <dimension ref="A1:P1151"/>
  <sheetViews>
    <sheetView zoomScaleNormal="100" workbookViewId="0">
      <selection activeCell="C66" sqref="C66:G95"/>
    </sheetView>
  </sheetViews>
  <sheetFormatPr defaultRowHeight="14.5" x14ac:dyDescent="0.35"/>
  <cols>
    <col min="1" max="1" width="16.81640625" customWidth="1"/>
    <col min="2" max="2" width="17.81640625" bestFit="1" customWidth="1"/>
    <col min="3" max="4" width="20.7265625" bestFit="1" customWidth="1"/>
    <col min="5" max="7" width="18.54296875" customWidth="1"/>
    <col min="8" max="8" width="9.1796875" style="2"/>
    <col min="11" max="16" width="14.54296875" customWidth="1"/>
  </cols>
  <sheetData>
    <row r="1" spans="1:16" x14ac:dyDescent="0.35">
      <c r="A1" s="13" t="s">
        <v>334</v>
      </c>
      <c r="B1" s="15" t="s">
        <v>0</v>
      </c>
      <c r="C1" s="16" t="s">
        <v>1</v>
      </c>
      <c r="D1" s="17" t="s">
        <v>2</v>
      </c>
      <c r="E1" s="24" t="s">
        <v>3</v>
      </c>
      <c r="F1" s="23" t="s">
        <v>4</v>
      </c>
      <c r="G1" s="18" t="s">
        <v>5</v>
      </c>
      <c r="J1" s="190" t="s">
        <v>334</v>
      </c>
      <c r="K1" s="191" t="s">
        <v>0</v>
      </c>
      <c r="L1" s="192" t="s">
        <v>1</v>
      </c>
      <c r="M1" s="193" t="s">
        <v>2</v>
      </c>
      <c r="N1" s="194" t="s">
        <v>3</v>
      </c>
      <c r="O1" s="195" t="s">
        <v>4</v>
      </c>
      <c r="P1" s="196" t="s">
        <v>5</v>
      </c>
    </row>
    <row r="2" spans="1:16" x14ac:dyDescent="0.35">
      <c r="A2" s="13" t="s">
        <v>332</v>
      </c>
      <c r="B2" s="136">
        <v>10</v>
      </c>
      <c r="C2" s="110">
        <v>10</v>
      </c>
      <c r="D2" s="111">
        <v>10</v>
      </c>
      <c r="E2" s="112">
        <v>10</v>
      </c>
      <c r="F2" s="113">
        <v>10</v>
      </c>
      <c r="G2" s="177"/>
      <c r="J2" s="190" t="s">
        <v>332</v>
      </c>
      <c r="K2" s="197">
        <f>DAVERAGE(A1:G95,"JOHN",J1:J2)</f>
        <v>9.85</v>
      </c>
      <c r="L2" s="58">
        <f>DAVERAGE(A1:G95,"NICK",J1:J2)</f>
        <v>9.9111111111111114</v>
      </c>
      <c r="M2" s="62">
        <f>DAVERAGE(A1:G95,"MIKE",J1:J2)</f>
        <v>9.7888888888888896</v>
      </c>
      <c r="N2" s="67">
        <f>DAVERAGE(A1:G95,"ERIC",J1:J2)</f>
        <v>9.6370370370370377</v>
      </c>
      <c r="O2" s="71">
        <f>DAVERAGE(A1:G95,"GREENMAN",J1:J2)</f>
        <v>9.3555555555555561</v>
      </c>
      <c r="P2" s="229">
        <f>DAVERAGE(A1:G95,"RON",J1:J2)</f>
        <v>9.6</v>
      </c>
    </row>
    <row r="3" spans="1:16" x14ac:dyDescent="0.35">
      <c r="A3" s="13" t="s">
        <v>333</v>
      </c>
      <c r="B3" s="136">
        <v>10</v>
      </c>
      <c r="C3" s="110">
        <v>10</v>
      </c>
      <c r="D3" s="111">
        <v>10</v>
      </c>
      <c r="E3" s="112">
        <v>10</v>
      </c>
      <c r="F3" s="113">
        <v>10</v>
      </c>
      <c r="G3" s="177"/>
      <c r="J3" s="190" t="s">
        <v>334</v>
      </c>
      <c r="K3" s="222"/>
      <c r="L3" s="223"/>
      <c r="M3" s="223"/>
      <c r="N3" s="223"/>
      <c r="O3" s="223"/>
      <c r="P3" s="230"/>
    </row>
    <row r="4" spans="1:16" x14ac:dyDescent="0.35">
      <c r="A4" s="13" t="s">
        <v>332</v>
      </c>
      <c r="B4" s="136">
        <v>10</v>
      </c>
      <c r="C4" s="110">
        <v>10</v>
      </c>
      <c r="D4" s="111">
        <v>10</v>
      </c>
      <c r="E4" s="112">
        <v>10</v>
      </c>
      <c r="F4" s="113">
        <v>10</v>
      </c>
      <c r="G4" s="177"/>
      <c r="J4" s="190" t="s">
        <v>333</v>
      </c>
      <c r="K4" s="197">
        <f>DAVERAGE(A1:G95,"JOHN",J3:J4)</f>
        <v>9.8000000000000007</v>
      </c>
      <c r="L4" s="58">
        <f>DAVERAGE(A1:G95,"NICK",J3:J4)</f>
        <v>9.7888888888888896</v>
      </c>
      <c r="M4" s="62">
        <f>DAVERAGE(A1:G95,"MIKE",J3:J4)</f>
        <v>9.7851851851851865</v>
      </c>
      <c r="N4" s="67">
        <f>DAVERAGE(A1:G95,"ERIC",J3:J4)</f>
        <v>9.7111111111111104</v>
      </c>
      <c r="O4" s="71">
        <f>DAVERAGE(A1:G95,"GREENMAN",J3:J4)</f>
        <v>9.6833333333333336</v>
      </c>
      <c r="P4" s="227">
        <f>DAVERAGE(A1:G95,"RON",J3:J4)</f>
        <v>9.8333333333333339</v>
      </c>
    </row>
    <row r="5" spans="1:16" x14ac:dyDescent="0.35">
      <c r="A5" s="13" t="s">
        <v>333</v>
      </c>
      <c r="B5" s="136">
        <v>10</v>
      </c>
      <c r="C5" s="110">
        <v>10</v>
      </c>
      <c r="D5" s="111">
        <v>10</v>
      </c>
      <c r="E5" s="112">
        <v>9</v>
      </c>
      <c r="F5" s="113">
        <v>10</v>
      </c>
      <c r="G5" s="177"/>
    </row>
    <row r="6" spans="1:16" x14ac:dyDescent="0.35">
      <c r="A6" s="13" t="s">
        <v>332</v>
      </c>
      <c r="B6" s="136">
        <v>10</v>
      </c>
      <c r="C6" s="110">
        <v>10</v>
      </c>
      <c r="D6" s="111">
        <v>10</v>
      </c>
      <c r="E6" s="112">
        <v>8</v>
      </c>
      <c r="F6" s="113">
        <v>10</v>
      </c>
      <c r="G6" s="177"/>
    </row>
    <row r="7" spans="1:16" x14ac:dyDescent="0.35">
      <c r="A7" s="13" t="s">
        <v>333</v>
      </c>
      <c r="B7" s="136">
        <v>10</v>
      </c>
      <c r="C7" s="110">
        <v>9</v>
      </c>
      <c r="D7" s="111">
        <v>10</v>
      </c>
      <c r="E7" s="112">
        <v>10</v>
      </c>
      <c r="F7" s="113">
        <v>10</v>
      </c>
      <c r="G7" s="177"/>
    </row>
    <row r="8" spans="1:16" x14ac:dyDescent="0.35">
      <c r="A8" s="13" t="s">
        <v>332</v>
      </c>
      <c r="B8" s="136">
        <v>10</v>
      </c>
      <c r="C8" s="110">
        <v>10</v>
      </c>
      <c r="D8" s="111">
        <v>10</v>
      </c>
      <c r="E8" s="112">
        <v>10</v>
      </c>
      <c r="F8" s="113">
        <v>10</v>
      </c>
      <c r="G8" s="177"/>
    </row>
    <row r="9" spans="1:16" x14ac:dyDescent="0.35">
      <c r="A9" s="13" t="s">
        <v>333</v>
      </c>
      <c r="B9" s="136">
        <v>10</v>
      </c>
      <c r="C9" s="110">
        <v>10</v>
      </c>
      <c r="D9" s="111">
        <v>10</v>
      </c>
      <c r="E9" s="112">
        <v>10</v>
      </c>
      <c r="F9" s="113">
        <v>10</v>
      </c>
      <c r="G9" s="177"/>
    </row>
    <row r="10" spans="1:16" x14ac:dyDescent="0.35">
      <c r="A10" s="13" t="s">
        <v>332</v>
      </c>
      <c r="B10" s="136">
        <v>10</v>
      </c>
      <c r="C10" s="110">
        <v>10</v>
      </c>
      <c r="D10" s="111">
        <v>10</v>
      </c>
      <c r="E10" s="112">
        <v>10</v>
      </c>
      <c r="F10" s="113">
        <v>10</v>
      </c>
      <c r="G10" s="177"/>
    </row>
    <row r="11" spans="1:16" x14ac:dyDescent="0.35">
      <c r="A11" s="13" t="s">
        <v>333</v>
      </c>
      <c r="B11" s="136">
        <f>19/2</f>
        <v>9.5</v>
      </c>
      <c r="C11" s="110">
        <f>20/2</f>
        <v>10</v>
      </c>
      <c r="D11" s="111">
        <f>16/2</f>
        <v>8</v>
      </c>
      <c r="E11" s="112">
        <v>8</v>
      </c>
      <c r="F11" s="113">
        <f>20/2</f>
        <v>10</v>
      </c>
      <c r="G11" s="177"/>
    </row>
    <row r="12" spans="1:16" x14ac:dyDescent="0.35">
      <c r="A12" s="13" t="s">
        <v>333</v>
      </c>
      <c r="B12" s="136">
        <v>10</v>
      </c>
      <c r="C12" s="110">
        <v>10</v>
      </c>
      <c r="D12" s="111">
        <v>7</v>
      </c>
      <c r="E12" s="112">
        <v>10</v>
      </c>
      <c r="F12" s="113">
        <v>10</v>
      </c>
      <c r="G12" s="177"/>
    </row>
    <row r="13" spans="1:16" x14ac:dyDescent="0.35">
      <c r="A13" s="13" t="s">
        <v>332</v>
      </c>
      <c r="B13" s="136">
        <v>10</v>
      </c>
      <c r="C13" s="110">
        <v>10</v>
      </c>
      <c r="D13" s="111">
        <v>10</v>
      </c>
      <c r="E13" s="112">
        <v>10</v>
      </c>
      <c r="F13" s="113">
        <v>9</v>
      </c>
      <c r="G13" s="177"/>
    </row>
    <row r="14" spans="1:16" x14ac:dyDescent="0.35">
      <c r="A14" s="13" t="s">
        <v>333</v>
      </c>
      <c r="B14" s="136">
        <v>10</v>
      </c>
      <c r="C14" s="110">
        <v>10</v>
      </c>
      <c r="D14" s="111">
        <v>10</v>
      </c>
      <c r="E14" s="112">
        <v>10</v>
      </c>
      <c r="F14" s="113">
        <v>10</v>
      </c>
      <c r="G14" s="177"/>
    </row>
    <row r="15" spans="1:16" x14ac:dyDescent="0.35">
      <c r="A15" s="13" t="s">
        <v>332</v>
      </c>
      <c r="B15" s="136">
        <v>10</v>
      </c>
      <c r="C15" s="110">
        <v>10</v>
      </c>
      <c r="D15" s="111">
        <v>10</v>
      </c>
      <c r="E15" s="112">
        <v>10</v>
      </c>
      <c r="F15" s="113">
        <v>10</v>
      </c>
      <c r="G15" s="177"/>
    </row>
    <row r="16" spans="1:16" x14ac:dyDescent="0.35">
      <c r="A16" s="13" t="s">
        <v>333</v>
      </c>
      <c r="B16" s="136">
        <v>10</v>
      </c>
      <c r="C16" s="110">
        <v>10</v>
      </c>
      <c r="D16" s="111">
        <v>10</v>
      </c>
      <c r="E16" s="112">
        <v>10</v>
      </c>
      <c r="F16" s="113">
        <v>8</v>
      </c>
      <c r="G16" s="177"/>
    </row>
    <row r="17" spans="1:7" x14ac:dyDescent="0.35">
      <c r="A17" s="13" t="s">
        <v>332</v>
      </c>
      <c r="B17" s="136">
        <v>9</v>
      </c>
      <c r="C17" s="110">
        <v>10</v>
      </c>
      <c r="D17" s="111">
        <v>10</v>
      </c>
      <c r="E17" s="112">
        <v>10</v>
      </c>
      <c r="F17" s="113">
        <v>8</v>
      </c>
      <c r="G17" s="177"/>
    </row>
    <row r="18" spans="1:7" x14ac:dyDescent="0.35">
      <c r="A18" s="13" t="s">
        <v>333</v>
      </c>
      <c r="B18" s="136">
        <v>10</v>
      </c>
      <c r="C18" s="110">
        <v>10</v>
      </c>
      <c r="D18" s="111">
        <v>10</v>
      </c>
      <c r="E18" s="112">
        <v>10</v>
      </c>
      <c r="F18" s="113">
        <v>10</v>
      </c>
      <c r="G18" s="177"/>
    </row>
    <row r="19" spans="1:7" x14ac:dyDescent="0.35">
      <c r="A19" s="13" t="s">
        <v>332</v>
      </c>
      <c r="B19" s="136">
        <v>10</v>
      </c>
      <c r="C19" s="110">
        <v>10</v>
      </c>
      <c r="D19" s="111">
        <v>9</v>
      </c>
      <c r="E19" s="112">
        <v>10</v>
      </c>
      <c r="F19" s="113">
        <v>8</v>
      </c>
      <c r="G19" s="177"/>
    </row>
    <row r="20" spans="1:7" x14ac:dyDescent="0.35">
      <c r="A20" s="13" t="s">
        <v>333</v>
      </c>
      <c r="B20" s="136">
        <v>10</v>
      </c>
      <c r="C20" s="110">
        <v>10</v>
      </c>
      <c r="D20" s="111">
        <v>10</v>
      </c>
      <c r="E20" s="112">
        <v>10</v>
      </c>
      <c r="F20" s="113">
        <v>10</v>
      </c>
      <c r="G20" s="177"/>
    </row>
    <row r="21" spans="1:7" x14ac:dyDescent="0.35">
      <c r="A21" s="13" t="s">
        <v>332</v>
      </c>
      <c r="B21" s="136">
        <f>19/2</f>
        <v>9.5</v>
      </c>
      <c r="C21" s="110">
        <f>20/2</f>
        <v>10</v>
      </c>
      <c r="D21" s="111">
        <v>8</v>
      </c>
      <c r="E21" s="112">
        <f>30/3</f>
        <v>10</v>
      </c>
      <c r="F21" s="113">
        <f>20/3</f>
        <v>6.666666666666667</v>
      </c>
      <c r="G21" s="177"/>
    </row>
    <row r="22" spans="1:7" x14ac:dyDescent="0.35">
      <c r="A22" s="13" t="s">
        <v>332</v>
      </c>
      <c r="B22" s="136">
        <v>10</v>
      </c>
      <c r="C22" s="110">
        <v>10</v>
      </c>
      <c r="D22" s="111">
        <v>10</v>
      </c>
      <c r="E22" s="112">
        <v>10</v>
      </c>
      <c r="F22" s="113">
        <v>10</v>
      </c>
      <c r="G22" s="177"/>
    </row>
    <row r="23" spans="1:7" x14ac:dyDescent="0.35">
      <c r="A23" s="13" t="s">
        <v>333</v>
      </c>
      <c r="B23" s="136">
        <v>10</v>
      </c>
      <c r="C23" s="110">
        <v>10</v>
      </c>
      <c r="D23" s="111">
        <v>9</v>
      </c>
      <c r="E23" s="112">
        <v>10</v>
      </c>
      <c r="F23" s="113">
        <v>10</v>
      </c>
      <c r="G23" s="177"/>
    </row>
    <row r="24" spans="1:7" x14ac:dyDescent="0.35">
      <c r="A24" s="13" t="s">
        <v>332</v>
      </c>
      <c r="B24" s="136">
        <v>10</v>
      </c>
      <c r="C24" s="110">
        <v>10</v>
      </c>
      <c r="D24" s="111">
        <v>10</v>
      </c>
      <c r="E24" s="112">
        <v>9</v>
      </c>
      <c r="F24" s="113">
        <v>9</v>
      </c>
      <c r="G24" s="177"/>
    </row>
    <row r="25" spans="1:7" x14ac:dyDescent="0.35">
      <c r="A25" s="13" t="s">
        <v>333</v>
      </c>
      <c r="B25" s="136">
        <v>10</v>
      </c>
      <c r="C25" s="110">
        <v>10</v>
      </c>
      <c r="D25" s="111">
        <v>10</v>
      </c>
      <c r="E25" s="112">
        <v>10</v>
      </c>
      <c r="F25" s="113">
        <v>10</v>
      </c>
      <c r="G25" s="177"/>
    </row>
    <row r="26" spans="1:7" x14ac:dyDescent="0.35">
      <c r="A26" s="13" t="s">
        <v>332</v>
      </c>
      <c r="B26" s="136">
        <v>10</v>
      </c>
      <c r="C26" s="110">
        <v>10</v>
      </c>
      <c r="D26" s="111">
        <v>9</v>
      </c>
      <c r="E26" s="112">
        <v>10</v>
      </c>
      <c r="F26" s="113">
        <v>10</v>
      </c>
      <c r="G26" s="177"/>
    </row>
    <row r="27" spans="1:7" x14ac:dyDescent="0.35">
      <c r="A27" s="13" t="s">
        <v>333</v>
      </c>
      <c r="B27" s="136">
        <v>10</v>
      </c>
      <c r="C27" s="110">
        <v>10</v>
      </c>
      <c r="D27" s="111">
        <v>9</v>
      </c>
      <c r="E27" s="112">
        <v>10</v>
      </c>
      <c r="F27" s="113">
        <v>10</v>
      </c>
      <c r="G27" s="177"/>
    </row>
    <row r="28" spans="1:7" x14ac:dyDescent="0.35">
      <c r="A28" s="13" t="s">
        <v>332</v>
      </c>
      <c r="B28" s="136">
        <v>10</v>
      </c>
      <c r="C28" s="110">
        <v>10</v>
      </c>
      <c r="D28" s="111">
        <v>9</v>
      </c>
      <c r="E28" s="112">
        <v>10</v>
      </c>
      <c r="F28" s="113">
        <v>10</v>
      </c>
      <c r="G28" s="177"/>
    </row>
    <row r="29" spans="1:7" x14ac:dyDescent="0.35">
      <c r="A29" s="13" t="s">
        <v>333</v>
      </c>
      <c r="B29" s="136">
        <v>10</v>
      </c>
      <c r="C29" s="110">
        <v>9</v>
      </c>
      <c r="D29" s="111">
        <v>10</v>
      </c>
      <c r="E29" s="112">
        <v>10</v>
      </c>
      <c r="F29" s="113">
        <v>10</v>
      </c>
      <c r="G29" s="177"/>
    </row>
    <row r="30" spans="1:7" x14ac:dyDescent="0.35">
      <c r="A30" s="13" t="s">
        <v>332</v>
      </c>
      <c r="B30" s="136">
        <v>10</v>
      </c>
      <c r="C30" s="110">
        <v>10</v>
      </c>
      <c r="D30" s="111">
        <v>10</v>
      </c>
      <c r="E30" s="112">
        <v>9</v>
      </c>
      <c r="F30" s="113">
        <v>10</v>
      </c>
      <c r="G30" s="177"/>
    </row>
    <row r="31" spans="1:7" x14ac:dyDescent="0.35">
      <c r="A31" s="13" t="s">
        <v>333</v>
      </c>
      <c r="B31" s="136">
        <f>19/2</f>
        <v>9.5</v>
      </c>
      <c r="C31" s="110">
        <f>17/2</f>
        <v>8.5</v>
      </c>
      <c r="D31" s="111">
        <f>28/3</f>
        <v>9.3333333333333339</v>
      </c>
      <c r="E31" s="112">
        <f>20/2</f>
        <v>10</v>
      </c>
      <c r="F31" s="113">
        <f>19/2</f>
        <v>9.5</v>
      </c>
      <c r="G31" s="177"/>
    </row>
    <row r="32" spans="1:7" x14ac:dyDescent="0.35">
      <c r="A32" s="29"/>
      <c r="B32" s="177"/>
      <c r="C32" s="177"/>
      <c r="D32" s="177"/>
      <c r="E32" s="177"/>
      <c r="F32" s="177"/>
      <c r="G32" s="177"/>
    </row>
    <row r="33" spans="1:7" x14ac:dyDescent="0.35">
      <c r="A33" s="13" t="s">
        <v>334</v>
      </c>
      <c r="B33" s="15" t="s">
        <v>0</v>
      </c>
      <c r="C33" s="16" t="s">
        <v>1</v>
      </c>
      <c r="D33" s="17" t="s">
        <v>2</v>
      </c>
      <c r="E33" s="24" t="s">
        <v>3</v>
      </c>
      <c r="F33" s="23" t="s">
        <v>4</v>
      </c>
      <c r="G33" s="18" t="s">
        <v>5</v>
      </c>
    </row>
    <row r="34" spans="1:7" x14ac:dyDescent="0.35">
      <c r="A34" s="13" t="s">
        <v>333</v>
      </c>
      <c r="B34" s="136">
        <v>10</v>
      </c>
      <c r="C34" s="110">
        <v>10</v>
      </c>
      <c r="D34" s="111">
        <v>9</v>
      </c>
      <c r="E34" s="112">
        <v>10</v>
      </c>
      <c r="F34" s="113">
        <v>10</v>
      </c>
      <c r="G34" s="177"/>
    </row>
    <row r="35" spans="1:7" x14ac:dyDescent="0.35">
      <c r="A35" s="13" t="s">
        <v>332</v>
      </c>
      <c r="B35" s="136">
        <v>10</v>
      </c>
      <c r="C35" s="110">
        <v>10</v>
      </c>
      <c r="D35" s="111">
        <v>10</v>
      </c>
      <c r="E35" s="112">
        <v>10</v>
      </c>
      <c r="F35" s="113">
        <v>8</v>
      </c>
      <c r="G35" s="177"/>
    </row>
    <row r="36" spans="1:7" x14ac:dyDescent="0.35">
      <c r="A36" s="13" t="s">
        <v>333</v>
      </c>
      <c r="B36" s="136">
        <v>10</v>
      </c>
      <c r="C36" s="110">
        <v>9</v>
      </c>
      <c r="D36" s="111">
        <v>10</v>
      </c>
      <c r="E36" s="112">
        <v>10</v>
      </c>
      <c r="F36" s="113">
        <v>9</v>
      </c>
      <c r="G36" s="177"/>
    </row>
    <row r="37" spans="1:7" x14ac:dyDescent="0.35">
      <c r="A37" s="13" t="s">
        <v>332</v>
      </c>
      <c r="B37" s="136">
        <v>10</v>
      </c>
      <c r="C37" s="110">
        <v>10</v>
      </c>
      <c r="D37" s="111">
        <v>10</v>
      </c>
      <c r="E37" s="112">
        <v>10</v>
      </c>
      <c r="F37" s="113">
        <v>10</v>
      </c>
      <c r="G37" s="177"/>
    </row>
    <row r="38" spans="1:7" x14ac:dyDescent="0.35">
      <c r="A38" s="13" t="s">
        <v>333</v>
      </c>
      <c r="B38" s="136">
        <v>10</v>
      </c>
      <c r="C38" s="110">
        <v>10</v>
      </c>
      <c r="D38" s="111">
        <v>10</v>
      </c>
      <c r="E38" s="112">
        <v>9</v>
      </c>
      <c r="F38" s="113">
        <v>10</v>
      </c>
      <c r="G38" s="177"/>
    </row>
    <row r="39" spans="1:7" x14ac:dyDescent="0.35">
      <c r="A39" s="13" t="s">
        <v>332</v>
      </c>
      <c r="B39" s="136">
        <v>10</v>
      </c>
      <c r="C39" s="110">
        <v>10</v>
      </c>
      <c r="D39" s="111">
        <v>10</v>
      </c>
      <c r="E39" s="112">
        <v>10</v>
      </c>
      <c r="F39" s="113">
        <v>9</v>
      </c>
      <c r="G39" s="177"/>
    </row>
    <row r="40" spans="1:7" x14ac:dyDescent="0.35">
      <c r="A40" s="13" t="s">
        <v>333</v>
      </c>
      <c r="B40" s="136">
        <v>9</v>
      </c>
      <c r="C40" s="110">
        <v>10</v>
      </c>
      <c r="D40" s="111">
        <v>10</v>
      </c>
      <c r="E40" s="112">
        <v>10</v>
      </c>
      <c r="F40" s="113">
        <v>10</v>
      </c>
      <c r="G40" s="177"/>
    </row>
    <row r="41" spans="1:7" x14ac:dyDescent="0.35">
      <c r="A41" s="13" t="s">
        <v>332</v>
      </c>
      <c r="B41" s="136">
        <v>10</v>
      </c>
      <c r="C41" s="110">
        <v>10</v>
      </c>
      <c r="D41" s="111">
        <v>10</v>
      </c>
      <c r="E41" s="112">
        <v>10</v>
      </c>
      <c r="F41" s="113">
        <v>9</v>
      </c>
      <c r="G41" s="177"/>
    </row>
    <row r="42" spans="1:7" x14ac:dyDescent="0.35">
      <c r="A42" s="13" t="s">
        <v>333</v>
      </c>
      <c r="B42" s="136">
        <v>10</v>
      </c>
      <c r="C42" s="110">
        <v>10</v>
      </c>
      <c r="D42" s="111">
        <v>10</v>
      </c>
      <c r="E42" s="112">
        <v>10</v>
      </c>
      <c r="F42" s="113">
        <v>7</v>
      </c>
      <c r="G42" s="177"/>
    </row>
    <row r="43" spans="1:7" x14ac:dyDescent="0.35">
      <c r="A43" s="13" t="s">
        <v>332</v>
      </c>
      <c r="B43" s="136">
        <f>20/2</f>
        <v>10</v>
      </c>
      <c r="C43" s="110">
        <f>20/2</f>
        <v>10</v>
      </c>
      <c r="D43" s="111">
        <f>19/2</f>
        <v>9.5</v>
      </c>
      <c r="E43" s="112">
        <f>30/3</f>
        <v>10</v>
      </c>
      <c r="F43" s="113">
        <f>27/3</f>
        <v>9</v>
      </c>
      <c r="G43" s="177"/>
    </row>
    <row r="44" spans="1:7" x14ac:dyDescent="0.35">
      <c r="A44" s="13" t="s">
        <v>332</v>
      </c>
      <c r="B44" s="136">
        <v>10</v>
      </c>
      <c r="C44" s="110">
        <v>10</v>
      </c>
      <c r="D44" s="111">
        <v>10</v>
      </c>
      <c r="E44" s="112">
        <v>10</v>
      </c>
      <c r="F44" s="113">
        <v>9</v>
      </c>
      <c r="G44" s="177"/>
    </row>
    <row r="45" spans="1:7" x14ac:dyDescent="0.35">
      <c r="A45" s="13" t="s">
        <v>333</v>
      </c>
      <c r="B45" s="136">
        <v>10</v>
      </c>
      <c r="C45" s="110">
        <v>10</v>
      </c>
      <c r="D45" s="111">
        <v>10</v>
      </c>
      <c r="E45" s="112">
        <v>10</v>
      </c>
      <c r="F45" s="113">
        <v>9</v>
      </c>
      <c r="G45" s="177"/>
    </row>
    <row r="46" spans="1:7" x14ac:dyDescent="0.35">
      <c r="A46" s="13" t="s">
        <v>332</v>
      </c>
      <c r="B46" s="136">
        <v>10</v>
      </c>
      <c r="C46" s="110">
        <v>10</v>
      </c>
      <c r="D46" s="111">
        <v>10</v>
      </c>
      <c r="E46" s="112">
        <v>10</v>
      </c>
      <c r="F46" s="113">
        <v>10</v>
      </c>
      <c r="G46" s="177"/>
    </row>
    <row r="47" spans="1:7" x14ac:dyDescent="0.35">
      <c r="A47" s="13" t="s">
        <v>333</v>
      </c>
      <c r="B47" s="136">
        <v>10</v>
      </c>
      <c r="C47" s="110">
        <v>10</v>
      </c>
      <c r="D47" s="111">
        <v>10</v>
      </c>
      <c r="E47" s="112">
        <v>9</v>
      </c>
      <c r="F47" s="113">
        <v>10</v>
      </c>
      <c r="G47" s="177"/>
    </row>
    <row r="48" spans="1:7" x14ac:dyDescent="0.35">
      <c r="A48" s="13" t="s">
        <v>332</v>
      </c>
      <c r="B48" s="136">
        <v>10</v>
      </c>
      <c r="C48" s="110">
        <v>10</v>
      </c>
      <c r="D48" s="111">
        <v>10</v>
      </c>
      <c r="E48" s="112">
        <v>8</v>
      </c>
      <c r="F48" s="113">
        <v>10</v>
      </c>
      <c r="G48" s="177"/>
    </row>
    <row r="49" spans="1:7" x14ac:dyDescent="0.35">
      <c r="A49" s="13" t="s">
        <v>333</v>
      </c>
      <c r="B49" s="136">
        <v>9</v>
      </c>
      <c r="C49" s="110">
        <v>10</v>
      </c>
      <c r="D49" s="111">
        <v>10</v>
      </c>
      <c r="E49" s="112">
        <v>9</v>
      </c>
      <c r="F49" s="113">
        <v>9</v>
      </c>
      <c r="G49" s="177"/>
    </row>
    <row r="50" spans="1:7" x14ac:dyDescent="0.35">
      <c r="A50" s="13" t="s">
        <v>332</v>
      </c>
      <c r="B50" s="136">
        <v>10</v>
      </c>
      <c r="C50" s="110">
        <v>10</v>
      </c>
      <c r="D50" s="111">
        <v>10</v>
      </c>
      <c r="E50" s="112">
        <v>10</v>
      </c>
      <c r="F50" s="113">
        <v>10</v>
      </c>
      <c r="G50" s="177"/>
    </row>
    <row r="51" spans="1:7" x14ac:dyDescent="0.35">
      <c r="A51" s="13" t="s">
        <v>333</v>
      </c>
      <c r="B51" s="136">
        <v>8</v>
      </c>
      <c r="C51" s="110">
        <v>10</v>
      </c>
      <c r="D51" s="111">
        <v>10</v>
      </c>
      <c r="E51" s="112">
        <v>10</v>
      </c>
      <c r="F51" s="113">
        <v>10</v>
      </c>
      <c r="G51" s="177"/>
    </row>
    <row r="52" spans="1:7" x14ac:dyDescent="0.35">
      <c r="A52" s="13" t="s">
        <v>332</v>
      </c>
      <c r="B52" s="136">
        <v>10</v>
      </c>
      <c r="C52" s="110">
        <v>10</v>
      </c>
      <c r="D52" s="111">
        <v>10</v>
      </c>
      <c r="E52" s="112">
        <v>10</v>
      </c>
      <c r="F52" s="113">
        <v>10</v>
      </c>
      <c r="G52" s="177"/>
    </row>
    <row r="53" spans="1:7" x14ac:dyDescent="0.35">
      <c r="A53" s="13" t="s">
        <v>333</v>
      </c>
      <c r="B53" s="136">
        <f>20/2</f>
        <v>10</v>
      </c>
      <c r="C53" s="110">
        <f>20/2</f>
        <v>10</v>
      </c>
      <c r="D53" s="111">
        <f>20/2</f>
        <v>10</v>
      </c>
      <c r="E53" s="112">
        <v>9</v>
      </c>
      <c r="F53" s="113">
        <f>20/2</f>
        <v>10</v>
      </c>
      <c r="G53" s="177"/>
    </row>
    <row r="54" spans="1:7" x14ac:dyDescent="0.35">
      <c r="A54" s="13" t="s">
        <v>333</v>
      </c>
      <c r="B54" s="136">
        <v>9</v>
      </c>
      <c r="C54" s="110">
        <v>10</v>
      </c>
      <c r="D54" s="111">
        <v>10</v>
      </c>
      <c r="E54" s="112">
        <v>10</v>
      </c>
      <c r="F54" s="113">
        <v>10</v>
      </c>
      <c r="G54" s="177"/>
    </row>
    <row r="55" spans="1:7" x14ac:dyDescent="0.35">
      <c r="A55" s="13" t="s">
        <v>332</v>
      </c>
      <c r="B55" s="136">
        <v>8</v>
      </c>
      <c r="C55" s="110">
        <v>9</v>
      </c>
      <c r="D55" s="111">
        <v>10</v>
      </c>
      <c r="E55" s="112">
        <v>10</v>
      </c>
      <c r="F55" s="113">
        <v>9</v>
      </c>
      <c r="G55" s="177"/>
    </row>
    <row r="56" spans="1:7" x14ac:dyDescent="0.35">
      <c r="A56" s="13" t="s">
        <v>333</v>
      </c>
      <c r="B56" s="136">
        <v>10</v>
      </c>
      <c r="C56" s="110">
        <v>10</v>
      </c>
      <c r="D56" s="111">
        <v>10</v>
      </c>
      <c r="E56" s="112">
        <v>9</v>
      </c>
      <c r="F56" s="113">
        <v>10</v>
      </c>
      <c r="G56" s="177"/>
    </row>
    <row r="57" spans="1:7" x14ac:dyDescent="0.35">
      <c r="A57" s="13" t="s">
        <v>332</v>
      </c>
      <c r="B57" s="136">
        <v>9</v>
      </c>
      <c r="C57" s="110">
        <v>10</v>
      </c>
      <c r="D57" s="111">
        <v>10</v>
      </c>
      <c r="E57" s="112">
        <v>8</v>
      </c>
      <c r="F57" s="113">
        <v>10</v>
      </c>
      <c r="G57" s="177"/>
    </row>
    <row r="58" spans="1:7" x14ac:dyDescent="0.35">
      <c r="A58" s="13" t="s">
        <v>333</v>
      </c>
      <c r="B58" s="136">
        <v>10</v>
      </c>
      <c r="C58" s="110">
        <v>9</v>
      </c>
      <c r="D58" s="111">
        <v>10</v>
      </c>
      <c r="E58" s="112">
        <v>10</v>
      </c>
      <c r="F58" s="113">
        <v>9</v>
      </c>
      <c r="G58" s="177"/>
    </row>
    <row r="59" spans="1:7" x14ac:dyDescent="0.35">
      <c r="A59" s="13" t="s">
        <v>332</v>
      </c>
      <c r="B59" s="136">
        <v>10</v>
      </c>
      <c r="C59" s="110">
        <v>10</v>
      </c>
      <c r="D59" s="111">
        <v>10</v>
      </c>
      <c r="E59" s="112">
        <v>10</v>
      </c>
      <c r="F59" s="113">
        <v>10</v>
      </c>
      <c r="G59" s="177"/>
    </row>
    <row r="60" spans="1:7" x14ac:dyDescent="0.35">
      <c r="A60" s="13" t="s">
        <v>333</v>
      </c>
      <c r="B60" s="136">
        <v>10</v>
      </c>
      <c r="C60" s="110">
        <v>10</v>
      </c>
      <c r="D60" s="111">
        <v>10</v>
      </c>
      <c r="E60" s="112">
        <v>10</v>
      </c>
      <c r="F60" s="113">
        <v>10</v>
      </c>
      <c r="G60" s="177"/>
    </row>
    <row r="61" spans="1:7" x14ac:dyDescent="0.35">
      <c r="A61" s="13" t="s">
        <v>332</v>
      </c>
      <c r="B61" s="136">
        <v>10</v>
      </c>
      <c r="C61" s="110">
        <v>10</v>
      </c>
      <c r="D61" s="111">
        <v>10</v>
      </c>
      <c r="E61" s="112">
        <v>10</v>
      </c>
      <c r="F61" s="113">
        <v>7</v>
      </c>
      <c r="G61" s="177"/>
    </row>
    <row r="62" spans="1:7" x14ac:dyDescent="0.35">
      <c r="A62" s="13" t="s">
        <v>333</v>
      </c>
      <c r="B62" s="136">
        <v>10</v>
      </c>
      <c r="C62" s="110">
        <v>10</v>
      </c>
      <c r="D62" s="111">
        <v>10</v>
      </c>
      <c r="E62" s="112">
        <v>9</v>
      </c>
      <c r="F62" s="113">
        <v>10</v>
      </c>
      <c r="G62" s="177"/>
    </row>
    <row r="63" spans="1:7" x14ac:dyDescent="0.35">
      <c r="A63" s="13" t="s">
        <v>332</v>
      </c>
      <c r="B63" s="136">
        <f>30/3</f>
        <v>10</v>
      </c>
      <c r="C63" s="110">
        <f>30/3</f>
        <v>10</v>
      </c>
      <c r="D63" s="111">
        <f>30/3</f>
        <v>10</v>
      </c>
      <c r="E63" s="112">
        <f>29/3</f>
        <v>9.6666666666666661</v>
      </c>
      <c r="F63" s="113">
        <f>30/3</f>
        <v>10</v>
      </c>
      <c r="G63" s="177"/>
    </row>
    <row r="64" spans="1:7" x14ac:dyDescent="0.35">
      <c r="A64" s="29" t="s">
        <v>111</v>
      </c>
      <c r="B64" s="177"/>
      <c r="C64" s="177"/>
      <c r="D64" s="177"/>
      <c r="E64" s="177"/>
      <c r="F64" s="177"/>
      <c r="G64" s="177"/>
    </row>
    <row r="65" spans="1:7" x14ac:dyDescent="0.35">
      <c r="A65" s="13" t="s">
        <v>8</v>
      </c>
      <c r="B65" s="15" t="s">
        <v>0</v>
      </c>
      <c r="C65" s="16" t="s">
        <v>1</v>
      </c>
      <c r="D65" s="17" t="s">
        <v>2</v>
      </c>
      <c r="E65" s="24" t="s">
        <v>3</v>
      </c>
      <c r="F65" s="23" t="s">
        <v>4</v>
      </c>
      <c r="G65" s="18" t="s">
        <v>5</v>
      </c>
    </row>
    <row r="66" spans="1:7" x14ac:dyDescent="0.35">
      <c r="A66" s="13" t="s">
        <v>332</v>
      </c>
      <c r="B66" s="177"/>
      <c r="C66" s="110">
        <v>10</v>
      </c>
      <c r="D66" s="111">
        <v>10</v>
      </c>
      <c r="E66" s="112">
        <v>10</v>
      </c>
      <c r="F66" s="228"/>
      <c r="G66" s="138">
        <v>8</v>
      </c>
    </row>
    <row r="67" spans="1:7" x14ac:dyDescent="0.35">
      <c r="A67" s="13" t="s">
        <v>333</v>
      </c>
      <c r="B67" s="177"/>
      <c r="C67" s="110">
        <v>10</v>
      </c>
      <c r="D67" s="111">
        <v>10</v>
      </c>
      <c r="E67" s="112">
        <v>10</v>
      </c>
      <c r="F67" s="228"/>
      <c r="G67" s="138">
        <v>10</v>
      </c>
    </row>
    <row r="68" spans="1:7" x14ac:dyDescent="0.35">
      <c r="A68" s="13" t="s">
        <v>332</v>
      </c>
      <c r="B68" s="177"/>
      <c r="C68" s="110">
        <v>10</v>
      </c>
      <c r="D68" s="111">
        <v>10</v>
      </c>
      <c r="E68" s="112">
        <v>10</v>
      </c>
      <c r="F68" s="228"/>
      <c r="G68" s="138">
        <v>8</v>
      </c>
    </row>
    <row r="69" spans="1:7" x14ac:dyDescent="0.35">
      <c r="A69" s="13" t="s">
        <v>333</v>
      </c>
      <c r="B69" s="177"/>
      <c r="C69" s="110">
        <v>10</v>
      </c>
      <c r="D69" s="111">
        <v>10</v>
      </c>
      <c r="E69" s="112">
        <v>10</v>
      </c>
      <c r="F69" s="228"/>
      <c r="G69" s="138">
        <v>10</v>
      </c>
    </row>
    <row r="70" spans="1:7" x14ac:dyDescent="0.35">
      <c r="A70" s="13" t="s">
        <v>332</v>
      </c>
      <c r="B70" s="177"/>
      <c r="C70" s="110">
        <v>10</v>
      </c>
      <c r="D70" s="111">
        <v>10</v>
      </c>
      <c r="E70" s="112">
        <v>10</v>
      </c>
      <c r="F70" s="228"/>
      <c r="G70" s="138">
        <v>10</v>
      </c>
    </row>
    <row r="71" spans="1:7" x14ac:dyDescent="0.35">
      <c r="A71" s="13" t="s">
        <v>333</v>
      </c>
      <c r="B71" s="177"/>
      <c r="C71" s="110">
        <v>8</v>
      </c>
      <c r="D71" s="111">
        <v>10</v>
      </c>
      <c r="E71" s="112">
        <v>9</v>
      </c>
      <c r="F71" s="228"/>
      <c r="G71" s="138">
        <v>9</v>
      </c>
    </row>
    <row r="72" spans="1:7" x14ac:dyDescent="0.35">
      <c r="A72" s="13" t="s">
        <v>332</v>
      </c>
      <c r="B72" s="177"/>
      <c r="C72" s="110">
        <v>10</v>
      </c>
      <c r="D72" s="111">
        <v>10</v>
      </c>
      <c r="E72" s="112">
        <v>9</v>
      </c>
      <c r="F72" s="228"/>
      <c r="G72" s="138">
        <v>10</v>
      </c>
    </row>
    <row r="73" spans="1:7" x14ac:dyDescent="0.35">
      <c r="A73" s="13" t="s">
        <v>333</v>
      </c>
      <c r="B73" s="177"/>
      <c r="C73" s="110">
        <v>10</v>
      </c>
      <c r="D73" s="111">
        <v>10</v>
      </c>
      <c r="E73" s="112">
        <v>10</v>
      </c>
      <c r="F73" s="228"/>
      <c r="G73" s="138">
        <v>10</v>
      </c>
    </row>
    <row r="74" spans="1:7" x14ac:dyDescent="0.35">
      <c r="A74" s="13" t="s">
        <v>332</v>
      </c>
      <c r="B74" s="177"/>
      <c r="C74" s="110">
        <v>10</v>
      </c>
      <c r="D74" s="111">
        <v>9</v>
      </c>
      <c r="E74" s="112">
        <v>10</v>
      </c>
      <c r="F74" s="228"/>
      <c r="G74" s="138">
        <v>10</v>
      </c>
    </row>
    <row r="75" spans="1:7" x14ac:dyDescent="0.35">
      <c r="A75" s="13" t="s">
        <v>333</v>
      </c>
      <c r="B75" s="177"/>
      <c r="C75" s="110">
        <v>9</v>
      </c>
      <c r="D75" s="111">
        <v>10</v>
      </c>
      <c r="E75" s="112">
        <v>9</v>
      </c>
      <c r="F75" s="228"/>
      <c r="G75" s="138">
        <v>10</v>
      </c>
    </row>
    <row r="76" spans="1:7" x14ac:dyDescent="0.35">
      <c r="A76" s="13" t="s">
        <v>333</v>
      </c>
      <c r="B76" s="177"/>
      <c r="C76" s="110">
        <v>10</v>
      </c>
      <c r="D76" s="111">
        <v>10</v>
      </c>
      <c r="E76" s="112">
        <v>9</v>
      </c>
      <c r="F76" s="228"/>
      <c r="G76" s="138">
        <v>10</v>
      </c>
    </row>
    <row r="77" spans="1:7" x14ac:dyDescent="0.35">
      <c r="A77" s="13" t="s">
        <v>332</v>
      </c>
      <c r="B77" s="177"/>
      <c r="C77" s="110">
        <v>10</v>
      </c>
      <c r="D77" s="111">
        <v>10</v>
      </c>
      <c r="E77" s="112">
        <v>8</v>
      </c>
      <c r="F77" s="228"/>
      <c r="G77" s="138">
        <v>10</v>
      </c>
    </row>
    <row r="78" spans="1:7" x14ac:dyDescent="0.35">
      <c r="A78" s="13" t="s">
        <v>333</v>
      </c>
      <c r="B78" s="177"/>
      <c r="C78" s="110">
        <v>10</v>
      </c>
      <c r="D78" s="111">
        <v>10</v>
      </c>
      <c r="E78" s="112">
        <v>10</v>
      </c>
      <c r="F78" s="228"/>
      <c r="G78" s="138">
        <v>10</v>
      </c>
    </row>
    <row r="79" spans="1:7" x14ac:dyDescent="0.35">
      <c r="A79" s="13" t="s">
        <v>332</v>
      </c>
      <c r="B79" s="177"/>
      <c r="C79" s="110">
        <v>10</v>
      </c>
      <c r="D79" s="111">
        <v>10</v>
      </c>
      <c r="E79" s="112">
        <v>10</v>
      </c>
      <c r="F79" s="228"/>
      <c r="G79" s="138">
        <v>10</v>
      </c>
    </row>
    <row r="80" spans="1:7" x14ac:dyDescent="0.35">
      <c r="A80" s="13" t="s">
        <v>333</v>
      </c>
      <c r="B80" s="177"/>
      <c r="C80" s="110">
        <v>10</v>
      </c>
      <c r="D80" s="111">
        <v>10</v>
      </c>
      <c r="E80" s="112">
        <v>10</v>
      </c>
      <c r="F80" s="228"/>
      <c r="G80" s="138">
        <v>10</v>
      </c>
    </row>
    <row r="81" spans="1:7" x14ac:dyDescent="0.35">
      <c r="A81" s="13" t="s">
        <v>332</v>
      </c>
      <c r="B81" s="177"/>
      <c r="C81" s="110">
        <v>8</v>
      </c>
      <c r="D81" s="111">
        <v>9</v>
      </c>
      <c r="E81" s="112">
        <v>10</v>
      </c>
      <c r="F81" s="228"/>
      <c r="G81" s="138">
        <v>10</v>
      </c>
    </row>
    <row r="82" spans="1:7" x14ac:dyDescent="0.35">
      <c r="A82" s="13" t="s">
        <v>333</v>
      </c>
      <c r="B82" s="177"/>
      <c r="C82" s="110">
        <v>10</v>
      </c>
      <c r="D82" s="111">
        <v>10</v>
      </c>
      <c r="E82" s="112">
        <v>9</v>
      </c>
      <c r="F82" s="228"/>
      <c r="G82" s="138">
        <v>10</v>
      </c>
    </row>
    <row r="83" spans="1:7" x14ac:dyDescent="0.35">
      <c r="A83" s="13" t="s">
        <v>332</v>
      </c>
      <c r="B83" s="177"/>
      <c r="C83" s="110">
        <v>10</v>
      </c>
      <c r="D83" s="111">
        <v>10</v>
      </c>
      <c r="E83" s="112">
        <v>9</v>
      </c>
      <c r="F83" s="228"/>
      <c r="G83" s="138">
        <v>10</v>
      </c>
    </row>
    <row r="84" spans="1:7" x14ac:dyDescent="0.35">
      <c r="A84" s="13" t="s">
        <v>333</v>
      </c>
      <c r="B84" s="177"/>
      <c r="C84" s="110">
        <v>10</v>
      </c>
      <c r="D84" s="111">
        <v>10</v>
      </c>
      <c r="E84" s="112">
        <v>10</v>
      </c>
      <c r="F84" s="228"/>
      <c r="G84" s="138">
        <v>10</v>
      </c>
    </row>
    <row r="85" spans="1:7" x14ac:dyDescent="0.35">
      <c r="A85" s="13" t="s">
        <v>332</v>
      </c>
      <c r="B85" s="177"/>
      <c r="C85" s="110">
        <v>9</v>
      </c>
      <c r="D85" s="111">
        <v>10</v>
      </c>
      <c r="E85" s="112">
        <v>8</v>
      </c>
      <c r="F85" s="228"/>
      <c r="G85" s="138">
        <v>9</v>
      </c>
    </row>
    <row r="86" spans="1:7" x14ac:dyDescent="0.35">
      <c r="A86" s="13" t="s">
        <v>332</v>
      </c>
      <c r="B86" s="177"/>
      <c r="C86" s="110">
        <v>10</v>
      </c>
      <c r="D86" s="111">
        <v>10</v>
      </c>
      <c r="E86" s="112">
        <v>10</v>
      </c>
      <c r="F86" s="228"/>
      <c r="G86" s="138">
        <v>10</v>
      </c>
    </row>
    <row r="87" spans="1:7" x14ac:dyDescent="0.35">
      <c r="A87" s="13" t="s">
        <v>333</v>
      </c>
      <c r="B87" s="177"/>
      <c r="C87" s="110">
        <v>10</v>
      </c>
      <c r="D87" s="111">
        <v>10</v>
      </c>
      <c r="E87" s="112">
        <v>10</v>
      </c>
      <c r="F87" s="228"/>
      <c r="G87" s="138">
        <v>10</v>
      </c>
    </row>
    <row r="88" spans="1:7" x14ac:dyDescent="0.35">
      <c r="A88" s="13" t="s">
        <v>332</v>
      </c>
      <c r="B88" s="177"/>
      <c r="C88" s="110">
        <v>10</v>
      </c>
      <c r="D88" s="111">
        <v>10</v>
      </c>
      <c r="E88" s="112">
        <v>10</v>
      </c>
      <c r="F88" s="228"/>
      <c r="G88" s="138">
        <v>10</v>
      </c>
    </row>
    <row r="89" spans="1:7" x14ac:dyDescent="0.35">
      <c r="A89" s="13" t="s">
        <v>333</v>
      </c>
      <c r="B89" s="177"/>
      <c r="C89" s="110">
        <v>9</v>
      </c>
      <c r="D89" s="111">
        <v>10</v>
      </c>
      <c r="E89" s="112">
        <v>10</v>
      </c>
      <c r="F89" s="228"/>
      <c r="G89" s="138">
        <v>10</v>
      </c>
    </row>
    <row r="90" spans="1:7" x14ac:dyDescent="0.35">
      <c r="A90" s="13" t="s">
        <v>332</v>
      </c>
      <c r="B90" s="177"/>
      <c r="C90" s="110">
        <v>10</v>
      </c>
      <c r="D90" s="111">
        <v>10</v>
      </c>
      <c r="E90" s="112">
        <v>9</v>
      </c>
      <c r="F90" s="228"/>
      <c r="G90" s="138">
        <v>10</v>
      </c>
    </row>
    <row r="91" spans="1:7" x14ac:dyDescent="0.35">
      <c r="A91" s="13" t="s">
        <v>333</v>
      </c>
      <c r="B91" s="177"/>
      <c r="C91" s="110">
        <v>10</v>
      </c>
      <c r="D91" s="111">
        <v>9</v>
      </c>
      <c r="E91" s="112">
        <v>10</v>
      </c>
      <c r="F91" s="228"/>
      <c r="G91" s="138">
        <v>9</v>
      </c>
    </row>
    <row r="92" spans="1:7" x14ac:dyDescent="0.35">
      <c r="A92" s="13" t="s">
        <v>332</v>
      </c>
      <c r="B92" s="177"/>
      <c r="C92" s="110">
        <v>10</v>
      </c>
      <c r="D92" s="111">
        <v>10</v>
      </c>
      <c r="E92" s="112">
        <v>10</v>
      </c>
      <c r="F92" s="228"/>
      <c r="G92" s="138">
        <v>9</v>
      </c>
    </row>
    <row r="93" spans="1:7" x14ac:dyDescent="0.35">
      <c r="A93" s="13" t="s">
        <v>333</v>
      </c>
      <c r="B93" s="177"/>
      <c r="C93" s="110">
        <v>10</v>
      </c>
      <c r="D93" s="111">
        <v>10</v>
      </c>
      <c r="E93" s="112">
        <v>10</v>
      </c>
      <c r="F93" s="228"/>
      <c r="G93" s="138">
        <v>10</v>
      </c>
    </row>
    <row r="94" spans="1:7" x14ac:dyDescent="0.35">
      <c r="A94" s="13" t="s">
        <v>332</v>
      </c>
      <c r="B94" s="177"/>
      <c r="C94" s="110">
        <v>10</v>
      </c>
      <c r="D94" s="111">
        <v>8</v>
      </c>
      <c r="E94" s="112">
        <v>9</v>
      </c>
      <c r="F94" s="228"/>
      <c r="G94" s="138">
        <v>10</v>
      </c>
    </row>
    <row r="95" spans="1:7" x14ac:dyDescent="0.35">
      <c r="A95" s="13" t="s">
        <v>333</v>
      </c>
      <c r="B95" s="177"/>
      <c r="C95" s="110">
        <v>10</v>
      </c>
      <c r="D95" s="111">
        <v>10</v>
      </c>
      <c r="E95" s="112">
        <v>10</v>
      </c>
      <c r="F95" s="228"/>
      <c r="G95" s="138">
        <v>9.5</v>
      </c>
    </row>
    <row r="96" spans="1:7" x14ac:dyDescent="0.35">
      <c r="A96" s="29" t="s">
        <v>143</v>
      </c>
      <c r="B96" s="177"/>
      <c r="C96" s="177"/>
      <c r="D96" s="177"/>
      <c r="E96" s="177"/>
      <c r="F96" s="177"/>
      <c r="G96" s="177"/>
    </row>
    <row r="97" spans="1:7" x14ac:dyDescent="0.35">
      <c r="A97" s="13" t="s">
        <v>9</v>
      </c>
      <c r="B97" s="15" t="s">
        <v>0</v>
      </c>
      <c r="C97" s="16" t="s">
        <v>1</v>
      </c>
      <c r="D97" s="17" t="s">
        <v>2</v>
      </c>
      <c r="E97" s="24" t="s">
        <v>3</v>
      </c>
      <c r="F97" s="23" t="s">
        <v>4</v>
      </c>
      <c r="G97" s="18" t="s">
        <v>5</v>
      </c>
    </row>
    <row r="98" spans="1:7" x14ac:dyDescent="0.35">
      <c r="A98" s="13" t="s">
        <v>242</v>
      </c>
      <c r="B98" s="8"/>
      <c r="C98" s="9"/>
      <c r="D98" s="10"/>
      <c r="E98" s="21"/>
      <c r="F98" s="22"/>
      <c r="G98" s="6"/>
    </row>
    <row r="99" spans="1:7" x14ac:dyDescent="0.35">
      <c r="A99" s="13" t="s">
        <v>243</v>
      </c>
      <c r="B99" s="8"/>
      <c r="C99" s="9"/>
      <c r="D99" s="10"/>
      <c r="E99" s="21"/>
      <c r="F99" s="22"/>
      <c r="G99" s="6"/>
    </row>
    <row r="100" spans="1:7" x14ac:dyDescent="0.35">
      <c r="A100" s="13" t="s">
        <v>244</v>
      </c>
      <c r="B100" s="8"/>
      <c r="C100" s="9"/>
      <c r="D100" s="10"/>
      <c r="E100" s="21"/>
      <c r="F100" s="22"/>
      <c r="G100" s="6"/>
    </row>
    <row r="101" spans="1:7" x14ac:dyDescent="0.35">
      <c r="A101" s="13" t="s">
        <v>245</v>
      </c>
      <c r="B101" s="8"/>
      <c r="C101" s="9"/>
      <c r="D101" s="10"/>
      <c r="E101" s="21"/>
      <c r="F101" s="22"/>
      <c r="G101" s="6"/>
    </row>
    <row r="102" spans="1:7" x14ac:dyDescent="0.35">
      <c r="A102" s="13" t="s">
        <v>246</v>
      </c>
      <c r="B102" s="8"/>
      <c r="C102" s="9"/>
      <c r="D102" s="10"/>
      <c r="E102" s="21"/>
      <c r="F102" s="22"/>
      <c r="G102" s="6"/>
    </row>
    <row r="103" spans="1:7" x14ac:dyDescent="0.35">
      <c r="A103" s="13" t="s">
        <v>247</v>
      </c>
      <c r="B103" s="8"/>
      <c r="C103" s="9"/>
      <c r="D103" s="10"/>
      <c r="E103" s="21"/>
      <c r="F103" s="22"/>
      <c r="G103" s="6"/>
    </row>
    <row r="104" spans="1:7" x14ac:dyDescent="0.35">
      <c r="A104" s="13" t="s">
        <v>248</v>
      </c>
      <c r="B104" s="8"/>
      <c r="C104" s="9"/>
      <c r="D104" s="10"/>
      <c r="E104" s="21"/>
      <c r="F104" s="22"/>
      <c r="G104" s="6"/>
    </row>
    <row r="105" spans="1:7" x14ac:dyDescent="0.35">
      <c r="A105" s="13" t="s">
        <v>249</v>
      </c>
      <c r="B105" s="8"/>
      <c r="C105" s="9"/>
      <c r="D105" s="10"/>
      <c r="E105" s="21"/>
      <c r="F105" s="22"/>
      <c r="G105" s="6"/>
    </row>
    <row r="106" spans="1:7" x14ac:dyDescent="0.35">
      <c r="A106" s="13" t="s">
        <v>250</v>
      </c>
      <c r="B106" s="8"/>
      <c r="C106" s="9"/>
      <c r="D106" s="10"/>
      <c r="E106" s="21"/>
      <c r="F106" s="22"/>
      <c r="G106" s="6"/>
    </row>
    <row r="107" spans="1:7" x14ac:dyDescent="0.35">
      <c r="A107" s="13" t="s">
        <v>251</v>
      </c>
      <c r="B107" s="8"/>
      <c r="C107" s="9"/>
      <c r="D107" s="10"/>
      <c r="E107" s="21"/>
      <c r="F107" s="22"/>
      <c r="G107" s="6"/>
    </row>
    <row r="108" spans="1:7" x14ac:dyDescent="0.35">
      <c r="A108" s="13" t="s">
        <v>252</v>
      </c>
      <c r="B108" s="8"/>
      <c r="C108" s="9"/>
      <c r="D108" s="10"/>
      <c r="E108" s="21"/>
      <c r="F108" s="22"/>
      <c r="G108" s="6"/>
    </row>
    <row r="109" spans="1:7" x14ac:dyDescent="0.35">
      <c r="A109" s="13" t="s">
        <v>253</v>
      </c>
      <c r="B109" s="8"/>
      <c r="C109" s="9"/>
      <c r="D109" s="10"/>
      <c r="E109" s="21"/>
      <c r="F109" s="22"/>
      <c r="G109" s="6"/>
    </row>
    <row r="110" spans="1:7" x14ac:dyDescent="0.35">
      <c r="A110" s="13" t="s">
        <v>254</v>
      </c>
      <c r="B110" s="8"/>
      <c r="C110" s="9"/>
      <c r="D110" s="10"/>
      <c r="E110" s="21"/>
      <c r="F110" s="22"/>
      <c r="G110" s="6"/>
    </row>
    <row r="111" spans="1:7" x14ac:dyDescent="0.35">
      <c r="A111" s="13" t="s">
        <v>255</v>
      </c>
      <c r="B111" s="8"/>
      <c r="C111" s="9"/>
      <c r="D111" s="10"/>
      <c r="E111" s="21"/>
      <c r="F111" s="22"/>
      <c r="G111" s="6"/>
    </row>
    <row r="112" spans="1:7" x14ac:dyDescent="0.35">
      <c r="A112" s="13" t="s">
        <v>256</v>
      </c>
      <c r="B112" s="8"/>
      <c r="C112" s="9"/>
      <c r="D112" s="10"/>
      <c r="E112" s="21"/>
      <c r="F112" s="22"/>
      <c r="G112" s="6"/>
    </row>
    <row r="113" spans="1:7" x14ac:dyDescent="0.35">
      <c r="A113" s="13" t="s">
        <v>257</v>
      </c>
      <c r="B113" s="8"/>
      <c r="C113" s="9"/>
      <c r="D113" s="10"/>
      <c r="E113" s="21"/>
      <c r="F113" s="22"/>
      <c r="G113" s="6"/>
    </row>
    <row r="114" spans="1:7" x14ac:dyDescent="0.35">
      <c r="A114" s="13" t="s">
        <v>258</v>
      </c>
      <c r="B114" s="8"/>
      <c r="C114" s="9"/>
      <c r="D114" s="10"/>
      <c r="E114" s="21"/>
      <c r="F114" s="22"/>
      <c r="G114" s="6"/>
    </row>
    <row r="115" spans="1:7" x14ac:dyDescent="0.35">
      <c r="A115" s="13" t="s">
        <v>259</v>
      </c>
      <c r="B115" s="8"/>
      <c r="C115" s="9"/>
      <c r="D115" s="10"/>
      <c r="E115" s="21"/>
      <c r="F115" s="22"/>
      <c r="G115" s="6"/>
    </row>
    <row r="116" spans="1:7" x14ac:dyDescent="0.35">
      <c r="A116" s="13" t="s">
        <v>260</v>
      </c>
      <c r="B116" s="8"/>
      <c r="C116" s="9"/>
      <c r="D116" s="10"/>
      <c r="E116" s="21"/>
      <c r="F116" s="22"/>
      <c r="G116" s="6"/>
    </row>
    <row r="117" spans="1:7" x14ac:dyDescent="0.35">
      <c r="A117" s="13" t="s">
        <v>261</v>
      </c>
      <c r="B117" s="8"/>
      <c r="C117" s="9"/>
      <c r="D117" s="10"/>
      <c r="E117" s="21"/>
      <c r="F117" s="22"/>
      <c r="G117" s="6"/>
    </row>
    <row r="118" spans="1:7" x14ac:dyDescent="0.35">
      <c r="A118" s="13" t="s">
        <v>262</v>
      </c>
      <c r="B118" s="8"/>
      <c r="C118" s="9"/>
      <c r="D118" s="10"/>
      <c r="E118" s="21"/>
      <c r="F118" s="22"/>
      <c r="G118" s="6"/>
    </row>
    <row r="119" spans="1:7" x14ac:dyDescent="0.35">
      <c r="A119" s="13" t="s">
        <v>263</v>
      </c>
      <c r="B119" s="8"/>
      <c r="C119" s="9"/>
      <c r="D119" s="10"/>
      <c r="E119" s="21"/>
      <c r="F119" s="22"/>
      <c r="G119" s="6"/>
    </row>
    <row r="120" spans="1:7" x14ac:dyDescent="0.35">
      <c r="A120" s="13" t="s">
        <v>264</v>
      </c>
      <c r="B120" s="8"/>
      <c r="C120" s="9"/>
      <c r="D120" s="10"/>
      <c r="E120" s="21"/>
      <c r="F120" s="22"/>
      <c r="G120" s="6"/>
    </row>
    <row r="121" spans="1:7" x14ac:dyDescent="0.35">
      <c r="A121" s="13" t="s">
        <v>265</v>
      </c>
      <c r="B121" s="8"/>
      <c r="C121" s="9"/>
      <c r="D121" s="10"/>
      <c r="E121" s="21"/>
      <c r="F121" s="22"/>
      <c r="G121" s="6"/>
    </row>
    <row r="122" spans="1:7" x14ac:dyDescent="0.35">
      <c r="A122" s="13" t="s">
        <v>266</v>
      </c>
      <c r="B122" s="8"/>
      <c r="C122" s="9"/>
      <c r="D122" s="10"/>
      <c r="E122" s="21"/>
      <c r="F122" s="22"/>
      <c r="G122" s="6"/>
    </row>
    <row r="123" spans="1:7" x14ac:dyDescent="0.35">
      <c r="A123" s="13" t="s">
        <v>267</v>
      </c>
      <c r="B123" s="8"/>
      <c r="C123" s="9"/>
      <c r="D123" s="10"/>
      <c r="E123" s="21"/>
      <c r="F123" s="22"/>
      <c r="G123" s="6"/>
    </row>
    <row r="124" spans="1:7" x14ac:dyDescent="0.35">
      <c r="A124" s="13" t="s">
        <v>268</v>
      </c>
      <c r="B124" s="8"/>
      <c r="C124" s="9"/>
      <c r="D124" s="10"/>
      <c r="E124" s="21"/>
      <c r="F124" s="22"/>
      <c r="G124" s="6"/>
    </row>
    <row r="125" spans="1:7" x14ac:dyDescent="0.35">
      <c r="A125" s="13" t="s">
        <v>269</v>
      </c>
      <c r="B125" s="8"/>
      <c r="C125" s="9"/>
      <c r="D125" s="10"/>
      <c r="E125" s="21"/>
      <c r="F125" s="22"/>
      <c r="G125" s="6"/>
    </row>
    <row r="126" spans="1:7" x14ac:dyDescent="0.35">
      <c r="A126" s="13" t="s">
        <v>270</v>
      </c>
      <c r="B126" s="8"/>
      <c r="C126" s="9"/>
      <c r="D126" s="10"/>
      <c r="E126" s="21"/>
      <c r="F126" s="22"/>
      <c r="G126" s="6"/>
    </row>
    <row r="127" spans="1:7" x14ac:dyDescent="0.35">
      <c r="A127" s="13" t="s">
        <v>271</v>
      </c>
      <c r="B127" s="8"/>
      <c r="C127" s="9"/>
      <c r="D127" s="10"/>
      <c r="E127" s="21"/>
      <c r="F127" s="22"/>
      <c r="G127" s="6"/>
    </row>
    <row r="128" spans="1:7" x14ac:dyDescent="0.35">
      <c r="A128" s="2"/>
      <c r="B128" s="2"/>
      <c r="C128" s="2"/>
      <c r="D128" s="2"/>
      <c r="E128" s="2"/>
      <c r="F128" s="2"/>
      <c r="G128" s="2"/>
    </row>
    <row r="129" spans="1:7" x14ac:dyDescent="0.35">
      <c r="A129" s="13" t="s">
        <v>10</v>
      </c>
      <c r="B129" s="15" t="s">
        <v>0</v>
      </c>
      <c r="C129" s="16" t="s">
        <v>1</v>
      </c>
      <c r="D129" s="17" t="s">
        <v>2</v>
      </c>
      <c r="E129" s="24" t="s">
        <v>3</v>
      </c>
      <c r="F129" s="23" t="s">
        <v>4</v>
      </c>
      <c r="G129" s="18" t="s">
        <v>5</v>
      </c>
    </row>
    <row r="130" spans="1:7" x14ac:dyDescent="0.35">
      <c r="A130" s="13" t="s">
        <v>242</v>
      </c>
      <c r="B130" s="8"/>
      <c r="C130" s="9"/>
      <c r="D130" s="10"/>
      <c r="E130" s="21"/>
      <c r="F130" s="22"/>
      <c r="G130" s="6"/>
    </row>
    <row r="131" spans="1:7" x14ac:dyDescent="0.35">
      <c r="A131" s="13" t="s">
        <v>243</v>
      </c>
      <c r="B131" s="8"/>
      <c r="C131" s="9"/>
      <c r="D131" s="10"/>
      <c r="E131" s="21"/>
      <c r="F131" s="22"/>
      <c r="G131" s="6"/>
    </row>
    <row r="132" spans="1:7" x14ac:dyDescent="0.35">
      <c r="A132" s="13" t="s">
        <v>244</v>
      </c>
      <c r="B132" s="8"/>
      <c r="C132" s="9"/>
      <c r="D132" s="10"/>
      <c r="E132" s="21"/>
      <c r="F132" s="22"/>
      <c r="G132" s="6"/>
    </row>
    <row r="133" spans="1:7" x14ac:dyDescent="0.35">
      <c r="A133" s="13" t="s">
        <v>245</v>
      </c>
      <c r="B133" s="8"/>
      <c r="C133" s="9"/>
      <c r="D133" s="10"/>
      <c r="E133" s="21"/>
      <c r="F133" s="22"/>
      <c r="G133" s="6"/>
    </row>
    <row r="134" spans="1:7" x14ac:dyDescent="0.35">
      <c r="A134" s="13" t="s">
        <v>246</v>
      </c>
      <c r="B134" s="8"/>
      <c r="C134" s="9"/>
      <c r="D134" s="10"/>
      <c r="E134" s="21"/>
      <c r="F134" s="22"/>
      <c r="G134" s="6"/>
    </row>
    <row r="135" spans="1:7" x14ac:dyDescent="0.35">
      <c r="A135" s="13" t="s">
        <v>247</v>
      </c>
      <c r="B135" s="8"/>
      <c r="C135" s="9"/>
      <c r="D135" s="10"/>
      <c r="E135" s="21"/>
      <c r="F135" s="22"/>
      <c r="G135" s="6"/>
    </row>
    <row r="136" spans="1:7" x14ac:dyDescent="0.35">
      <c r="A136" s="13" t="s">
        <v>248</v>
      </c>
      <c r="B136" s="8"/>
      <c r="C136" s="9"/>
      <c r="D136" s="10"/>
      <c r="E136" s="21"/>
      <c r="F136" s="22"/>
      <c r="G136" s="6"/>
    </row>
    <row r="137" spans="1:7" x14ac:dyDescent="0.35">
      <c r="A137" s="13" t="s">
        <v>249</v>
      </c>
      <c r="B137" s="8"/>
      <c r="C137" s="9"/>
      <c r="D137" s="10"/>
      <c r="E137" s="21"/>
      <c r="F137" s="22"/>
      <c r="G137" s="6"/>
    </row>
    <row r="138" spans="1:7" x14ac:dyDescent="0.35">
      <c r="A138" s="13" t="s">
        <v>250</v>
      </c>
      <c r="B138" s="8"/>
      <c r="C138" s="9"/>
      <c r="D138" s="10"/>
      <c r="E138" s="21"/>
      <c r="F138" s="22"/>
      <c r="G138" s="6"/>
    </row>
    <row r="139" spans="1:7" x14ac:dyDescent="0.35">
      <c r="A139" s="13" t="s">
        <v>251</v>
      </c>
      <c r="B139" s="8"/>
      <c r="C139" s="9"/>
      <c r="D139" s="10"/>
      <c r="E139" s="21"/>
      <c r="F139" s="22"/>
      <c r="G139" s="6"/>
    </row>
    <row r="140" spans="1:7" x14ac:dyDescent="0.35">
      <c r="A140" s="13" t="s">
        <v>252</v>
      </c>
      <c r="B140" s="8"/>
      <c r="C140" s="9"/>
      <c r="D140" s="10"/>
      <c r="E140" s="21"/>
      <c r="F140" s="22"/>
      <c r="G140" s="6"/>
    </row>
    <row r="141" spans="1:7" x14ac:dyDescent="0.35">
      <c r="A141" s="13" t="s">
        <v>253</v>
      </c>
      <c r="B141" s="8"/>
      <c r="C141" s="9"/>
      <c r="D141" s="10"/>
      <c r="E141" s="21"/>
      <c r="F141" s="22"/>
      <c r="G141" s="6"/>
    </row>
    <row r="142" spans="1:7" x14ac:dyDescent="0.35">
      <c r="A142" s="13" t="s">
        <v>254</v>
      </c>
      <c r="B142" s="8"/>
      <c r="C142" s="9"/>
      <c r="D142" s="10"/>
      <c r="E142" s="21"/>
      <c r="F142" s="22"/>
      <c r="G142" s="6"/>
    </row>
    <row r="143" spans="1:7" x14ac:dyDescent="0.35">
      <c r="A143" s="13" t="s">
        <v>255</v>
      </c>
      <c r="B143" s="8"/>
      <c r="C143" s="9"/>
      <c r="D143" s="10"/>
      <c r="E143" s="21"/>
      <c r="F143" s="22"/>
      <c r="G143" s="6"/>
    </row>
    <row r="144" spans="1:7" x14ac:dyDescent="0.35">
      <c r="A144" s="13" t="s">
        <v>256</v>
      </c>
      <c r="B144" s="8"/>
      <c r="C144" s="9"/>
      <c r="D144" s="10"/>
      <c r="E144" s="21"/>
      <c r="F144" s="22"/>
      <c r="G144" s="6"/>
    </row>
    <row r="145" spans="1:7" x14ac:dyDescent="0.35">
      <c r="A145" s="13" t="s">
        <v>257</v>
      </c>
      <c r="B145" s="8"/>
      <c r="C145" s="9"/>
      <c r="D145" s="10"/>
      <c r="E145" s="21"/>
      <c r="F145" s="22"/>
      <c r="G145" s="6"/>
    </row>
    <row r="146" spans="1:7" x14ac:dyDescent="0.35">
      <c r="A146" s="13" t="s">
        <v>258</v>
      </c>
      <c r="B146" s="8"/>
      <c r="C146" s="9"/>
      <c r="D146" s="10"/>
      <c r="E146" s="21"/>
      <c r="F146" s="22"/>
      <c r="G146" s="6"/>
    </row>
    <row r="147" spans="1:7" x14ac:dyDescent="0.35">
      <c r="A147" s="13" t="s">
        <v>259</v>
      </c>
      <c r="B147" s="8"/>
      <c r="C147" s="9"/>
      <c r="D147" s="10"/>
      <c r="E147" s="21"/>
      <c r="F147" s="22"/>
      <c r="G147" s="6"/>
    </row>
    <row r="148" spans="1:7" x14ac:dyDescent="0.35">
      <c r="A148" s="13" t="s">
        <v>260</v>
      </c>
      <c r="B148" s="8"/>
      <c r="C148" s="9"/>
      <c r="D148" s="10"/>
      <c r="E148" s="21"/>
      <c r="F148" s="22"/>
      <c r="G148" s="6"/>
    </row>
    <row r="149" spans="1:7" x14ac:dyDescent="0.35">
      <c r="A149" s="13" t="s">
        <v>261</v>
      </c>
      <c r="B149" s="8"/>
      <c r="C149" s="9"/>
      <c r="D149" s="10"/>
      <c r="E149" s="21"/>
      <c r="F149" s="22"/>
      <c r="G149" s="6"/>
    </row>
    <row r="150" spans="1:7" x14ac:dyDescent="0.35">
      <c r="A150" s="13" t="s">
        <v>262</v>
      </c>
      <c r="B150" s="8"/>
      <c r="C150" s="9"/>
      <c r="D150" s="10"/>
      <c r="E150" s="21"/>
      <c r="F150" s="22"/>
      <c r="G150" s="6"/>
    </row>
    <row r="151" spans="1:7" x14ac:dyDescent="0.35">
      <c r="A151" s="13" t="s">
        <v>263</v>
      </c>
      <c r="B151" s="8"/>
      <c r="C151" s="9"/>
      <c r="D151" s="10"/>
      <c r="E151" s="21"/>
      <c r="F151" s="22"/>
      <c r="G151" s="6"/>
    </row>
    <row r="152" spans="1:7" x14ac:dyDescent="0.35">
      <c r="A152" s="13" t="s">
        <v>264</v>
      </c>
      <c r="B152" s="8"/>
      <c r="C152" s="9"/>
      <c r="D152" s="10"/>
      <c r="E152" s="21"/>
      <c r="F152" s="22"/>
      <c r="G152" s="6"/>
    </row>
    <row r="153" spans="1:7" x14ac:dyDescent="0.35">
      <c r="A153" s="13" t="s">
        <v>265</v>
      </c>
      <c r="B153" s="8"/>
      <c r="C153" s="9"/>
      <c r="D153" s="10"/>
      <c r="E153" s="21"/>
      <c r="F153" s="22"/>
      <c r="G153" s="6"/>
    </row>
    <row r="154" spans="1:7" x14ac:dyDescent="0.35">
      <c r="A154" s="13" t="s">
        <v>266</v>
      </c>
      <c r="B154" s="8"/>
      <c r="C154" s="9"/>
      <c r="D154" s="10"/>
      <c r="E154" s="21"/>
      <c r="F154" s="22"/>
      <c r="G154" s="6"/>
    </row>
    <row r="155" spans="1:7" x14ac:dyDescent="0.35">
      <c r="A155" s="13" t="s">
        <v>267</v>
      </c>
      <c r="B155" s="8"/>
      <c r="C155" s="9"/>
      <c r="D155" s="10"/>
      <c r="E155" s="21"/>
      <c r="F155" s="22"/>
      <c r="G155" s="6"/>
    </row>
    <row r="156" spans="1:7" x14ac:dyDescent="0.35">
      <c r="A156" s="13" t="s">
        <v>268</v>
      </c>
      <c r="B156" s="8"/>
      <c r="C156" s="9"/>
      <c r="D156" s="10"/>
      <c r="E156" s="21"/>
      <c r="F156" s="22"/>
      <c r="G156" s="6"/>
    </row>
    <row r="157" spans="1:7" x14ac:dyDescent="0.35">
      <c r="A157" s="13" t="s">
        <v>269</v>
      </c>
      <c r="B157" s="8"/>
      <c r="C157" s="9"/>
      <c r="D157" s="10"/>
      <c r="E157" s="21"/>
      <c r="F157" s="22"/>
      <c r="G157" s="6"/>
    </row>
    <row r="158" spans="1:7" x14ac:dyDescent="0.35">
      <c r="A158" s="13" t="s">
        <v>270</v>
      </c>
      <c r="B158" s="8"/>
      <c r="C158" s="9"/>
      <c r="D158" s="10"/>
      <c r="E158" s="21"/>
      <c r="F158" s="22"/>
      <c r="G158" s="6"/>
    </row>
    <row r="159" spans="1:7" x14ac:dyDescent="0.35">
      <c r="A159" s="13" t="s">
        <v>271</v>
      </c>
      <c r="B159" s="8"/>
      <c r="C159" s="9"/>
      <c r="D159" s="10"/>
      <c r="E159" s="21"/>
      <c r="F159" s="22"/>
      <c r="G159" s="6"/>
    </row>
    <row r="160" spans="1:7" x14ac:dyDescent="0.35">
      <c r="A160" s="2"/>
      <c r="B160" s="2"/>
      <c r="C160" s="2"/>
      <c r="D160" s="2"/>
      <c r="E160" s="2"/>
      <c r="F160" s="2"/>
      <c r="G160" s="2"/>
    </row>
    <row r="161" spans="1:7" x14ac:dyDescent="0.35">
      <c r="A161" s="13" t="s">
        <v>11</v>
      </c>
      <c r="B161" s="15" t="s">
        <v>0</v>
      </c>
      <c r="C161" s="16" t="s">
        <v>1</v>
      </c>
      <c r="D161" s="17" t="s">
        <v>2</v>
      </c>
      <c r="E161" s="24" t="s">
        <v>3</v>
      </c>
      <c r="F161" s="23" t="s">
        <v>4</v>
      </c>
      <c r="G161" s="18" t="s">
        <v>5</v>
      </c>
    </row>
    <row r="162" spans="1:7" x14ac:dyDescent="0.35">
      <c r="A162" s="13" t="s">
        <v>242</v>
      </c>
      <c r="B162" s="8"/>
      <c r="C162" s="9"/>
      <c r="D162" s="10"/>
      <c r="E162" s="21"/>
      <c r="F162" s="22"/>
      <c r="G162" s="6"/>
    </row>
    <row r="163" spans="1:7" x14ac:dyDescent="0.35">
      <c r="A163" s="13" t="s">
        <v>243</v>
      </c>
      <c r="B163" s="8"/>
      <c r="C163" s="9"/>
      <c r="D163" s="10"/>
      <c r="E163" s="21"/>
      <c r="F163" s="22"/>
      <c r="G163" s="6"/>
    </row>
    <row r="164" spans="1:7" x14ac:dyDescent="0.35">
      <c r="A164" s="13" t="s">
        <v>244</v>
      </c>
      <c r="B164" s="8"/>
      <c r="C164" s="9"/>
      <c r="D164" s="10"/>
      <c r="E164" s="21"/>
      <c r="F164" s="22"/>
      <c r="G164" s="6"/>
    </row>
    <row r="165" spans="1:7" x14ac:dyDescent="0.35">
      <c r="A165" s="13" t="s">
        <v>245</v>
      </c>
      <c r="B165" s="8"/>
      <c r="C165" s="9"/>
      <c r="D165" s="10"/>
      <c r="E165" s="21"/>
      <c r="F165" s="22"/>
      <c r="G165" s="6"/>
    </row>
    <row r="166" spans="1:7" x14ac:dyDescent="0.35">
      <c r="A166" s="13" t="s">
        <v>246</v>
      </c>
      <c r="B166" s="8"/>
      <c r="C166" s="9"/>
      <c r="D166" s="10"/>
      <c r="E166" s="21"/>
      <c r="F166" s="22"/>
      <c r="G166" s="6"/>
    </row>
    <row r="167" spans="1:7" x14ac:dyDescent="0.35">
      <c r="A167" s="13" t="s">
        <v>247</v>
      </c>
      <c r="B167" s="8"/>
      <c r="C167" s="9"/>
      <c r="D167" s="10"/>
      <c r="E167" s="21"/>
      <c r="F167" s="22"/>
      <c r="G167" s="6"/>
    </row>
    <row r="168" spans="1:7" x14ac:dyDescent="0.35">
      <c r="A168" s="13" t="s">
        <v>248</v>
      </c>
      <c r="B168" s="8"/>
      <c r="C168" s="9"/>
      <c r="D168" s="10"/>
      <c r="E168" s="21"/>
      <c r="F168" s="22"/>
      <c r="G168" s="6"/>
    </row>
    <row r="169" spans="1:7" x14ac:dyDescent="0.35">
      <c r="A169" s="13" t="s">
        <v>249</v>
      </c>
      <c r="B169" s="8"/>
      <c r="C169" s="9"/>
      <c r="D169" s="10"/>
      <c r="E169" s="21"/>
      <c r="F169" s="22"/>
      <c r="G169" s="6"/>
    </row>
    <row r="170" spans="1:7" x14ac:dyDescent="0.35">
      <c r="A170" s="13" t="s">
        <v>250</v>
      </c>
      <c r="B170" s="8"/>
      <c r="C170" s="9"/>
      <c r="D170" s="10"/>
      <c r="E170" s="21"/>
      <c r="F170" s="22"/>
      <c r="G170" s="6"/>
    </row>
    <row r="171" spans="1:7" x14ac:dyDescent="0.35">
      <c r="A171" s="13" t="s">
        <v>251</v>
      </c>
      <c r="B171" s="8"/>
      <c r="C171" s="9"/>
      <c r="D171" s="10"/>
      <c r="E171" s="21"/>
      <c r="F171" s="22"/>
      <c r="G171" s="6"/>
    </row>
    <row r="172" spans="1:7" x14ac:dyDescent="0.35">
      <c r="A172" s="13" t="s">
        <v>252</v>
      </c>
      <c r="B172" s="8"/>
      <c r="C172" s="9"/>
      <c r="D172" s="10"/>
      <c r="E172" s="21"/>
      <c r="F172" s="22"/>
      <c r="G172" s="6"/>
    </row>
    <row r="173" spans="1:7" x14ac:dyDescent="0.35">
      <c r="A173" s="13" t="s">
        <v>253</v>
      </c>
      <c r="B173" s="8"/>
      <c r="C173" s="9"/>
      <c r="D173" s="10"/>
      <c r="E173" s="21"/>
      <c r="F173" s="22"/>
      <c r="G173" s="6"/>
    </row>
    <row r="174" spans="1:7" x14ac:dyDescent="0.35">
      <c r="A174" s="13" t="s">
        <v>254</v>
      </c>
      <c r="B174" s="8"/>
      <c r="C174" s="9"/>
      <c r="D174" s="10"/>
      <c r="E174" s="21"/>
      <c r="F174" s="22"/>
      <c r="G174" s="6"/>
    </row>
    <row r="175" spans="1:7" x14ac:dyDescent="0.35">
      <c r="A175" s="13" t="s">
        <v>255</v>
      </c>
      <c r="B175" s="8"/>
      <c r="C175" s="9"/>
      <c r="D175" s="10"/>
      <c r="E175" s="21"/>
      <c r="F175" s="22"/>
      <c r="G175" s="6"/>
    </row>
    <row r="176" spans="1:7" x14ac:dyDescent="0.35">
      <c r="A176" s="13" t="s">
        <v>256</v>
      </c>
      <c r="B176" s="8"/>
      <c r="C176" s="9"/>
      <c r="D176" s="10"/>
      <c r="E176" s="21"/>
      <c r="F176" s="22"/>
      <c r="G176" s="6"/>
    </row>
    <row r="177" spans="1:7" x14ac:dyDescent="0.35">
      <c r="A177" s="13" t="s">
        <v>257</v>
      </c>
      <c r="B177" s="8"/>
      <c r="C177" s="9"/>
      <c r="D177" s="10"/>
      <c r="E177" s="21"/>
      <c r="F177" s="22"/>
      <c r="G177" s="6"/>
    </row>
    <row r="178" spans="1:7" x14ac:dyDescent="0.35">
      <c r="A178" s="13" t="s">
        <v>258</v>
      </c>
      <c r="B178" s="8"/>
      <c r="C178" s="9"/>
      <c r="D178" s="10"/>
      <c r="E178" s="21"/>
      <c r="F178" s="22"/>
      <c r="G178" s="6"/>
    </row>
    <row r="179" spans="1:7" x14ac:dyDescent="0.35">
      <c r="A179" s="13" t="s">
        <v>259</v>
      </c>
      <c r="B179" s="8"/>
      <c r="C179" s="9"/>
      <c r="D179" s="10"/>
      <c r="E179" s="21"/>
      <c r="F179" s="22"/>
      <c r="G179" s="6"/>
    </row>
    <row r="180" spans="1:7" x14ac:dyDescent="0.35">
      <c r="A180" s="13" t="s">
        <v>260</v>
      </c>
      <c r="B180" s="8"/>
      <c r="C180" s="9"/>
      <c r="D180" s="10"/>
      <c r="E180" s="21"/>
      <c r="F180" s="22"/>
      <c r="G180" s="6"/>
    </row>
    <row r="181" spans="1:7" x14ac:dyDescent="0.35">
      <c r="A181" s="13" t="s">
        <v>261</v>
      </c>
      <c r="B181" s="8"/>
      <c r="C181" s="9"/>
      <c r="D181" s="10"/>
      <c r="E181" s="21"/>
      <c r="F181" s="22"/>
      <c r="G181" s="6"/>
    </row>
    <row r="182" spans="1:7" x14ac:dyDescent="0.35">
      <c r="A182" s="13" t="s">
        <v>262</v>
      </c>
      <c r="B182" s="8"/>
      <c r="C182" s="9"/>
      <c r="D182" s="10"/>
      <c r="E182" s="21"/>
      <c r="F182" s="22"/>
      <c r="G182" s="6"/>
    </row>
    <row r="183" spans="1:7" x14ac:dyDescent="0.35">
      <c r="A183" s="13" t="s">
        <v>263</v>
      </c>
      <c r="B183" s="8"/>
      <c r="C183" s="9"/>
      <c r="D183" s="10"/>
      <c r="E183" s="21"/>
      <c r="F183" s="22"/>
      <c r="G183" s="6"/>
    </row>
    <row r="184" spans="1:7" x14ac:dyDescent="0.35">
      <c r="A184" s="13" t="s">
        <v>264</v>
      </c>
      <c r="B184" s="8"/>
      <c r="C184" s="9"/>
      <c r="D184" s="10"/>
      <c r="E184" s="21"/>
      <c r="F184" s="22"/>
      <c r="G184" s="6"/>
    </row>
    <row r="185" spans="1:7" x14ac:dyDescent="0.35">
      <c r="A185" s="13" t="s">
        <v>265</v>
      </c>
      <c r="B185" s="8"/>
      <c r="C185" s="9"/>
      <c r="D185" s="10"/>
      <c r="E185" s="21"/>
      <c r="F185" s="22"/>
      <c r="G185" s="6"/>
    </row>
    <row r="186" spans="1:7" x14ac:dyDescent="0.35">
      <c r="A186" s="13" t="s">
        <v>266</v>
      </c>
      <c r="B186" s="8"/>
      <c r="C186" s="9"/>
      <c r="D186" s="10"/>
      <c r="E186" s="21"/>
      <c r="F186" s="22"/>
      <c r="G186" s="6"/>
    </row>
    <row r="187" spans="1:7" x14ac:dyDescent="0.35">
      <c r="A187" s="13" t="s">
        <v>267</v>
      </c>
      <c r="B187" s="8"/>
      <c r="C187" s="9"/>
      <c r="D187" s="10"/>
      <c r="E187" s="21"/>
      <c r="F187" s="22"/>
      <c r="G187" s="6"/>
    </row>
    <row r="188" spans="1:7" x14ac:dyDescent="0.35">
      <c r="A188" s="13" t="s">
        <v>268</v>
      </c>
      <c r="B188" s="8"/>
      <c r="C188" s="9"/>
      <c r="D188" s="10"/>
      <c r="E188" s="21"/>
      <c r="F188" s="22"/>
      <c r="G188" s="6"/>
    </row>
    <row r="189" spans="1:7" x14ac:dyDescent="0.35">
      <c r="A189" s="13" t="s">
        <v>269</v>
      </c>
      <c r="B189" s="8"/>
      <c r="C189" s="9"/>
      <c r="D189" s="10"/>
      <c r="E189" s="21"/>
      <c r="F189" s="22"/>
      <c r="G189" s="6"/>
    </row>
    <row r="190" spans="1:7" x14ac:dyDescent="0.35">
      <c r="A190" s="13" t="s">
        <v>270</v>
      </c>
      <c r="B190" s="8"/>
      <c r="C190" s="9"/>
      <c r="D190" s="10"/>
      <c r="E190" s="21"/>
      <c r="F190" s="22"/>
      <c r="G190" s="6"/>
    </row>
    <row r="191" spans="1:7" x14ac:dyDescent="0.35">
      <c r="A191" s="13" t="s">
        <v>271</v>
      </c>
      <c r="B191" s="8"/>
      <c r="C191" s="9"/>
      <c r="D191" s="10"/>
      <c r="E191" s="21"/>
      <c r="F191" s="22"/>
      <c r="G191" s="6"/>
    </row>
    <row r="192" spans="1:7" x14ac:dyDescent="0.35">
      <c r="A192" s="2"/>
      <c r="B192" s="2"/>
      <c r="C192" s="2"/>
      <c r="D192" s="2"/>
      <c r="E192" s="2"/>
      <c r="F192" s="2"/>
      <c r="G192" s="2"/>
    </row>
    <row r="193" spans="1:7" x14ac:dyDescent="0.35">
      <c r="A193" s="13" t="s">
        <v>12</v>
      </c>
      <c r="B193" s="15" t="s">
        <v>0</v>
      </c>
      <c r="C193" s="16" t="s">
        <v>1</v>
      </c>
      <c r="D193" s="17" t="s">
        <v>2</v>
      </c>
      <c r="E193" s="24" t="s">
        <v>3</v>
      </c>
      <c r="F193" s="23" t="s">
        <v>4</v>
      </c>
      <c r="G193" s="18" t="s">
        <v>5</v>
      </c>
    </row>
    <row r="194" spans="1:7" x14ac:dyDescent="0.35">
      <c r="A194" s="13" t="s">
        <v>242</v>
      </c>
      <c r="B194" s="8"/>
      <c r="C194" s="9"/>
      <c r="D194" s="10"/>
      <c r="E194" s="21"/>
      <c r="F194" s="22"/>
      <c r="G194" s="6"/>
    </row>
    <row r="195" spans="1:7" x14ac:dyDescent="0.35">
      <c r="A195" s="13" t="s">
        <v>243</v>
      </c>
      <c r="B195" s="8"/>
      <c r="C195" s="9"/>
      <c r="D195" s="10"/>
      <c r="E195" s="21"/>
      <c r="F195" s="22"/>
      <c r="G195" s="6"/>
    </row>
    <row r="196" spans="1:7" x14ac:dyDescent="0.35">
      <c r="A196" s="13" t="s">
        <v>244</v>
      </c>
      <c r="B196" s="8"/>
      <c r="C196" s="9"/>
      <c r="D196" s="10"/>
      <c r="E196" s="21"/>
      <c r="F196" s="22"/>
      <c r="G196" s="6"/>
    </row>
    <row r="197" spans="1:7" x14ac:dyDescent="0.35">
      <c r="A197" s="13" t="s">
        <v>245</v>
      </c>
      <c r="B197" s="8"/>
      <c r="C197" s="9"/>
      <c r="D197" s="10"/>
      <c r="E197" s="21"/>
      <c r="F197" s="22"/>
      <c r="G197" s="6"/>
    </row>
    <row r="198" spans="1:7" x14ac:dyDescent="0.35">
      <c r="A198" s="13" t="s">
        <v>246</v>
      </c>
      <c r="B198" s="8"/>
      <c r="C198" s="9"/>
      <c r="D198" s="10"/>
      <c r="E198" s="21"/>
      <c r="F198" s="22"/>
      <c r="G198" s="6"/>
    </row>
    <row r="199" spans="1:7" x14ac:dyDescent="0.35">
      <c r="A199" s="13" t="s">
        <v>247</v>
      </c>
      <c r="B199" s="8"/>
      <c r="C199" s="9"/>
      <c r="D199" s="10"/>
      <c r="E199" s="21"/>
      <c r="F199" s="22"/>
      <c r="G199" s="6"/>
    </row>
    <row r="200" spans="1:7" x14ac:dyDescent="0.35">
      <c r="A200" s="13" t="s">
        <v>248</v>
      </c>
      <c r="B200" s="8"/>
      <c r="C200" s="9"/>
      <c r="D200" s="10"/>
      <c r="E200" s="21"/>
      <c r="F200" s="22"/>
      <c r="G200" s="6"/>
    </row>
    <row r="201" spans="1:7" x14ac:dyDescent="0.35">
      <c r="A201" s="13" t="s">
        <v>249</v>
      </c>
      <c r="B201" s="8"/>
      <c r="C201" s="9"/>
      <c r="D201" s="10"/>
      <c r="E201" s="21"/>
      <c r="F201" s="22"/>
      <c r="G201" s="6"/>
    </row>
    <row r="202" spans="1:7" x14ac:dyDescent="0.35">
      <c r="A202" s="13" t="s">
        <v>250</v>
      </c>
      <c r="B202" s="8"/>
      <c r="C202" s="9"/>
      <c r="D202" s="10"/>
      <c r="E202" s="21"/>
      <c r="F202" s="22"/>
      <c r="G202" s="6"/>
    </row>
    <row r="203" spans="1:7" x14ac:dyDescent="0.35">
      <c r="A203" s="13" t="s">
        <v>251</v>
      </c>
      <c r="B203" s="8"/>
      <c r="C203" s="9"/>
      <c r="D203" s="10"/>
      <c r="E203" s="21"/>
      <c r="F203" s="22"/>
      <c r="G203" s="6"/>
    </row>
    <row r="204" spans="1:7" x14ac:dyDescent="0.35">
      <c r="A204" s="13" t="s">
        <v>252</v>
      </c>
      <c r="B204" s="8"/>
      <c r="C204" s="9"/>
      <c r="D204" s="10"/>
      <c r="E204" s="21"/>
      <c r="F204" s="22"/>
      <c r="G204" s="6"/>
    </row>
    <row r="205" spans="1:7" x14ac:dyDescent="0.35">
      <c r="A205" s="13" t="s">
        <v>253</v>
      </c>
      <c r="B205" s="8"/>
      <c r="C205" s="9"/>
      <c r="D205" s="10"/>
      <c r="E205" s="21"/>
      <c r="F205" s="22"/>
      <c r="G205" s="6"/>
    </row>
    <row r="206" spans="1:7" x14ac:dyDescent="0.35">
      <c r="A206" s="13" t="s">
        <v>254</v>
      </c>
      <c r="B206" s="8"/>
      <c r="C206" s="9"/>
      <c r="D206" s="10"/>
      <c r="E206" s="21"/>
      <c r="F206" s="22"/>
      <c r="G206" s="6"/>
    </row>
    <row r="207" spans="1:7" x14ac:dyDescent="0.35">
      <c r="A207" s="13" t="s">
        <v>255</v>
      </c>
      <c r="B207" s="8"/>
      <c r="C207" s="9"/>
      <c r="D207" s="10"/>
      <c r="E207" s="21"/>
      <c r="F207" s="22"/>
      <c r="G207" s="6"/>
    </row>
    <row r="208" spans="1:7" x14ac:dyDescent="0.35">
      <c r="A208" s="13" t="s">
        <v>256</v>
      </c>
      <c r="B208" s="8"/>
      <c r="C208" s="9"/>
      <c r="D208" s="10"/>
      <c r="E208" s="21"/>
      <c r="F208" s="22"/>
      <c r="G208" s="6"/>
    </row>
    <row r="209" spans="1:7" x14ac:dyDescent="0.35">
      <c r="A209" s="13" t="s">
        <v>257</v>
      </c>
      <c r="B209" s="8"/>
      <c r="C209" s="9"/>
      <c r="D209" s="10"/>
      <c r="E209" s="21"/>
      <c r="F209" s="22"/>
      <c r="G209" s="6"/>
    </row>
    <row r="210" spans="1:7" x14ac:dyDescent="0.35">
      <c r="A210" s="13" t="s">
        <v>258</v>
      </c>
      <c r="B210" s="8"/>
      <c r="C210" s="9"/>
      <c r="D210" s="10"/>
      <c r="E210" s="21"/>
      <c r="F210" s="22"/>
      <c r="G210" s="6"/>
    </row>
    <row r="211" spans="1:7" x14ac:dyDescent="0.35">
      <c r="A211" s="13" t="s">
        <v>259</v>
      </c>
      <c r="B211" s="8"/>
      <c r="C211" s="9"/>
      <c r="D211" s="10"/>
      <c r="E211" s="21"/>
      <c r="F211" s="22"/>
      <c r="G211" s="6"/>
    </row>
    <row r="212" spans="1:7" x14ac:dyDescent="0.35">
      <c r="A212" s="13" t="s">
        <v>260</v>
      </c>
      <c r="B212" s="8"/>
      <c r="C212" s="9"/>
      <c r="D212" s="10"/>
      <c r="E212" s="21"/>
      <c r="F212" s="22"/>
      <c r="G212" s="6"/>
    </row>
    <row r="213" spans="1:7" x14ac:dyDescent="0.35">
      <c r="A213" s="13" t="s">
        <v>261</v>
      </c>
      <c r="B213" s="8"/>
      <c r="C213" s="9"/>
      <c r="D213" s="10"/>
      <c r="E213" s="21"/>
      <c r="F213" s="22"/>
      <c r="G213" s="6"/>
    </row>
    <row r="214" spans="1:7" x14ac:dyDescent="0.35">
      <c r="A214" s="13" t="s">
        <v>262</v>
      </c>
      <c r="B214" s="8"/>
      <c r="C214" s="9"/>
      <c r="D214" s="10"/>
      <c r="E214" s="21"/>
      <c r="F214" s="22"/>
      <c r="G214" s="6"/>
    </row>
    <row r="215" spans="1:7" x14ac:dyDescent="0.35">
      <c r="A215" s="13" t="s">
        <v>263</v>
      </c>
      <c r="B215" s="8"/>
      <c r="C215" s="9"/>
      <c r="D215" s="10"/>
      <c r="E215" s="21"/>
      <c r="F215" s="22"/>
      <c r="G215" s="6"/>
    </row>
    <row r="216" spans="1:7" x14ac:dyDescent="0.35">
      <c r="A216" s="13" t="s">
        <v>264</v>
      </c>
      <c r="B216" s="8"/>
      <c r="C216" s="9"/>
      <c r="D216" s="10"/>
      <c r="E216" s="21"/>
      <c r="F216" s="22"/>
      <c r="G216" s="6"/>
    </row>
    <row r="217" spans="1:7" x14ac:dyDescent="0.35">
      <c r="A217" s="13" t="s">
        <v>265</v>
      </c>
      <c r="B217" s="8"/>
      <c r="C217" s="9"/>
      <c r="D217" s="10"/>
      <c r="E217" s="21"/>
      <c r="F217" s="22"/>
      <c r="G217" s="6"/>
    </row>
    <row r="218" spans="1:7" x14ac:dyDescent="0.35">
      <c r="A218" s="13" t="s">
        <v>266</v>
      </c>
      <c r="B218" s="8"/>
      <c r="C218" s="9"/>
      <c r="D218" s="10"/>
      <c r="E218" s="21"/>
      <c r="F218" s="22"/>
      <c r="G218" s="6"/>
    </row>
    <row r="219" spans="1:7" x14ac:dyDescent="0.35">
      <c r="A219" s="13" t="s">
        <v>267</v>
      </c>
      <c r="B219" s="8"/>
      <c r="C219" s="9"/>
      <c r="D219" s="10"/>
      <c r="E219" s="21"/>
      <c r="F219" s="22"/>
      <c r="G219" s="6"/>
    </row>
    <row r="220" spans="1:7" x14ac:dyDescent="0.35">
      <c r="A220" s="13" t="s">
        <v>268</v>
      </c>
      <c r="B220" s="8"/>
      <c r="C220" s="9"/>
      <c r="D220" s="10"/>
      <c r="E220" s="21"/>
      <c r="F220" s="22"/>
      <c r="G220" s="6"/>
    </row>
    <row r="221" spans="1:7" x14ac:dyDescent="0.35">
      <c r="A221" s="13" t="s">
        <v>269</v>
      </c>
      <c r="B221" s="8"/>
      <c r="C221" s="9"/>
      <c r="D221" s="10"/>
      <c r="E221" s="21"/>
      <c r="F221" s="22"/>
      <c r="G221" s="6"/>
    </row>
    <row r="222" spans="1:7" x14ac:dyDescent="0.35">
      <c r="A222" s="13" t="s">
        <v>270</v>
      </c>
      <c r="B222" s="8"/>
      <c r="C222" s="9"/>
      <c r="D222" s="10"/>
      <c r="E222" s="21"/>
      <c r="F222" s="22"/>
      <c r="G222" s="6"/>
    </row>
    <row r="223" spans="1:7" x14ac:dyDescent="0.35">
      <c r="A223" s="13" t="s">
        <v>271</v>
      </c>
      <c r="B223" s="8"/>
      <c r="C223" s="9"/>
      <c r="D223" s="10"/>
      <c r="E223" s="21"/>
      <c r="F223" s="22"/>
      <c r="G223" s="6"/>
    </row>
    <row r="224" spans="1:7" x14ac:dyDescent="0.35">
      <c r="A224" s="2"/>
      <c r="B224" s="2"/>
      <c r="C224" s="2"/>
      <c r="D224" s="2"/>
      <c r="E224" s="2"/>
      <c r="F224" s="2"/>
      <c r="G224" s="2"/>
    </row>
    <row r="225" spans="1:7" x14ac:dyDescent="0.35">
      <c r="A225" s="13" t="s">
        <v>13</v>
      </c>
      <c r="B225" s="15" t="s">
        <v>0</v>
      </c>
      <c r="C225" s="16" t="s">
        <v>1</v>
      </c>
      <c r="D225" s="17" t="s">
        <v>2</v>
      </c>
      <c r="E225" s="24" t="s">
        <v>3</v>
      </c>
      <c r="F225" s="23" t="s">
        <v>4</v>
      </c>
      <c r="G225" s="18" t="s">
        <v>5</v>
      </c>
    </row>
    <row r="226" spans="1:7" x14ac:dyDescent="0.35">
      <c r="A226" s="13" t="s">
        <v>242</v>
      </c>
      <c r="B226" s="8"/>
      <c r="C226" s="9"/>
      <c r="D226" s="10"/>
      <c r="E226" s="21"/>
      <c r="F226" s="22"/>
      <c r="G226" s="6"/>
    </row>
    <row r="227" spans="1:7" x14ac:dyDescent="0.35">
      <c r="A227" s="13" t="s">
        <v>243</v>
      </c>
      <c r="B227" s="8"/>
      <c r="C227" s="9"/>
      <c r="D227" s="10"/>
      <c r="E227" s="21"/>
      <c r="F227" s="22"/>
      <c r="G227" s="6"/>
    </row>
    <row r="228" spans="1:7" x14ac:dyDescent="0.35">
      <c r="A228" s="13" t="s">
        <v>244</v>
      </c>
      <c r="B228" s="8"/>
      <c r="C228" s="9"/>
      <c r="D228" s="10"/>
      <c r="E228" s="21"/>
      <c r="F228" s="22"/>
      <c r="G228" s="6"/>
    </row>
    <row r="229" spans="1:7" x14ac:dyDescent="0.35">
      <c r="A229" s="13" t="s">
        <v>245</v>
      </c>
      <c r="B229" s="8"/>
      <c r="C229" s="9"/>
      <c r="D229" s="10"/>
      <c r="E229" s="21"/>
      <c r="F229" s="22"/>
      <c r="G229" s="6"/>
    </row>
    <row r="230" spans="1:7" x14ac:dyDescent="0.35">
      <c r="A230" s="13" t="s">
        <v>246</v>
      </c>
      <c r="B230" s="8"/>
      <c r="C230" s="9"/>
      <c r="D230" s="10"/>
      <c r="E230" s="21"/>
      <c r="F230" s="22"/>
      <c r="G230" s="6"/>
    </row>
    <row r="231" spans="1:7" x14ac:dyDescent="0.35">
      <c r="A231" s="13" t="s">
        <v>247</v>
      </c>
      <c r="B231" s="8"/>
      <c r="C231" s="9"/>
      <c r="D231" s="10"/>
      <c r="E231" s="21"/>
      <c r="F231" s="22"/>
      <c r="G231" s="6"/>
    </row>
    <row r="232" spans="1:7" x14ac:dyDescent="0.35">
      <c r="A232" s="13" t="s">
        <v>248</v>
      </c>
      <c r="B232" s="8"/>
      <c r="C232" s="9"/>
      <c r="D232" s="10"/>
      <c r="E232" s="21"/>
      <c r="F232" s="22"/>
      <c r="G232" s="6"/>
    </row>
    <row r="233" spans="1:7" x14ac:dyDescent="0.35">
      <c r="A233" s="13" t="s">
        <v>249</v>
      </c>
      <c r="B233" s="8"/>
      <c r="C233" s="9"/>
      <c r="D233" s="10"/>
      <c r="E233" s="21"/>
      <c r="F233" s="22"/>
      <c r="G233" s="6"/>
    </row>
    <row r="234" spans="1:7" x14ac:dyDescent="0.35">
      <c r="A234" s="13" t="s">
        <v>250</v>
      </c>
      <c r="B234" s="8"/>
      <c r="C234" s="9"/>
      <c r="D234" s="10"/>
      <c r="E234" s="21"/>
      <c r="F234" s="22"/>
      <c r="G234" s="6"/>
    </row>
    <row r="235" spans="1:7" x14ac:dyDescent="0.35">
      <c r="A235" s="13" t="s">
        <v>251</v>
      </c>
      <c r="B235" s="8"/>
      <c r="C235" s="9"/>
      <c r="D235" s="10"/>
      <c r="E235" s="21"/>
      <c r="F235" s="22"/>
      <c r="G235" s="6"/>
    </row>
    <row r="236" spans="1:7" x14ac:dyDescent="0.35">
      <c r="A236" s="13" t="s">
        <v>252</v>
      </c>
      <c r="B236" s="8"/>
      <c r="C236" s="9"/>
      <c r="D236" s="10"/>
      <c r="E236" s="21"/>
      <c r="F236" s="22"/>
      <c r="G236" s="6"/>
    </row>
    <row r="237" spans="1:7" x14ac:dyDescent="0.35">
      <c r="A237" s="13" t="s">
        <v>253</v>
      </c>
      <c r="B237" s="8"/>
      <c r="C237" s="9"/>
      <c r="D237" s="10"/>
      <c r="E237" s="21"/>
      <c r="F237" s="22"/>
      <c r="G237" s="6"/>
    </row>
    <row r="238" spans="1:7" x14ac:dyDescent="0.35">
      <c r="A238" s="13" t="s">
        <v>254</v>
      </c>
      <c r="B238" s="8"/>
      <c r="C238" s="9"/>
      <c r="D238" s="10"/>
      <c r="E238" s="21"/>
      <c r="F238" s="22"/>
      <c r="G238" s="6"/>
    </row>
    <row r="239" spans="1:7" x14ac:dyDescent="0.35">
      <c r="A239" s="13" t="s">
        <v>255</v>
      </c>
      <c r="B239" s="8"/>
      <c r="C239" s="9"/>
      <c r="D239" s="10"/>
      <c r="E239" s="21"/>
      <c r="F239" s="22"/>
      <c r="G239" s="6"/>
    </row>
    <row r="240" spans="1:7" x14ac:dyDescent="0.35">
      <c r="A240" s="13" t="s">
        <v>256</v>
      </c>
      <c r="B240" s="8"/>
      <c r="C240" s="9"/>
      <c r="D240" s="10"/>
      <c r="E240" s="21"/>
      <c r="F240" s="22"/>
      <c r="G240" s="6"/>
    </row>
    <row r="241" spans="1:7" x14ac:dyDescent="0.35">
      <c r="A241" s="13" t="s">
        <v>257</v>
      </c>
      <c r="B241" s="8"/>
      <c r="C241" s="9"/>
      <c r="D241" s="10"/>
      <c r="E241" s="21"/>
      <c r="F241" s="22"/>
      <c r="G241" s="6"/>
    </row>
    <row r="242" spans="1:7" x14ac:dyDescent="0.35">
      <c r="A242" s="13" t="s">
        <v>258</v>
      </c>
      <c r="B242" s="8"/>
      <c r="C242" s="9"/>
      <c r="D242" s="10"/>
      <c r="E242" s="21"/>
      <c r="F242" s="22"/>
      <c r="G242" s="6"/>
    </row>
    <row r="243" spans="1:7" x14ac:dyDescent="0.35">
      <c r="A243" s="13" t="s">
        <v>259</v>
      </c>
      <c r="B243" s="8"/>
      <c r="C243" s="9"/>
      <c r="D243" s="10"/>
      <c r="E243" s="21"/>
      <c r="F243" s="22"/>
      <c r="G243" s="6"/>
    </row>
    <row r="244" spans="1:7" x14ac:dyDescent="0.35">
      <c r="A244" s="13" t="s">
        <v>260</v>
      </c>
      <c r="B244" s="8"/>
      <c r="C244" s="9"/>
      <c r="D244" s="10"/>
      <c r="E244" s="21"/>
      <c r="F244" s="22"/>
      <c r="G244" s="6"/>
    </row>
    <row r="245" spans="1:7" x14ac:dyDescent="0.35">
      <c r="A245" s="13" t="s">
        <v>261</v>
      </c>
      <c r="B245" s="8"/>
      <c r="C245" s="9"/>
      <c r="D245" s="10"/>
      <c r="E245" s="21"/>
      <c r="F245" s="22"/>
      <c r="G245" s="6"/>
    </row>
    <row r="246" spans="1:7" x14ac:dyDescent="0.35">
      <c r="A246" s="13" t="s">
        <v>262</v>
      </c>
      <c r="B246" s="8"/>
      <c r="C246" s="9"/>
      <c r="D246" s="10"/>
      <c r="E246" s="21"/>
      <c r="F246" s="22"/>
      <c r="G246" s="6"/>
    </row>
    <row r="247" spans="1:7" x14ac:dyDescent="0.35">
      <c r="A247" s="13" t="s">
        <v>263</v>
      </c>
      <c r="B247" s="8"/>
      <c r="C247" s="9"/>
      <c r="D247" s="10"/>
      <c r="E247" s="21"/>
      <c r="F247" s="22"/>
      <c r="G247" s="6"/>
    </row>
    <row r="248" spans="1:7" x14ac:dyDescent="0.35">
      <c r="A248" s="13" t="s">
        <v>264</v>
      </c>
      <c r="B248" s="8"/>
      <c r="C248" s="9"/>
      <c r="D248" s="10"/>
      <c r="E248" s="21"/>
      <c r="F248" s="22"/>
      <c r="G248" s="6"/>
    </row>
    <row r="249" spans="1:7" x14ac:dyDescent="0.35">
      <c r="A249" s="13" t="s">
        <v>265</v>
      </c>
      <c r="B249" s="8"/>
      <c r="C249" s="9"/>
      <c r="D249" s="10"/>
      <c r="E249" s="21"/>
      <c r="F249" s="22"/>
      <c r="G249" s="6"/>
    </row>
    <row r="250" spans="1:7" x14ac:dyDescent="0.35">
      <c r="A250" s="13" t="s">
        <v>266</v>
      </c>
      <c r="B250" s="8"/>
      <c r="C250" s="9"/>
      <c r="D250" s="10"/>
      <c r="E250" s="21"/>
      <c r="F250" s="22"/>
      <c r="G250" s="6"/>
    </row>
    <row r="251" spans="1:7" x14ac:dyDescent="0.35">
      <c r="A251" s="13" t="s">
        <v>267</v>
      </c>
      <c r="B251" s="8"/>
      <c r="C251" s="9"/>
      <c r="D251" s="10"/>
      <c r="E251" s="21"/>
      <c r="F251" s="22"/>
      <c r="G251" s="6"/>
    </row>
    <row r="252" spans="1:7" x14ac:dyDescent="0.35">
      <c r="A252" s="13" t="s">
        <v>268</v>
      </c>
      <c r="B252" s="8"/>
      <c r="C252" s="9"/>
      <c r="D252" s="10"/>
      <c r="E252" s="21"/>
      <c r="F252" s="22"/>
      <c r="G252" s="6"/>
    </row>
    <row r="253" spans="1:7" x14ac:dyDescent="0.35">
      <c r="A253" s="13" t="s">
        <v>269</v>
      </c>
      <c r="B253" s="8"/>
      <c r="C253" s="9"/>
      <c r="D253" s="10"/>
      <c r="E253" s="21"/>
      <c r="F253" s="22"/>
      <c r="G253" s="6"/>
    </row>
    <row r="254" spans="1:7" x14ac:dyDescent="0.35">
      <c r="A254" s="13" t="s">
        <v>270</v>
      </c>
      <c r="B254" s="8"/>
      <c r="C254" s="9"/>
      <c r="D254" s="10"/>
      <c r="E254" s="21"/>
      <c r="F254" s="22"/>
      <c r="G254" s="6"/>
    </row>
    <row r="255" spans="1:7" x14ac:dyDescent="0.35">
      <c r="A255" s="13" t="s">
        <v>271</v>
      </c>
      <c r="B255" s="8"/>
      <c r="C255" s="9"/>
      <c r="D255" s="10"/>
      <c r="E255" s="21"/>
      <c r="F255" s="22"/>
      <c r="G255" s="6"/>
    </row>
    <row r="256" spans="1:7" x14ac:dyDescent="0.35">
      <c r="A256" s="2"/>
      <c r="B256" s="2"/>
      <c r="C256" s="2"/>
      <c r="D256" s="2"/>
      <c r="E256" s="2"/>
      <c r="F256" s="2"/>
      <c r="G256" s="2"/>
    </row>
    <row r="257" spans="1:7" x14ac:dyDescent="0.35">
      <c r="A257" s="13" t="s">
        <v>14</v>
      </c>
      <c r="B257" s="15" t="s">
        <v>0</v>
      </c>
      <c r="C257" s="16" t="s">
        <v>1</v>
      </c>
      <c r="D257" s="17" t="s">
        <v>2</v>
      </c>
      <c r="E257" s="24" t="s">
        <v>3</v>
      </c>
      <c r="F257" s="23" t="s">
        <v>4</v>
      </c>
      <c r="G257" s="18" t="s">
        <v>5</v>
      </c>
    </row>
    <row r="258" spans="1:7" x14ac:dyDescent="0.35">
      <c r="A258" s="13" t="s">
        <v>242</v>
      </c>
      <c r="B258" s="8"/>
      <c r="C258" s="9"/>
      <c r="D258" s="10"/>
      <c r="E258" s="21"/>
      <c r="F258" s="22"/>
      <c r="G258" s="6"/>
    </row>
    <row r="259" spans="1:7" x14ac:dyDescent="0.35">
      <c r="A259" s="13" t="s">
        <v>243</v>
      </c>
      <c r="B259" s="8"/>
      <c r="C259" s="9"/>
      <c r="D259" s="10"/>
      <c r="E259" s="21"/>
      <c r="F259" s="22"/>
      <c r="G259" s="6"/>
    </row>
    <row r="260" spans="1:7" x14ac:dyDescent="0.35">
      <c r="A260" s="13" t="s">
        <v>244</v>
      </c>
      <c r="B260" s="8"/>
      <c r="C260" s="9"/>
      <c r="D260" s="10"/>
      <c r="E260" s="21"/>
      <c r="F260" s="22"/>
      <c r="G260" s="6"/>
    </row>
    <row r="261" spans="1:7" x14ac:dyDescent="0.35">
      <c r="A261" s="13" t="s">
        <v>245</v>
      </c>
      <c r="B261" s="8"/>
      <c r="C261" s="9"/>
      <c r="D261" s="10"/>
      <c r="E261" s="21"/>
      <c r="F261" s="22"/>
      <c r="G261" s="6"/>
    </row>
    <row r="262" spans="1:7" x14ac:dyDescent="0.35">
      <c r="A262" s="13" t="s">
        <v>246</v>
      </c>
      <c r="B262" s="8"/>
      <c r="C262" s="9"/>
      <c r="D262" s="10"/>
      <c r="E262" s="21"/>
      <c r="F262" s="22"/>
      <c r="G262" s="6"/>
    </row>
    <row r="263" spans="1:7" x14ac:dyDescent="0.35">
      <c r="A263" s="13" t="s">
        <v>247</v>
      </c>
      <c r="B263" s="8"/>
      <c r="C263" s="9"/>
      <c r="D263" s="10"/>
      <c r="E263" s="21"/>
      <c r="F263" s="22"/>
      <c r="G263" s="6"/>
    </row>
    <row r="264" spans="1:7" x14ac:dyDescent="0.35">
      <c r="A264" s="13" t="s">
        <v>248</v>
      </c>
      <c r="B264" s="8"/>
      <c r="C264" s="9"/>
      <c r="D264" s="10"/>
      <c r="E264" s="21"/>
      <c r="F264" s="22"/>
      <c r="G264" s="6"/>
    </row>
    <row r="265" spans="1:7" x14ac:dyDescent="0.35">
      <c r="A265" s="13" t="s">
        <v>249</v>
      </c>
      <c r="B265" s="8"/>
      <c r="C265" s="9"/>
      <c r="D265" s="10"/>
      <c r="E265" s="21"/>
      <c r="F265" s="22"/>
      <c r="G265" s="6"/>
    </row>
    <row r="266" spans="1:7" x14ac:dyDescent="0.35">
      <c r="A266" s="13" t="s">
        <v>250</v>
      </c>
      <c r="B266" s="8"/>
      <c r="C266" s="9"/>
      <c r="D266" s="10"/>
      <c r="E266" s="21"/>
      <c r="F266" s="22"/>
      <c r="G266" s="6"/>
    </row>
    <row r="267" spans="1:7" x14ac:dyDescent="0.35">
      <c r="A267" s="13" t="s">
        <v>251</v>
      </c>
      <c r="B267" s="8"/>
      <c r="C267" s="9"/>
      <c r="D267" s="10"/>
      <c r="E267" s="21"/>
      <c r="F267" s="22"/>
      <c r="G267" s="6"/>
    </row>
    <row r="268" spans="1:7" x14ac:dyDescent="0.35">
      <c r="A268" s="13" t="s">
        <v>252</v>
      </c>
      <c r="B268" s="8"/>
      <c r="C268" s="9"/>
      <c r="D268" s="10"/>
      <c r="E268" s="21"/>
      <c r="F268" s="22"/>
      <c r="G268" s="6"/>
    </row>
    <row r="269" spans="1:7" x14ac:dyDescent="0.35">
      <c r="A269" s="13" t="s">
        <v>253</v>
      </c>
      <c r="B269" s="8"/>
      <c r="C269" s="9"/>
      <c r="D269" s="10"/>
      <c r="E269" s="21"/>
      <c r="F269" s="22"/>
      <c r="G269" s="6"/>
    </row>
    <row r="270" spans="1:7" x14ac:dyDescent="0.35">
      <c r="A270" s="13" t="s">
        <v>254</v>
      </c>
      <c r="B270" s="8"/>
      <c r="C270" s="9"/>
      <c r="D270" s="10"/>
      <c r="E270" s="21"/>
      <c r="F270" s="22"/>
      <c r="G270" s="6"/>
    </row>
    <row r="271" spans="1:7" x14ac:dyDescent="0.35">
      <c r="A271" s="13" t="s">
        <v>255</v>
      </c>
      <c r="B271" s="8"/>
      <c r="C271" s="9"/>
      <c r="D271" s="10"/>
      <c r="E271" s="21"/>
      <c r="F271" s="22"/>
      <c r="G271" s="6"/>
    </row>
    <row r="272" spans="1:7" x14ac:dyDescent="0.35">
      <c r="A272" s="13" t="s">
        <v>256</v>
      </c>
      <c r="B272" s="8"/>
      <c r="C272" s="9"/>
      <c r="D272" s="10"/>
      <c r="E272" s="21"/>
      <c r="F272" s="22"/>
      <c r="G272" s="6"/>
    </row>
    <row r="273" spans="1:7" x14ac:dyDescent="0.35">
      <c r="A273" s="13" t="s">
        <v>257</v>
      </c>
      <c r="B273" s="8"/>
      <c r="C273" s="9"/>
      <c r="D273" s="10"/>
      <c r="E273" s="21"/>
      <c r="F273" s="22"/>
      <c r="G273" s="6"/>
    </row>
    <row r="274" spans="1:7" x14ac:dyDescent="0.35">
      <c r="A274" s="13" t="s">
        <v>258</v>
      </c>
      <c r="B274" s="8"/>
      <c r="C274" s="9"/>
      <c r="D274" s="10"/>
      <c r="E274" s="21"/>
      <c r="F274" s="22"/>
      <c r="G274" s="6"/>
    </row>
    <row r="275" spans="1:7" x14ac:dyDescent="0.35">
      <c r="A275" s="13" t="s">
        <v>259</v>
      </c>
      <c r="B275" s="8"/>
      <c r="C275" s="9"/>
      <c r="D275" s="10"/>
      <c r="E275" s="21"/>
      <c r="F275" s="22"/>
      <c r="G275" s="6"/>
    </row>
    <row r="276" spans="1:7" x14ac:dyDescent="0.35">
      <c r="A276" s="13" t="s">
        <v>260</v>
      </c>
      <c r="B276" s="8"/>
      <c r="C276" s="9"/>
      <c r="D276" s="10"/>
      <c r="E276" s="21"/>
      <c r="F276" s="22"/>
      <c r="G276" s="6"/>
    </row>
    <row r="277" spans="1:7" x14ac:dyDescent="0.35">
      <c r="A277" s="13" t="s">
        <v>261</v>
      </c>
      <c r="B277" s="8"/>
      <c r="C277" s="9"/>
      <c r="D277" s="10"/>
      <c r="E277" s="21"/>
      <c r="F277" s="22"/>
      <c r="G277" s="6"/>
    </row>
    <row r="278" spans="1:7" x14ac:dyDescent="0.35">
      <c r="A278" s="13" t="s">
        <v>262</v>
      </c>
      <c r="B278" s="8"/>
      <c r="C278" s="9"/>
      <c r="D278" s="10"/>
      <c r="E278" s="21"/>
      <c r="F278" s="22"/>
      <c r="G278" s="6"/>
    </row>
    <row r="279" spans="1:7" x14ac:dyDescent="0.35">
      <c r="A279" s="13" t="s">
        <v>263</v>
      </c>
      <c r="B279" s="8"/>
      <c r="C279" s="9"/>
      <c r="D279" s="10"/>
      <c r="E279" s="21"/>
      <c r="F279" s="22"/>
      <c r="G279" s="6"/>
    </row>
    <row r="280" spans="1:7" x14ac:dyDescent="0.35">
      <c r="A280" s="13" t="s">
        <v>264</v>
      </c>
      <c r="B280" s="8"/>
      <c r="C280" s="9"/>
      <c r="D280" s="10"/>
      <c r="E280" s="21"/>
      <c r="F280" s="22"/>
      <c r="G280" s="6"/>
    </row>
    <row r="281" spans="1:7" x14ac:dyDescent="0.35">
      <c r="A281" s="13" t="s">
        <v>265</v>
      </c>
      <c r="B281" s="8"/>
      <c r="C281" s="9"/>
      <c r="D281" s="10"/>
      <c r="E281" s="21"/>
      <c r="F281" s="22"/>
      <c r="G281" s="6"/>
    </row>
    <row r="282" spans="1:7" x14ac:dyDescent="0.35">
      <c r="A282" s="13" t="s">
        <v>266</v>
      </c>
      <c r="B282" s="8"/>
      <c r="C282" s="9"/>
      <c r="D282" s="10"/>
      <c r="E282" s="21"/>
      <c r="F282" s="22"/>
      <c r="G282" s="6"/>
    </row>
    <row r="283" spans="1:7" x14ac:dyDescent="0.35">
      <c r="A283" s="13" t="s">
        <v>267</v>
      </c>
      <c r="B283" s="8"/>
      <c r="C283" s="9"/>
      <c r="D283" s="10"/>
      <c r="E283" s="21"/>
      <c r="F283" s="22"/>
      <c r="G283" s="6"/>
    </row>
    <row r="284" spans="1:7" x14ac:dyDescent="0.35">
      <c r="A284" s="13" t="s">
        <v>268</v>
      </c>
      <c r="B284" s="8"/>
      <c r="C284" s="9"/>
      <c r="D284" s="10"/>
      <c r="E284" s="21"/>
      <c r="F284" s="22"/>
      <c r="G284" s="6"/>
    </row>
    <row r="285" spans="1:7" x14ac:dyDescent="0.35">
      <c r="A285" s="13" t="s">
        <v>269</v>
      </c>
      <c r="B285" s="8"/>
      <c r="C285" s="9"/>
      <c r="D285" s="10"/>
      <c r="E285" s="21"/>
      <c r="F285" s="22"/>
      <c r="G285" s="6"/>
    </row>
    <row r="286" spans="1:7" x14ac:dyDescent="0.35">
      <c r="A286" s="13" t="s">
        <v>270</v>
      </c>
      <c r="B286" s="8"/>
      <c r="C286" s="9"/>
      <c r="D286" s="10"/>
      <c r="E286" s="21"/>
      <c r="F286" s="22"/>
      <c r="G286" s="6"/>
    </row>
    <row r="287" spans="1:7" x14ac:dyDescent="0.35">
      <c r="A287" s="13" t="s">
        <v>271</v>
      </c>
      <c r="B287" s="8"/>
      <c r="C287" s="9"/>
      <c r="D287" s="10"/>
      <c r="E287" s="21"/>
      <c r="F287" s="22"/>
      <c r="G287" s="6"/>
    </row>
    <row r="288" spans="1:7" x14ac:dyDescent="0.35">
      <c r="A288" s="2"/>
      <c r="B288" s="2"/>
      <c r="C288" s="2"/>
      <c r="D288" s="2"/>
      <c r="E288" s="2"/>
      <c r="F288" s="2"/>
      <c r="G288" s="2"/>
    </row>
    <row r="289" spans="1:7" x14ac:dyDescent="0.35">
      <c r="A289" s="13" t="s">
        <v>15</v>
      </c>
      <c r="B289" s="15" t="s">
        <v>0</v>
      </c>
      <c r="C289" s="16" t="s">
        <v>1</v>
      </c>
      <c r="D289" s="17" t="s">
        <v>2</v>
      </c>
      <c r="E289" s="24" t="s">
        <v>3</v>
      </c>
      <c r="F289" s="23" t="s">
        <v>4</v>
      </c>
      <c r="G289" s="18" t="s">
        <v>5</v>
      </c>
    </row>
    <row r="290" spans="1:7" x14ac:dyDescent="0.35">
      <c r="A290" s="13" t="s">
        <v>242</v>
      </c>
      <c r="B290" s="8"/>
      <c r="C290" s="9"/>
      <c r="D290" s="10"/>
      <c r="E290" s="21"/>
      <c r="F290" s="22"/>
      <c r="G290" s="6"/>
    </row>
    <row r="291" spans="1:7" x14ac:dyDescent="0.35">
      <c r="A291" s="13" t="s">
        <v>243</v>
      </c>
      <c r="B291" s="8"/>
      <c r="C291" s="9"/>
      <c r="D291" s="10"/>
      <c r="E291" s="21"/>
      <c r="F291" s="22"/>
      <c r="G291" s="6"/>
    </row>
    <row r="292" spans="1:7" x14ac:dyDescent="0.35">
      <c r="A292" s="13" t="s">
        <v>244</v>
      </c>
      <c r="B292" s="8"/>
      <c r="C292" s="9"/>
      <c r="D292" s="10"/>
      <c r="E292" s="21"/>
      <c r="F292" s="22"/>
      <c r="G292" s="6"/>
    </row>
    <row r="293" spans="1:7" x14ac:dyDescent="0.35">
      <c r="A293" s="13" t="s">
        <v>245</v>
      </c>
      <c r="B293" s="8"/>
      <c r="C293" s="9"/>
      <c r="D293" s="10"/>
      <c r="E293" s="21"/>
      <c r="F293" s="22"/>
      <c r="G293" s="6"/>
    </row>
    <row r="294" spans="1:7" x14ac:dyDescent="0.35">
      <c r="A294" s="13" t="s">
        <v>246</v>
      </c>
      <c r="B294" s="8"/>
      <c r="C294" s="9"/>
      <c r="D294" s="10"/>
      <c r="E294" s="21"/>
      <c r="F294" s="22"/>
      <c r="G294" s="6"/>
    </row>
    <row r="295" spans="1:7" x14ac:dyDescent="0.35">
      <c r="A295" s="13" t="s">
        <v>247</v>
      </c>
      <c r="B295" s="8"/>
      <c r="C295" s="9"/>
      <c r="D295" s="10"/>
      <c r="E295" s="21"/>
      <c r="F295" s="22"/>
      <c r="G295" s="6"/>
    </row>
    <row r="296" spans="1:7" x14ac:dyDescent="0.35">
      <c r="A296" s="13" t="s">
        <v>248</v>
      </c>
      <c r="B296" s="8"/>
      <c r="C296" s="9"/>
      <c r="D296" s="10"/>
      <c r="E296" s="21"/>
      <c r="F296" s="22"/>
      <c r="G296" s="6"/>
    </row>
    <row r="297" spans="1:7" x14ac:dyDescent="0.35">
      <c r="A297" s="13" t="s">
        <v>249</v>
      </c>
      <c r="B297" s="8"/>
      <c r="C297" s="9"/>
      <c r="D297" s="10"/>
      <c r="E297" s="21"/>
      <c r="F297" s="22"/>
      <c r="G297" s="6"/>
    </row>
    <row r="298" spans="1:7" x14ac:dyDescent="0.35">
      <c r="A298" s="13" t="s">
        <v>250</v>
      </c>
      <c r="B298" s="8"/>
      <c r="C298" s="9"/>
      <c r="D298" s="10"/>
      <c r="E298" s="21"/>
      <c r="F298" s="22"/>
      <c r="G298" s="6"/>
    </row>
    <row r="299" spans="1:7" x14ac:dyDescent="0.35">
      <c r="A299" s="13" t="s">
        <v>251</v>
      </c>
      <c r="B299" s="8"/>
      <c r="C299" s="9"/>
      <c r="D299" s="10"/>
      <c r="E299" s="21"/>
      <c r="F299" s="22"/>
      <c r="G299" s="6"/>
    </row>
    <row r="300" spans="1:7" x14ac:dyDescent="0.35">
      <c r="A300" s="13" t="s">
        <v>252</v>
      </c>
      <c r="B300" s="8"/>
      <c r="C300" s="9"/>
      <c r="D300" s="10"/>
      <c r="E300" s="21"/>
      <c r="F300" s="22"/>
      <c r="G300" s="6"/>
    </row>
    <row r="301" spans="1:7" x14ac:dyDescent="0.35">
      <c r="A301" s="13" t="s">
        <v>253</v>
      </c>
      <c r="B301" s="8"/>
      <c r="C301" s="9"/>
      <c r="D301" s="10"/>
      <c r="E301" s="21"/>
      <c r="F301" s="22"/>
      <c r="G301" s="6"/>
    </row>
    <row r="302" spans="1:7" x14ac:dyDescent="0.35">
      <c r="A302" s="13" t="s">
        <v>254</v>
      </c>
      <c r="B302" s="8"/>
      <c r="C302" s="9"/>
      <c r="D302" s="10"/>
      <c r="E302" s="21"/>
      <c r="F302" s="22"/>
      <c r="G302" s="6"/>
    </row>
    <row r="303" spans="1:7" x14ac:dyDescent="0.35">
      <c r="A303" s="13" t="s">
        <v>255</v>
      </c>
      <c r="B303" s="8"/>
      <c r="C303" s="9"/>
      <c r="D303" s="10"/>
      <c r="E303" s="21"/>
      <c r="F303" s="22"/>
      <c r="G303" s="6"/>
    </row>
    <row r="304" spans="1:7" x14ac:dyDescent="0.35">
      <c r="A304" s="13" t="s">
        <v>256</v>
      </c>
      <c r="B304" s="8"/>
      <c r="C304" s="9"/>
      <c r="D304" s="10"/>
      <c r="E304" s="21"/>
      <c r="F304" s="22"/>
      <c r="G304" s="6"/>
    </row>
    <row r="305" spans="1:7" x14ac:dyDescent="0.35">
      <c r="A305" s="13" t="s">
        <v>257</v>
      </c>
      <c r="B305" s="8"/>
      <c r="C305" s="9"/>
      <c r="D305" s="10"/>
      <c r="E305" s="21"/>
      <c r="F305" s="22"/>
      <c r="G305" s="6"/>
    </row>
    <row r="306" spans="1:7" x14ac:dyDescent="0.35">
      <c r="A306" s="13" t="s">
        <v>258</v>
      </c>
      <c r="B306" s="8"/>
      <c r="C306" s="9"/>
      <c r="D306" s="10"/>
      <c r="E306" s="21"/>
      <c r="F306" s="22"/>
      <c r="G306" s="6"/>
    </row>
    <row r="307" spans="1:7" x14ac:dyDescent="0.35">
      <c r="A307" s="13" t="s">
        <v>259</v>
      </c>
      <c r="B307" s="8"/>
      <c r="C307" s="9"/>
      <c r="D307" s="10"/>
      <c r="E307" s="21"/>
      <c r="F307" s="22"/>
      <c r="G307" s="6"/>
    </row>
    <row r="308" spans="1:7" x14ac:dyDescent="0.35">
      <c r="A308" s="13" t="s">
        <v>260</v>
      </c>
      <c r="B308" s="8"/>
      <c r="C308" s="9"/>
      <c r="D308" s="10"/>
      <c r="E308" s="21"/>
      <c r="F308" s="22"/>
      <c r="G308" s="6"/>
    </row>
    <row r="309" spans="1:7" x14ac:dyDescent="0.35">
      <c r="A309" s="13" t="s">
        <v>261</v>
      </c>
      <c r="B309" s="8"/>
      <c r="C309" s="9"/>
      <c r="D309" s="10"/>
      <c r="E309" s="21"/>
      <c r="F309" s="22"/>
      <c r="G309" s="6"/>
    </row>
    <row r="310" spans="1:7" x14ac:dyDescent="0.35">
      <c r="A310" s="13" t="s">
        <v>262</v>
      </c>
      <c r="B310" s="8"/>
      <c r="C310" s="9"/>
      <c r="D310" s="10"/>
      <c r="E310" s="21"/>
      <c r="F310" s="22"/>
      <c r="G310" s="6"/>
    </row>
    <row r="311" spans="1:7" x14ac:dyDescent="0.35">
      <c r="A311" s="13" t="s">
        <v>263</v>
      </c>
      <c r="B311" s="8"/>
      <c r="C311" s="9"/>
      <c r="D311" s="10"/>
      <c r="E311" s="21"/>
      <c r="F311" s="22"/>
      <c r="G311" s="6"/>
    </row>
    <row r="312" spans="1:7" x14ac:dyDescent="0.35">
      <c r="A312" s="13" t="s">
        <v>264</v>
      </c>
      <c r="B312" s="8"/>
      <c r="C312" s="9"/>
      <c r="D312" s="10"/>
      <c r="E312" s="21"/>
      <c r="F312" s="22"/>
      <c r="G312" s="6"/>
    </row>
    <row r="313" spans="1:7" x14ac:dyDescent="0.35">
      <c r="A313" s="13" t="s">
        <v>265</v>
      </c>
      <c r="B313" s="8"/>
      <c r="C313" s="9"/>
      <c r="D313" s="10"/>
      <c r="E313" s="21"/>
      <c r="F313" s="22"/>
      <c r="G313" s="6"/>
    </row>
    <row r="314" spans="1:7" x14ac:dyDescent="0.35">
      <c r="A314" s="13" t="s">
        <v>266</v>
      </c>
      <c r="B314" s="8"/>
      <c r="C314" s="9"/>
      <c r="D314" s="10"/>
      <c r="E314" s="21"/>
      <c r="F314" s="22"/>
      <c r="G314" s="6"/>
    </row>
    <row r="315" spans="1:7" x14ac:dyDescent="0.35">
      <c r="A315" s="13" t="s">
        <v>267</v>
      </c>
      <c r="B315" s="8"/>
      <c r="C315" s="9"/>
      <c r="D315" s="10"/>
      <c r="E315" s="21"/>
      <c r="F315" s="22"/>
      <c r="G315" s="6"/>
    </row>
    <row r="316" spans="1:7" x14ac:dyDescent="0.35">
      <c r="A316" s="13" t="s">
        <v>268</v>
      </c>
      <c r="B316" s="8"/>
      <c r="C316" s="9"/>
      <c r="D316" s="10"/>
      <c r="E316" s="21"/>
      <c r="F316" s="22"/>
      <c r="G316" s="6"/>
    </row>
    <row r="317" spans="1:7" x14ac:dyDescent="0.35">
      <c r="A317" s="13" t="s">
        <v>269</v>
      </c>
      <c r="B317" s="8"/>
      <c r="C317" s="9"/>
      <c r="D317" s="10"/>
      <c r="E317" s="21"/>
      <c r="F317" s="22"/>
      <c r="G317" s="6"/>
    </row>
    <row r="318" spans="1:7" x14ac:dyDescent="0.35">
      <c r="A318" s="13" t="s">
        <v>270</v>
      </c>
      <c r="B318" s="8"/>
      <c r="C318" s="9"/>
      <c r="D318" s="10"/>
      <c r="E318" s="21"/>
      <c r="F318" s="22"/>
      <c r="G318" s="6"/>
    </row>
    <row r="319" spans="1:7" x14ac:dyDescent="0.35">
      <c r="A319" s="13" t="s">
        <v>271</v>
      </c>
      <c r="B319" s="8"/>
      <c r="C319" s="9"/>
      <c r="D319" s="10"/>
      <c r="E319" s="21"/>
      <c r="F319" s="22"/>
      <c r="G319" s="6"/>
    </row>
    <row r="320" spans="1:7" x14ac:dyDescent="0.35">
      <c r="A320" s="2"/>
      <c r="B320" s="2"/>
      <c r="C320" s="2"/>
      <c r="D320" s="2"/>
      <c r="E320" s="2"/>
      <c r="F320" s="2"/>
      <c r="G320" s="2"/>
    </row>
    <row r="321" spans="1:7" x14ac:dyDescent="0.35">
      <c r="A321" s="13" t="s">
        <v>16</v>
      </c>
      <c r="B321" s="15" t="s">
        <v>0</v>
      </c>
      <c r="C321" s="16" t="s">
        <v>1</v>
      </c>
      <c r="D321" s="17" t="s">
        <v>2</v>
      </c>
      <c r="E321" s="24" t="s">
        <v>3</v>
      </c>
      <c r="F321" s="23" t="s">
        <v>4</v>
      </c>
      <c r="G321" s="18" t="s">
        <v>5</v>
      </c>
    </row>
    <row r="322" spans="1:7" x14ac:dyDescent="0.35">
      <c r="A322" s="13" t="s">
        <v>242</v>
      </c>
      <c r="B322" s="8"/>
      <c r="C322" s="9"/>
      <c r="D322" s="10"/>
      <c r="E322" s="21"/>
      <c r="F322" s="22"/>
      <c r="G322" s="6"/>
    </row>
    <row r="323" spans="1:7" x14ac:dyDescent="0.35">
      <c r="A323" s="13" t="s">
        <v>243</v>
      </c>
      <c r="B323" s="8"/>
      <c r="C323" s="9"/>
      <c r="D323" s="10"/>
      <c r="E323" s="21"/>
      <c r="F323" s="22"/>
      <c r="G323" s="6"/>
    </row>
    <row r="324" spans="1:7" x14ac:dyDescent="0.35">
      <c r="A324" s="13" t="s">
        <v>244</v>
      </c>
      <c r="B324" s="8"/>
      <c r="C324" s="9"/>
      <c r="D324" s="10"/>
      <c r="E324" s="21"/>
      <c r="F324" s="22"/>
      <c r="G324" s="6"/>
    </row>
    <row r="325" spans="1:7" x14ac:dyDescent="0.35">
      <c r="A325" s="13" t="s">
        <v>245</v>
      </c>
      <c r="B325" s="8"/>
      <c r="C325" s="9"/>
      <c r="D325" s="10"/>
      <c r="E325" s="21"/>
      <c r="F325" s="22"/>
      <c r="G325" s="6"/>
    </row>
    <row r="326" spans="1:7" x14ac:dyDescent="0.35">
      <c r="A326" s="13" t="s">
        <v>246</v>
      </c>
      <c r="B326" s="8"/>
      <c r="C326" s="9"/>
      <c r="D326" s="10"/>
      <c r="E326" s="21"/>
      <c r="F326" s="22"/>
      <c r="G326" s="6"/>
    </row>
    <row r="327" spans="1:7" x14ac:dyDescent="0.35">
      <c r="A327" s="13" t="s">
        <v>247</v>
      </c>
      <c r="B327" s="8"/>
      <c r="C327" s="9"/>
      <c r="D327" s="10"/>
      <c r="E327" s="21"/>
      <c r="F327" s="22"/>
      <c r="G327" s="6"/>
    </row>
    <row r="328" spans="1:7" x14ac:dyDescent="0.35">
      <c r="A328" s="13" t="s">
        <v>248</v>
      </c>
      <c r="B328" s="8"/>
      <c r="C328" s="9"/>
      <c r="D328" s="10"/>
      <c r="E328" s="21"/>
      <c r="F328" s="22"/>
      <c r="G328" s="6"/>
    </row>
    <row r="329" spans="1:7" x14ac:dyDescent="0.35">
      <c r="A329" s="13" t="s">
        <v>249</v>
      </c>
      <c r="B329" s="8"/>
      <c r="C329" s="9"/>
      <c r="D329" s="10"/>
      <c r="E329" s="21"/>
      <c r="F329" s="22"/>
      <c r="G329" s="6"/>
    </row>
    <row r="330" spans="1:7" x14ac:dyDescent="0.35">
      <c r="A330" s="13" t="s">
        <v>250</v>
      </c>
      <c r="B330" s="8"/>
      <c r="C330" s="9"/>
      <c r="D330" s="10"/>
      <c r="E330" s="21"/>
      <c r="F330" s="22"/>
      <c r="G330" s="6"/>
    </row>
    <row r="331" spans="1:7" x14ac:dyDescent="0.35">
      <c r="A331" s="13" t="s">
        <v>251</v>
      </c>
      <c r="B331" s="8"/>
      <c r="C331" s="9"/>
      <c r="D331" s="10"/>
      <c r="E331" s="21"/>
      <c r="F331" s="22"/>
      <c r="G331" s="6"/>
    </row>
    <row r="332" spans="1:7" x14ac:dyDescent="0.35">
      <c r="A332" s="13" t="s">
        <v>252</v>
      </c>
      <c r="B332" s="8"/>
      <c r="C332" s="9"/>
      <c r="D332" s="10"/>
      <c r="E332" s="21"/>
      <c r="F332" s="22"/>
      <c r="G332" s="6"/>
    </row>
    <row r="333" spans="1:7" x14ac:dyDescent="0.35">
      <c r="A333" s="13" t="s">
        <v>253</v>
      </c>
      <c r="B333" s="8"/>
      <c r="C333" s="9"/>
      <c r="D333" s="10"/>
      <c r="E333" s="21"/>
      <c r="F333" s="22"/>
      <c r="G333" s="6"/>
    </row>
    <row r="334" spans="1:7" x14ac:dyDescent="0.35">
      <c r="A334" s="13" t="s">
        <v>254</v>
      </c>
      <c r="B334" s="8"/>
      <c r="C334" s="9"/>
      <c r="D334" s="10"/>
      <c r="E334" s="21"/>
      <c r="F334" s="22"/>
      <c r="G334" s="6"/>
    </row>
    <row r="335" spans="1:7" x14ac:dyDescent="0.35">
      <c r="A335" s="13" t="s">
        <v>255</v>
      </c>
      <c r="B335" s="8"/>
      <c r="C335" s="9"/>
      <c r="D335" s="10"/>
      <c r="E335" s="21"/>
      <c r="F335" s="22"/>
      <c r="G335" s="6"/>
    </row>
    <row r="336" spans="1:7" x14ac:dyDescent="0.35">
      <c r="A336" s="13" t="s">
        <v>256</v>
      </c>
      <c r="B336" s="8"/>
      <c r="C336" s="9"/>
      <c r="D336" s="10"/>
      <c r="E336" s="21"/>
      <c r="F336" s="22"/>
      <c r="G336" s="6"/>
    </row>
    <row r="337" spans="1:7" x14ac:dyDescent="0.35">
      <c r="A337" s="13" t="s">
        <v>257</v>
      </c>
      <c r="B337" s="8"/>
      <c r="C337" s="9"/>
      <c r="D337" s="10"/>
      <c r="E337" s="21"/>
      <c r="F337" s="22"/>
      <c r="G337" s="6"/>
    </row>
    <row r="338" spans="1:7" x14ac:dyDescent="0.35">
      <c r="A338" s="13" t="s">
        <v>258</v>
      </c>
      <c r="B338" s="8"/>
      <c r="C338" s="9"/>
      <c r="D338" s="10"/>
      <c r="E338" s="21"/>
      <c r="F338" s="22"/>
      <c r="G338" s="6"/>
    </row>
    <row r="339" spans="1:7" x14ac:dyDescent="0.35">
      <c r="A339" s="13" t="s">
        <v>259</v>
      </c>
      <c r="B339" s="8"/>
      <c r="C339" s="9"/>
      <c r="D339" s="10"/>
      <c r="E339" s="21"/>
      <c r="F339" s="22"/>
      <c r="G339" s="6"/>
    </row>
    <row r="340" spans="1:7" x14ac:dyDescent="0.35">
      <c r="A340" s="13" t="s">
        <v>260</v>
      </c>
      <c r="B340" s="8"/>
      <c r="C340" s="9"/>
      <c r="D340" s="10"/>
      <c r="E340" s="21"/>
      <c r="F340" s="22"/>
      <c r="G340" s="6"/>
    </row>
    <row r="341" spans="1:7" x14ac:dyDescent="0.35">
      <c r="A341" s="13" t="s">
        <v>261</v>
      </c>
      <c r="B341" s="8"/>
      <c r="C341" s="9"/>
      <c r="D341" s="10"/>
      <c r="E341" s="21"/>
      <c r="F341" s="22"/>
      <c r="G341" s="6"/>
    </row>
    <row r="342" spans="1:7" x14ac:dyDescent="0.35">
      <c r="A342" s="13" t="s">
        <v>262</v>
      </c>
      <c r="B342" s="8"/>
      <c r="C342" s="9"/>
      <c r="D342" s="10"/>
      <c r="E342" s="21"/>
      <c r="F342" s="22"/>
      <c r="G342" s="6"/>
    </row>
    <row r="343" spans="1:7" x14ac:dyDescent="0.35">
      <c r="A343" s="13" t="s">
        <v>263</v>
      </c>
      <c r="B343" s="8"/>
      <c r="C343" s="9"/>
      <c r="D343" s="10"/>
      <c r="E343" s="21"/>
      <c r="F343" s="22"/>
      <c r="G343" s="6"/>
    </row>
    <row r="344" spans="1:7" x14ac:dyDescent="0.35">
      <c r="A344" s="13" t="s">
        <v>264</v>
      </c>
      <c r="B344" s="8"/>
      <c r="C344" s="9"/>
      <c r="D344" s="10"/>
      <c r="E344" s="21"/>
      <c r="F344" s="22"/>
      <c r="G344" s="6"/>
    </row>
    <row r="345" spans="1:7" x14ac:dyDescent="0.35">
      <c r="A345" s="13" t="s">
        <v>265</v>
      </c>
      <c r="B345" s="8"/>
      <c r="C345" s="9"/>
      <c r="D345" s="10"/>
      <c r="E345" s="21"/>
      <c r="F345" s="22"/>
      <c r="G345" s="6"/>
    </row>
    <row r="346" spans="1:7" x14ac:dyDescent="0.35">
      <c r="A346" s="13" t="s">
        <v>266</v>
      </c>
      <c r="B346" s="8"/>
      <c r="C346" s="9"/>
      <c r="D346" s="10"/>
      <c r="E346" s="21"/>
      <c r="F346" s="22"/>
      <c r="G346" s="6"/>
    </row>
    <row r="347" spans="1:7" x14ac:dyDescent="0.35">
      <c r="A347" s="13" t="s">
        <v>267</v>
      </c>
      <c r="B347" s="8"/>
      <c r="C347" s="9"/>
      <c r="D347" s="10"/>
      <c r="E347" s="21"/>
      <c r="F347" s="22"/>
      <c r="G347" s="6"/>
    </row>
    <row r="348" spans="1:7" x14ac:dyDescent="0.35">
      <c r="A348" s="13" t="s">
        <v>268</v>
      </c>
      <c r="B348" s="8"/>
      <c r="C348" s="9"/>
      <c r="D348" s="10"/>
      <c r="E348" s="21"/>
      <c r="F348" s="22"/>
      <c r="G348" s="6"/>
    </row>
    <row r="349" spans="1:7" x14ac:dyDescent="0.35">
      <c r="A349" s="13" t="s">
        <v>269</v>
      </c>
      <c r="B349" s="8"/>
      <c r="C349" s="9"/>
      <c r="D349" s="10"/>
      <c r="E349" s="21"/>
      <c r="F349" s="22"/>
      <c r="G349" s="6"/>
    </row>
    <row r="350" spans="1:7" x14ac:dyDescent="0.35">
      <c r="A350" s="13" t="s">
        <v>270</v>
      </c>
      <c r="B350" s="8"/>
      <c r="C350" s="9"/>
      <c r="D350" s="10"/>
      <c r="E350" s="21"/>
      <c r="F350" s="22"/>
      <c r="G350" s="6"/>
    </row>
    <row r="351" spans="1:7" x14ac:dyDescent="0.35">
      <c r="A351" s="13" t="s">
        <v>271</v>
      </c>
      <c r="B351" s="8"/>
      <c r="C351" s="9"/>
      <c r="D351" s="10"/>
      <c r="E351" s="21"/>
      <c r="F351" s="22"/>
      <c r="G351" s="6"/>
    </row>
    <row r="352" spans="1:7" x14ac:dyDescent="0.35">
      <c r="A352" s="2"/>
      <c r="B352" s="2"/>
      <c r="C352" s="2"/>
      <c r="D352" s="2"/>
      <c r="E352" s="2"/>
      <c r="F352" s="2"/>
      <c r="G352" s="2"/>
    </row>
    <row r="353" spans="1:7" x14ac:dyDescent="0.35">
      <c r="A353" s="13" t="s">
        <v>17</v>
      </c>
      <c r="B353" s="15" t="s">
        <v>0</v>
      </c>
      <c r="C353" s="16" t="s">
        <v>1</v>
      </c>
      <c r="D353" s="17" t="s">
        <v>2</v>
      </c>
      <c r="E353" s="24" t="s">
        <v>3</v>
      </c>
      <c r="F353" s="23" t="s">
        <v>4</v>
      </c>
      <c r="G353" s="18" t="s">
        <v>5</v>
      </c>
    </row>
    <row r="354" spans="1:7" x14ac:dyDescent="0.35">
      <c r="A354" s="13" t="s">
        <v>242</v>
      </c>
      <c r="B354" s="8"/>
      <c r="C354" s="9"/>
      <c r="D354" s="10"/>
      <c r="E354" s="21"/>
      <c r="F354" s="22"/>
      <c r="G354" s="6"/>
    </row>
    <row r="355" spans="1:7" x14ac:dyDescent="0.35">
      <c r="A355" s="13" t="s">
        <v>243</v>
      </c>
      <c r="B355" s="8"/>
      <c r="C355" s="9"/>
      <c r="D355" s="10"/>
      <c r="E355" s="21"/>
      <c r="F355" s="22"/>
      <c r="G355" s="6"/>
    </row>
    <row r="356" spans="1:7" x14ac:dyDescent="0.35">
      <c r="A356" s="13" t="s">
        <v>244</v>
      </c>
      <c r="B356" s="8"/>
      <c r="C356" s="9"/>
      <c r="D356" s="10"/>
      <c r="E356" s="21"/>
      <c r="F356" s="22"/>
      <c r="G356" s="6"/>
    </row>
    <row r="357" spans="1:7" x14ac:dyDescent="0.35">
      <c r="A357" s="13" t="s">
        <v>245</v>
      </c>
      <c r="B357" s="8"/>
      <c r="C357" s="9"/>
      <c r="D357" s="10"/>
      <c r="E357" s="21"/>
      <c r="F357" s="22"/>
      <c r="G357" s="6"/>
    </row>
    <row r="358" spans="1:7" x14ac:dyDescent="0.35">
      <c r="A358" s="13" t="s">
        <v>246</v>
      </c>
      <c r="B358" s="8"/>
      <c r="C358" s="9"/>
      <c r="D358" s="10"/>
      <c r="E358" s="21"/>
      <c r="F358" s="22"/>
      <c r="G358" s="6"/>
    </row>
    <row r="359" spans="1:7" x14ac:dyDescent="0.35">
      <c r="A359" s="13" t="s">
        <v>247</v>
      </c>
      <c r="B359" s="8"/>
      <c r="C359" s="9"/>
      <c r="D359" s="10"/>
      <c r="E359" s="21"/>
      <c r="F359" s="22"/>
      <c r="G359" s="6"/>
    </row>
    <row r="360" spans="1:7" x14ac:dyDescent="0.35">
      <c r="A360" s="13" t="s">
        <v>248</v>
      </c>
      <c r="B360" s="8"/>
      <c r="C360" s="9"/>
      <c r="D360" s="10"/>
      <c r="E360" s="21"/>
      <c r="F360" s="22"/>
      <c r="G360" s="6"/>
    </row>
    <row r="361" spans="1:7" x14ac:dyDescent="0.35">
      <c r="A361" s="13" t="s">
        <v>249</v>
      </c>
      <c r="B361" s="8"/>
      <c r="C361" s="9"/>
      <c r="D361" s="10"/>
      <c r="E361" s="21"/>
      <c r="F361" s="22"/>
      <c r="G361" s="6"/>
    </row>
    <row r="362" spans="1:7" x14ac:dyDescent="0.35">
      <c r="A362" s="13" t="s">
        <v>250</v>
      </c>
      <c r="B362" s="8"/>
      <c r="C362" s="9"/>
      <c r="D362" s="10"/>
      <c r="E362" s="21"/>
      <c r="F362" s="22"/>
      <c r="G362" s="6"/>
    </row>
    <row r="363" spans="1:7" x14ac:dyDescent="0.35">
      <c r="A363" s="13" t="s">
        <v>251</v>
      </c>
      <c r="B363" s="8"/>
      <c r="C363" s="9"/>
      <c r="D363" s="10"/>
      <c r="E363" s="21"/>
      <c r="F363" s="22"/>
      <c r="G363" s="6"/>
    </row>
    <row r="364" spans="1:7" x14ac:dyDescent="0.35">
      <c r="A364" s="13" t="s">
        <v>252</v>
      </c>
      <c r="B364" s="8"/>
      <c r="C364" s="9"/>
      <c r="D364" s="10"/>
      <c r="E364" s="21"/>
      <c r="F364" s="22"/>
      <c r="G364" s="6"/>
    </row>
    <row r="365" spans="1:7" x14ac:dyDescent="0.35">
      <c r="A365" s="13" t="s">
        <v>253</v>
      </c>
      <c r="B365" s="8"/>
      <c r="C365" s="9"/>
      <c r="D365" s="10"/>
      <c r="E365" s="21"/>
      <c r="F365" s="22"/>
      <c r="G365" s="6"/>
    </row>
    <row r="366" spans="1:7" x14ac:dyDescent="0.35">
      <c r="A366" s="13" t="s">
        <v>254</v>
      </c>
      <c r="B366" s="8"/>
      <c r="C366" s="9"/>
      <c r="D366" s="10"/>
      <c r="E366" s="21"/>
      <c r="F366" s="22"/>
      <c r="G366" s="6"/>
    </row>
    <row r="367" spans="1:7" x14ac:dyDescent="0.35">
      <c r="A367" s="13" t="s">
        <v>255</v>
      </c>
      <c r="B367" s="8"/>
      <c r="C367" s="9"/>
      <c r="D367" s="10"/>
      <c r="E367" s="21"/>
      <c r="F367" s="22"/>
      <c r="G367" s="6"/>
    </row>
    <row r="368" spans="1:7" x14ac:dyDescent="0.35">
      <c r="A368" s="13" t="s">
        <v>256</v>
      </c>
      <c r="B368" s="8"/>
      <c r="C368" s="9"/>
      <c r="D368" s="10"/>
      <c r="E368" s="21"/>
      <c r="F368" s="22"/>
      <c r="G368" s="6"/>
    </row>
    <row r="369" spans="1:7" x14ac:dyDescent="0.35">
      <c r="A369" s="13" t="s">
        <v>257</v>
      </c>
      <c r="B369" s="8"/>
      <c r="C369" s="9"/>
      <c r="D369" s="10"/>
      <c r="E369" s="21"/>
      <c r="F369" s="22"/>
      <c r="G369" s="6"/>
    </row>
    <row r="370" spans="1:7" x14ac:dyDescent="0.35">
      <c r="A370" s="13" t="s">
        <v>258</v>
      </c>
      <c r="B370" s="8"/>
      <c r="C370" s="9"/>
      <c r="D370" s="10"/>
      <c r="E370" s="21"/>
      <c r="F370" s="22"/>
      <c r="G370" s="6"/>
    </row>
    <row r="371" spans="1:7" x14ac:dyDescent="0.35">
      <c r="A371" s="13" t="s">
        <v>259</v>
      </c>
      <c r="B371" s="8"/>
      <c r="C371" s="9"/>
      <c r="D371" s="10"/>
      <c r="E371" s="21"/>
      <c r="F371" s="22"/>
      <c r="G371" s="6"/>
    </row>
    <row r="372" spans="1:7" x14ac:dyDescent="0.35">
      <c r="A372" s="13" t="s">
        <v>260</v>
      </c>
      <c r="B372" s="8"/>
      <c r="C372" s="9"/>
      <c r="D372" s="10"/>
      <c r="E372" s="21"/>
      <c r="F372" s="22"/>
      <c r="G372" s="6"/>
    </row>
    <row r="373" spans="1:7" x14ac:dyDescent="0.35">
      <c r="A373" s="13" t="s">
        <v>261</v>
      </c>
      <c r="B373" s="8"/>
      <c r="C373" s="9"/>
      <c r="D373" s="10"/>
      <c r="E373" s="21"/>
      <c r="F373" s="22"/>
      <c r="G373" s="6"/>
    </row>
    <row r="374" spans="1:7" x14ac:dyDescent="0.35">
      <c r="A374" s="13" t="s">
        <v>262</v>
      </c>
      <c r="B374" s="8"/>
      <c r="C374" s="9"/>
      <c r="D374" s="10"/>
      <c r="E374" s="21"/>
      <c r="F374" s="22"/>
      <c r="G374" s="6"/>
    </row>
    <row r="375" spans="1:7" x14ac:dyDescent="0.35">
      <c r="A375" s="13" t="s">
        <v>263</v>
      </c>
      <c r="B375" s="8"/>
      <c r="C375" s="9"/>
      <c r="D375" s="10"/>
      <c r="E375" s="21"/>
      <c r="F375" s="22"/>
      <c r="G375" s="6"/>
    </row>
    <row r="376" spans="1:7" x14ac:dyDescent="0.35">
      <c r="A376" s="13" t="s">
        <v>264</v>
      </c>
      <c r="B376" s="8"/>
      <c r="C376" s="9"/>
      <c r="D376" s="10"/>
      <c r="E376" s="21"/>
      <c r="F376" s="22"/>
      <c r="G376" s="6"/>
    </row>
    <row r="377" spans="1:7" x14ac:dyDescent="0.35">
      <c r="A377" s="13" t="s">
        <v>265</v>
      </c>
      <c r="B377" s="8"/>
      <c r="C377" s="9"/>
      <c r="D377" s="10"/>
      <c r="E377" s="21"/>
      <c r="F377" s="22"/>
      <c r="G377" s="6"/>
    </row>
    <row r="378" spans="1:7" x14ac:dyDescent="0.35">
      <c r="A378" s="13" t="s">
        <v>266</v>
      </c>
      <c r="B378" s="8"/>
      <c r="C378" s="9"/>
      <c r="D378" s="10"/>
      <c r="E378" s="21"/>
      <c r="F378" s="22"/>
      <c r="G378" s="6"/>
    </row>
    <row r="379" spans="1:7" x14ac:dyDescent="0.35">
      <c r="A379" s="13" t="s">
        <v>267</v>
      </c>
      <c r="B379" s="8"/>
      <c r="C379" s="9"/>
      <c r="D379" s="10"/>
      <c r="E379" s="21"/>
      <c r="F379" s="22"/>
      <c r="G379" s="6"/>
    </row>
    <row r="380" spans="1:7" x14ac:dyDescent="0.35">
      <c r="A380" s="13" t="s">
        <v>268</v>
      </c>
      <c r="B380" s="8"/>
      <c r="C380" s="9"/>
      <c r="D380" s="10"/>
      <c r="E380" s="21"/>
      <c r="F380" s="22"/>
      <c r="G380" s="6"/>
    </row>
    <row r="381" spans="1:7" x14ac:dyDescent="0.35">
      <c r="A381" s="13" t="s">
        <v>269</v>
      </c>
      <c r="B381" s="8"/>
      <c r="C381" s="9"/>
      <c r="D381" s="10"/>
      <c r="E381" s="21"/>
      <c r="F381" s="22"/>
      <c r="G381" s="6"/>
    </row>
    <row r="382" spans="1:7" x14ac:dyDescent="0.35">
      <c r="A382" s="13" t="s">
        <v>270</v>
      </c>
      <c r="B382" s="8"/>
      <c r="C382" s="9"/>
      <c r="D382" s="10"/>
      <c r="E382" s="21"/>
      <c r="F382" s="22"/>
      <c r="G382" s="6"/>
    </row>
    <row r="383" spans="1:7" x14ac:dyDescent="0.35">
      <c r="A383" s="13" t="s">
        <v>271</v>
      </c>
      <c r="B383" s="8"/>
      <c r="C383" s="9"/>
      <c r="D383" s="10"/>
      <c r="E383" s="21"/>
      <c r="F383" s="22"/>
      <c r="G383" s="6"/>
    </row>
    <row r="384" spans="1:7" x14ac:dyDescent="0.35">
      <c r="A384" s="2"/>
      <c r="B384" s="2"/>
      <c r="C384" s="2"/>
      <c r="D384" s="2"/>
      <c r="E384" s="2"/>
      <c r="F384" s="2"/>
      <c r="G384" s="2"/>
    </row>
    <row r="385" spans="1:7" x14ac:dyDescent="0.35">
      <c r="A385" s="13" t="s">
        <v>18</v>
      </c>
      <c r="B385" s="15" t="s">
        <v>0</v>
      </c>
      <c r="C385" s="16" t="s">
        <v>1</v>
      </c>
      <c r="D385" s="17" t="s">
        <v>2</v>
      </c>
      <c r="E385" s="24" t="s">
        <v>3</v>
      </c>
      <c r="F385" s="23" t="s">
        <v>4</v>
      </c>
      <c r="G385" s="18" t="s">
        <v>5</v>
      </c>
    </row>
    <row r="386" spans="1:7" x14ac:dyDescent="0.35">
      <c r="A386" s="13" t="s">
        <v>242</v>
      </c>
      <c r="B386" s="8"/>
      <c r="C386" s="9"/>
      <c r="D386" s="10"/>
      <c r="E386" s="21"/>
      <c r="F386" s="22"/>
      <c r="G386" s="6"/>
    </row>
    <row r="387" spans="1:7" x14ac:dyDescent="0.35">
      <c r="A387" s="13" t="s">
        <v>243</v>
      </c>
      <c r="B387" s="8"/>
      <c r="C387" s="9"/>
      <c r="D387" s="10"/>
      <c r="E387" s="21"/>
      <c r="F387" s="22"/>
      <c r="G387" s="6"/>
    </row>
    <row r="388" spans="1:7" x14ac:dyDescent="0.35">
      <c r="A388" s="13" t="s">
        <v>244</v>
      </c>
      <c r="B388" s="8"/>
      <c r="C388" s="9"/>
      <c r="D388" s="10"/>
      <c r="E388" s="21"/>
      <c r="F388" s="22"/>
      <c r="G388" s="6"/>
    </row>
    <row r="389" spans="1:7" x14ac:dyDescent="0.35">
      <c r="A389" s="13" t="s">
        <v>245</v>
      </c>
      <c r="B389" s="8"/>
      <c r="C389" s="9"/>
      <c r="D389" s="10"/>
      <c r="E389" s="21"/>
      <c r="F389" s="22"/>
      <c r="G389" s="6"/>
    </row>
    <row r="390" spans="1:7" x14ac:dyDescent="0.35">
      <c r="A390" s="13" t="s">
        <v>246</v>
      </c>
      <c r="B390" s="8"/>
      <c r="C390" s="9"/>
      <c r="D390" s="10"/>
      <c r="E390" s="21"/>
      <c r="F390" s="22"/>
      <c r="G390" s="6"/>
    </row>
    <row r="391" spans="1:7" x14ac:dyDescent="0.35">
      <c r="A391" s="13" t="s">
        <v>247</v>
      </c>
      <c r="B391" s="8"/>
      <c r="C391" s="9"/>
      <c r="D391" s="10"/>
      <c r="E391" s="21"/>
      <c r="F391" s="22"/>
      <c r="G391" s="6"/>
    </row>
    <row r="392" spans="1:7" x14ac:dyDescent="0.35">
      <c r="A392" s="13" t="s">
        <v>248</v>
      </c>
      <c r="B392" s="8"/>
      <c r="C392" s="9"/>
      <c r="D392" s="10"/>
      <c r="E392" s="21"/>
      <c r="F392" s="22"/>
      <c r="G392" s="6"/>
    </row>
    <row r="393" spans="1:7" x14ac:dyDescent="0.35">
      <c r="A393" s="13" t="s">
        <v>249</v>
      </c>
      <c r="B393" s="8"/>
      <c r="C393" s="9"/>
      <c r="D393" s="10"/>
      <c r="E393" s="21"/>
      <c r="F393" s="22"/>
      <c r="G393" s="6"/>
    </row>
    <row r="394" spans="1:7" x14ac:dyDescent="0.35">
      <c r="A394" s="13" t="s">
        <v>250</v>
      </c>
      <c r="B394" s="8"/>
      <c r="C394" s="9"/>
      <c r="D394" s="10"/>
      <c r="E394" s="21"/>
      <c r="F394" s="22"/>
      <c r="G394" s="6"/>
    </row>
    <row r="395" spans="1:7" x14ac:dyDescent="0.35">
      <c r="A395" s="13" t="s">
        <v>251</v>
      </c>
      <c r="B395" s="8"/>
      <c r="C395" s="9"/>
      <c r="D395" s="10"/>
      <c r="E395" s="21"/>
      <c r="F395" s="22"/>
      <c r="G395" s="6"/>
    </row>
    <row r="396" spans="1:7" x14ac:dyDescent="0.35">
      <c r="A396" s="13" t="s">
        <v>252</v>
      </c>
      <c r="B396" s="8"/>
      <c r="C396" s="9"/>
      <c r="D396" s="10"/>
      <c r="E396" s="21"/>
      <c r="F396" s="22"/>
      <c r="G396" s="6"/>
    </row>
    <row r="397" spans="1:7" x14ac:dyDescent="0.35">
      <c r="A397" s="13" t="s">
        <v>253</v>
      </c>
      <c r="B397" s="8"/>
      <c r="C397" s="9"/>
      <c r="D397" s="10"/>
      <c r="E397" s="21"/>
      <c r="F397" s="22"/>
      <c r="G397" s="6"/>
    </row>
    <row r="398" spans="1:7" x14ac:dyDescent="0.35">
      <c r="A398" s="13" t="s">
        <v>254</v>
      </c>
      <c r="B398" s="8"/>
      <c r="C398" s="9"/>
      <c r="D398" s="10"/>
      <c r="E398" s="21"/>
      <c r="F398" s="22"/>
      <c r="G398" s="6"/>
    </row>
    <row r="399" spans="1:7" x14ac:dyDescent="0.35">
      <c r="A399" s="13" t="s">
        <v>255</v>
      </c>
      <c r="B399" s="8"/>
      <c r="C399" s="9"/>
      <c r="D399" s="10"/>
      <c r="E399" s="21"/>
      <c r="F399" s="22"/>
      <c r="G399" s="6"/>
    </row>
    <row r="400" spans="1:7" x14ac:dyDescent="0.35">
      <c r="A400" s="13" t="s">
        <v>256</v>
      </c>
      <c r="B400" s="8"/>
      <c r="C400" s="9"/>
      <c r="D400" s="10"/>
      <c r="E400" s="21"/>
      <c r="F400" s="22"/>
      <c r="G400" s="6"/>
    </row>
    <row r="401" spans="1:7" x14ac:dyDescent="0.35">
      <c r="A401" s="13" t="s">
        <v>257</v>
      </c>
      <c r="B401" s="8"/>
      <c r="C401" s="9"/>
      <c r="D401" s="10"/>
      <c r="E401" s="21"/>
      <c r="F401" s="22"/>
      <c r="G401" s="6"/>
    </row>
    <row r="402" spans="1:7" x14ac:dyDescent="0.35">
      <c r="A402" s="13" t="s">
        <v>258</v>
      </c>
      <c r="B402" s="8"/>
      <c r="C402" s="9"/>
      <c r="D402" s="10"/>
      <c r="E402" s="21"/>
      <c r="F402" s="22"/>
      <c r="G402" s="6"/>
    </row>
    <row r="403" spans="1:7" x14ac:dyDescent="0.35">
      <c r="A403" s="13" t="s">
        <v>259</v>
      </c>
      <c r="B403" s="8"/>
      <c r="C403" s="9"/>
      <c r="D403" s="10"/>
      <c r="E403" s="21"/>
      <c r="F403" s="22"/>
      <c r="G403" s="6"/>
    </row>
    <row r="404" spans="1:7" x14ac:dyDescent="0.35">
      <c r="A404" s="13" t="s">
        <v>260</v>
      </c>
      <c r="B404" s="8"/>
      <c r="C404" s="9"/>
      <c r="D404" s="10"/>
      <c r="E404" s="21"/>
      <c r="F404" s="22"/>
      <c r="G404" s="6"/>
    </row>
    <row r="405" spans="1:7" x14ac:dyDescent="0.35">
      <c r="A405" s="13" t="s">
        <v>261</v>
      </c>
      <c r="B405" s="8"/>
      <c r="C405" s="9"/>
      <c r="D405" s="10"/>
      <c r="E405" s="21"/>
      <c r="F405" s="22"/>
      <c r="G405" s="6"/>
    </row>
    <row r="406" spans="1:7" x14ac:dyDescent="0.35">
      <c r="A406" s="13" t="s">
        <v>262</v>
      </c>
      <c r="B406" s="8"/>
      <c r="C406" s="9"/>
      <c r="D406" s="10"/>
      <c r="E406" s="21"/>
      <c r="F406" s="22"/>
      <c r="G406" s="6"/>
    </row>
    <row r="407" spans="1:7" x14ac:dyDescent="0.35">
      <c r="A407" s="13" t="s">
        <v>263</v>
      </c>
      <c r="B407" s="8"/>
      <c r="C407" s="9"/>
      <c r="D407" s="10"/>
      <c r="E407" s="21"/>
      <c r="F407" s="22"/>
      <c r="G407" s="6"/>
    </row>
    <row r="408" spans="1:7" x14ac:dyDescent="0.35">
      <c r="A408" s="13" t="s">
        <v>264</v>
      </c>
      <c r="B408" s="8"/>
      <c r="C408" s="9"/>
      <c r="D408" s="10"/>
      <c r="E408" s="21"/>
      <c r="F408" s="22"/>
      <c r="G408" s="6"/>
    </row>
    <row r="409" spans="1:7" x14ac:dyDescent="0.35">
      <c r="A409" s="13" t="s">
        <v>265</v>
      </c>
      <c r="B409" s="8"/>
      <c r="C409" s="9"/>
      <c r="D409" s="10"/>
      <c r="E409" s="21"/>
      <c r="F409" s="22"/>
      <c r="G409" s="6"/>
    </row>
    <row r="410" spans="1:7" x14ac:dyDescent="0.35">
      <c r="A410" s="13" t="s">
        <v>266</v>
      </c>
      <c r="B410" s="8"/>
      <c r="C410" s="9"/>
      <c r="D410" s="10"/>
      <c r="E410" s="21"/>
      <c r="F410" s="22"/>
      <c r="G410" s="6"/>
    </row>
    <row r="411" spans="1:7" x14ac:dyDescent="0.35">
      <c r="A411" s="13" t="s">
        <v>267</v>
      </c>
      <c r="B411" s="8"/>
      <c r="C411" s="9"/>
      <c r="D411" s="10"/>
      <c r="E411" s="21"/>
      <c r="F411" s="22"/>
      <c r="G411" s="6"/>
    </row>
    <row r="412" spans="1:7" x14ac:dyDescent="0.35">
      <c r="A412" s="13" t="s">
        <v>268</v>
      </c>
      <c r="B412" s="8"/>
      <c r="C412" s="9"/>
      <c r="D412" s="10"/>
      <c r="E412" s="21"/>
      <c r="F412" s="22"/>
      <c r="G412" s="6"/>
    </row>
    <row r="413" spans="1:7" x14ac:dyDescent="0.35">
      <c r="A413" s="13" t="s">
        <v>269</v>
      </c>
      <c r="B413" s="8"/>
      <c r="C413" s="9"/>
      <c r="D413" s="10"/>
      <c r="E413" s="21"/>
      <c r="F413" s="22"/>
      <c r="G413" s="6"/>
    </row>
    <row r="414" spans="1:7" x14ac:dyDescent="0.35">
      <c r="A414" s="13" t="s">
        <v>270</v>
      </c>
      <c r="B414" s="8"/>
      <c r="C414" s="9"/>
      <c r="D414" s="10"/>
      <c r="E414" s="21"/>
      <c r="F414" s="22"/>
      <c r="G414" s="6"/>
    </row>
    <row r="415" spans="1:7" x14ac:dyDescent="0.35">
      <c r="A415" s="13" t="s">
        <v>271</v>
      </c>
      <c r="B415" s="8"/>
      <c r="C415" s="9"/>
      <c r="D415" s="10"/>
      <c r="E415" s="21"/>
      <c r="F415" s="22"/>
      <c r="G415" s="6"/>
    </row>
    <row r="416" spans="1:7" x14ac:dyDescent="0.35">
      <c r="A416" s="2"/>
      <c r="B416" s="2"/>
      <c r="C416" s="2"/>
      <c r="D416" s="2"/>
      <c r="E416" s="2"/>
      <c r="F416" s="2"/>
      <c r="G416" s="2"/>
    </row>
    <row r="417" spans="1:7" x14ac:dyDescent="0.35">
      <c r="A417" s="13" t="s">
        <v>19</v>
      </c>
      <c r="B417" s="15" t="s">
        <v>0</v>
      </c>
      <c r="C417" s="16" t="s">
        <v>1</v>
      </c>
      <c r="D417" s="17" t="s">
        <v>2</v>
      </c>
      <c r="E417" s="24" t="s">
        <v>3</v>
      </c>
      <c r="F417" s="23" t="s">
        <v>4</v>
      </c>
      <c r="G417" s="18" t="s">
        <v>5</v>
      </c>
    </row>
    <row r="418" spans="1:7" x14ac:dyDescent="0.35">
      <c r="A418" s="13" t="s">
        <v>242</v>
      </c>
      <c r="B418" s="8"/>
      <c r="C418" s="9"/>
      <c r="D418" s="10"/>
      <c r="E418" s="21"/>
      <c r="F418" s="22"/>
      <c r="G418" s="6"/>
    </row>
    <row r="419" spans="1:7" x14ac:dyDescent="0.35">
      <c r="A419" s="13" t="s">
        <v>243</v>
      </c>
      <c r="B419" s="8"/>
      <c r="C419" s="9"/>
      <c r="D419" s="10"/>
      <c r="E419" s="21"/>
      <c r="F419" s="22"/>
      <c r="G419" s="6"/>
    </row>
    <row r="420" spans="1:7" x14ac:dyDescent="0.35">
      <c r="A420" s="13" t="s">
        <v>244</v>
      </c>
      <c r="B420" s="8"/>
      <c r="C420" s="9"/>
      <c r="D420" s="10"/>
      <c r="E420" s="21"/>
      <c r="F420" s="22"/>
      <c r="G420" s="6"/>
    </row>
    <row r="421" spans="1:7" x14ac:dyDescent="0.35">
      <c r="A421" s="13" t="s">
        <v>245</v>
      </c>
      <c r="B421" s="8"/>
      <c r="C421" s="9"/>
      <c r="D421" s="10"/>
      <c r="E421" s="21"/>
      <c r="F421" s="22"/>
      <c r="G421" s="6"/>
    </row>
    <row r="422" spans="1:7" x14ac:dyDescent="0.35">
      <c r="A422" s="13" t="s">
        <v>246</v>
      </c>
      <c r="B422" s="8"/>
      <c r="C422" s="9"/>
      <c r="D422" s="10"/>
      <c r="E422" s="21"/>
      <c r="F422" s="22"/>
      <c r="G422" s="6"/>
    </row>
    <row r="423" spans="1:7" x14ac:dyDescent="0.35">
      <c r="A423" s="13" t="s">
        <v>247</v>
      </c>
      <c r="B423" s="8"/>
      <c r="C423" s="9"/>
      <c r="D423" s="10"/>
      <c r="E423" s="21"/>
      <c r="F423" s="22"/>
      <c r="G423" s="6"/>
    </row>
    <row r="424" spans="1:7" x14ac:dyDescent="0.35">
      <c r="A424" s="13" t="s">
        <v>248</v>
      </c>
      <c r="B424" s="8"/>
      <c r="C424" s="9"/>
      <c r="D424" s="10"/>
      <c r="E424" s="21"/>
      <c r="F424" s="22"/>
      <c r="G424" s="6"/>
    </row>
    <row r="425" spans="1:7" x14ac:dyDescent="0.35">
      <c r="A425" s="13" t="s">
        <v>249</v>
      </c>
      <c r="B425" s="8"/>
      <c r="C425" s="9"/>
      <c r="D425" s="10"/>
      <c r="E425" s="21"/>
      <c r="F425" s="22"/>
      <c r="G425" s="6"/>
    </row>
    <row r="426" spans="1:7" x14ac:dyDescent="0.35">
      <c r="A426" s="13" t="s">
        <v>250</v>
      </c>
      <c r="B426" s="8"/>
      <c r="C426" s="9"/>
      <c r="D426" s="10"/>
      <c r="E426" s="21"/>
      <c r="F426" s="22"/>
      <c r="G426" s="6"/>
    </row>
    <row r="427" spans="1:7" x14ac:dyDescent="0.35">
      <c r="A427" s="13" t="s">
        <v>251</v>
      </c>
      <c r="B427" s="8"/>
      <c r="C427" s="9"/>
      <c r="D427" s="10"/>
      <c r="E427" s="21"/>
      <c r="F427" s="22"/>
      <c r="G427" s="6"/>
    </row>
    <row r="428" spans="1:7" x14ac:dyDescent="0.35">
      <c r="A428" s="13" t="s">
        <v>252</v>
      </c>
      <c r="B428" s="8"/>
      <c r="C428" s="9"/>
      <c r="D428" s="10"/>
      <c r="E428" s="21"/>
      <c r="F428" s="22"/>
      <c r="G428" s="6"/>
    </row>
    <row r="429" spans="1:7" x14ac:dyDescent="0.35">
      <c r="A429" s="13" t="s">
        <v>253</v>
      </c>
      <c r="B429" s="8"/>
      <c r="C429" s="9"/>
      <c r="D429" s="10"/>
      <c r="E429" s="21"/>
      <c r="F429" s="22"/>
      <c r="G429" s="6"/>
    </row>
    <row r="430" spans="1:7" x14ac:dyDescent="0.35">
      <c r="A430" s="13" t="s">
        <v>254</v>
      </c>
      <c r="B430" s="8"/>
      <c r="C430" s="9"/>
      <c r="D430" s="10"/>
      <c r="E430" s="21"/>
      <c r="F430" s="22"/>
      <c r="G430" s="6"/>
    </row>
    <row r="431" spans="1:7" x14ac:dyDescent="0.35">
      <c r="A431" s="13" t="s">
        <v>255</v>
      </c>
      <c r="B431" s="8"/>
      <c r="C431" s="9"/>
      <c r="D431" s="10"/>
      <c r="E431" s="21"/>
      <c r="F431" s="22"/>
      <c r="G431" s="6"/>
    </row>
    <row r="432" spans="1:7" x14ac:dyDescent="0.35">
      <c r="A432" s="13" t="s">
        <v>256</v>
      </c>
      <c r="B432" s="8"/>
      <c r="C432" s="9"/>
      <c r="D432" s="10"/>
      <c r="E432" s="21"/>
      <c r="F432" s="22"/>
      <c r="G432" s="6"/>
    </row>
    <row r="433" spans="1:7" x14ac:dyDescent="0.35">
      <c r="A433" s="13" t="s">
        <v>257</v>
      </c>
      <c r="B433" s="8"/>
      <c r="C433" s="9"/>
      <c r="D433" s="10"/>
      <c r="E433" s="21"/>
      <c r="F433" s="22"/>
      <c r="G433" s="6"/>
    </row>
    <row r="434" spans="1:7" x14ac:dyDescent="0.35">
      <c r="A434" s="13" t="s">
        <v>258</v>
      </c>
      <c r="B434" s="8"/>
      <c r="C434" s="9"/>
      <c r="D434" s="10"/>
      <c r="E434" s="21"/>
      <c r="F434" s="22"/>
      <c r="G434" s="6"/>
    </row>
    <row r="435" spans="1:7" x14ac:dyDescent="0.35">
      <c r="A435" s="13" t="s">
        <v>259</v>
      </c>
      <c r="B435" s="8"/>
      <c r="C435" s="9"/>
      <c r="D435" s="10"/>
      <c r="E435" s="21"/>
      <c r="F435" s="22"/>
      <c r="G435" s="6"/>
    </row>
    <row r="436" spans="1:7" x14ac:dyDescent="0.35">
      <c r="A436" s="13" t="s">
        <v>260</v>
      </c>
      <c r="B436" s="8"/>
      <c r="C436" s="9"/>
      <c r="D436" s="10"/>
      <c r="E436" s="21"/>
      <c r="F436" s="22"/>
      <c r="G436" s="6"/>
    </row>
    <row r="437" spans="1:7" x14ac:dyDescent="0.35">
      <c r="A437" s="13" t="s">
        <v>261</v>
      </c>
      <c r="B437" s="8"/>
      <c r="C437" s="9"/>
      <c r="D437" s="10"/>
      <c r="E437" s="21"/>
      <c r="F437" s="22"/>
      <c r="G437" s="6"/>
    </row>
    <row r="438" spans="1:7" x14ac:dyDescent="0.35">
      <c r="A438" s="13" t="s">
        <v>262</v>
      </c>
      <c r="B438" s="8"/>
      <c r="C438" s="9"/>
      <c r="D438" s="10"/>
      <c r="E438" s="21"/>
      <c r="F438" s="22"/>
      <c r="G438" s="6"/>
    </row>
    <row r="439" spans="1:7" x14ac:dyDescent="0.35">
      <c r="A439" s="13" t="s">
        <v>263</v>
      </c>
      <c r="B439" s="8"/>
      <c r="C439" s="9"/>
      <c r="D439" s="10"/>
      <c r="E439" s="21"/>
      <c r="F439" s="22"/>
      <c r="G439" s="6"/>
    </row>
    <row r="440" spans="1:7" x14ac:dyDescent="0.35">
      <c r="A440" s="13" t="s">
        <v>264</v>
      </c>
      <c r="B440" s="8"/>
      <c r="C440" s="9"/>
      <c r="D440" s="10"/>
      <c r="E440" s="21"/>
      <c r="F440" s="22"/>
      <c r="G440" s="6"/>
    </row>
    <row r="441" spans="1:7" x14ac:dyDescent="0.35">
      <c r="A441" s="13" t="s">
        <v>265</v>
      </c>
      <c r="B441" s="8"/>
      <c r="C441" s="9"/>
      <c r="D441" s="10"/>
      <c r="E441" s="21"/>
      <c r="F441" s="22"/>
      <c r="G441" s="6"/>
    </row>
    <row r="442" spans="1:7" x14ac:dyDescent="0.35">
      <c r="A442" s="13" t="s">
        <v>266</v>
      </c>
      <c r="B442" s="8"/>
      <c r="C442" s="9"/>
      <c r="D442" s="10"/>
      <c r="E442" s="21"/>
      <c r="F442" s="22"/>
      <c r="G442" s="6"/>
    </row>
    <row r="443" spans="1:7" x14ac:dyDescent="0.35">
      <c r="A443" s="13" t="s">
        <v>267</v>
      </c>
      <c r="B443" s="8"/>
      <c r="C443" s="9"/>
      <c r="D443" s="10"/>
      <c r="E443" s="21"/>
      <c r="F443" s="22"/>
      <c r="G443" s="6"/>
    </row>
    <row r="444" spans="1:7" x14ac:dyDescent="0.35">
      <c r="A444" s="13" t="s">
        <v>268</v>
      </c>
      <c r="B444" s="8"/>
      <c r="C444" s="9"/>
      <c r="D444" s="10"/>
      <c r="E444" s="21"/>
      <c r="F444" s="22"/>
      <c r="G444" s="6"/>
    </row>
    <row r="445" spans="1:7" x14ac:dyDescent="0.35">
      <c r="A445" s="13" t="s">
        <v>269</v>
      </c>
      <c r="B445" s="8"/>
      <c r="C445" s="9"/>
      <c r="D445" s="10"/>
      <c r="E445" s="21"/>
      <c r="F445" s="22"/>
      <c r="G445" s="6"/>
    </row>
    <row r="446" spans="1:7" x14ac:dyDescent="0.35">
      <c r="A446" s="13" t="s">
        <v>270</v>
      </c>
      <c r="B446" s="8"/>
      <c r="C446" s="9"/>
      <c r="D446" s="10"/>
      <c r="E446" s="21"/>
      <c r="F446" s="22"/>
      <c r="G446" s="6"/>
    </row>
    <row r="447" spans="1:7" x14ac:dyDescent="0.35">
      <c r="A447" s="13" t="s">
        <v>271</v>
      </c>
      <c r="B447" s="8"/>
      <c r="C447" s="9"/>
      <c r="D447" s="10"/>
      <c r="E447" s="21"/>
      <c r="F447" s="22"/>
      <c r="G447" s="6"/>
    </row>
    <row r="448" spans="1:7" x14ac:dyDescent="0.35">
      <c r="A448" s="2"/>
      <c r="B448" s="2"/>
      <c r="C448" s="2"/>
      <c r="D448" s="2"/>
      <c r="E448" s="2"/>
      <c r="F448" s="2"/>
      <c r="G448" s="2"/>
    </row>
    <row r="449" spans="1:7" x14ac:dyDescent="0.35">
      <c r="A449" s="13" t="s">
        <v>20</v>
      </c>
      <c r="B449" s="15" t="s">
        <v>0</v>
      </c>
      <c r="C449" s="16" t="s">
        <v>1</v>
      </c>
      <c r="D449" s="17" t="s">
        <v>2</v>
      </c>
      <c r="E449" s="24" t="s">
        <v>3</v>
      </c>
      <c r="F449" s="23" t="s">
        <v>4</v>
      </c>
      <c r="G449" s="18" t="s">
        <v>5</v>
      </c>
    </row>
    <row r="450" spans="1:7" x14ac:dyDescent="0.35">
      <c r="A450" s="13" t="s">
        <v>242</v>
      </c>
      <c r="B450" s="8"/>
      <c r="C450" s="9"/>
      <c r="D450" s="10"/>
      <c r="E450" s="21"/>
      <c r="F450" s="22"/>
      <c r="G450" s="6"/>
    </row>
    <row r="451" spans="1:7" x14ac:dyDescent="0.35">
      <c r="A451" s="13" t="s">
        <v>243</v>
      </c>
      <c r="B451" s="8"/>
      <c r="C451" s="9"/>
      <c r="D451" s="10"/>
      <c r="E451" s="21"/>
      <c r="F451" s="22"/>
      <c r="G451" s="6"/>
    </row>
    <row r="452" spans="1:7" x14ac:dyDescent="0.35">
      <c r="A452" s="13" t="s">
        <v>244</v>
      </c>
      <c r="B452" s="8"/>
      <c r="C452" s="9"/>
      <c r="D452" s="10"/>
      <c r="E452" s="21"/>
      <c r="F452" s="22"/>
      <c r="G452" s="6"/>
    </row>
    <row r="453" spans="1:7" x14ac:dyDescent="0.35">
      <c r="A453" s="13" t="s">
        <v>245</v>
      </c>
      <c r="B453" s="8"/>
      <c r="C453" s="9"/>
      <c r="D453" s="10"/>
      <c r="E453" s="21"/>
      <c r="F453" s="22"/>
      <c r="G453" s="6"/>
    </row>
    <row r="454" spans="1:7" x14ac:dyDescent="0.35">
      <c r="A454" s="13" t="s">
        <v>246</v>
      </c>
      <c r="B454" s="8"/>
      <c r="C454" s="9"/>
      <c r="D454" s="10"/>
      <c r="E454" s="21"/>
      <c r="F454" s="22"/>
      <c r="G454" s="6"/>
    </row>
    <row r="455" spans="1:7" x14ac:dyDescent="0.35">
      <c r="A455" s="13" t="s">
        <v>247</v>
      </c>
      <c r="B455" s="8"/>
      <c r="C455" s="9"/>
      <c r="D455" s="10"/>
      <c r="E455" s="21"/>
      <c r="F455" s="22"/>
      <c r="G455" s="6"/>
    </row>
    <row r="456" spans="1:7" x14ac:dyDescent="0.35">
      <c r="A456" s="13" t="s">
        <v>248</v>
      </c>
      <c r="B456" s="8"/>
      <c r="C456" s="9"/>
      <c r="D456" s="10"/>
      <c r="E456" s="21"/>
      <c r="F456" s="22"/>
      <c r="G456" s="6"/>
    </row>
    <row r="457" spans="1:7" x14ac:dyDescent="0.35">
      <c r="A457" s="13" t="s">
        <v>249</v>
      </c>
      <c r="B457" s="8"/>
      <c r="C457" s="9"/>
      <c r="D457" s="10"/>
      <c r="E457" s="21"/>
      <c r="F457" s="22"/>
      <c r="G457" s="6"/>
    </row>
    <row r="458" spans="1:7" x14ac:dyDescent="0.35">
      <c r="A458" s="13" t="s">
        <v>250</v>
      </c>
      <c r="B458" s="8"/>
      <c r="C458" s="9"/>
      <c r="D458" s="10"/>
      <c r="E458" s="21"/>
      <c r="F458" s="22"/>
      <c r="G458" s="6"/>
    </row>
    <row r="459" spans="1:7" x14ac:dyDescent="0.35">
      <c r="A459" s="13" t="s">
        <v>251</v>
      </c>
      <c r="B459" s="8"/>
      <c r="C459" s="9"/>
      <c r="D459" s="10"/>
      <c r="E459" s="21"/>
      <c r="F459" s="22"/>
      <c r="G459" s="6"/>
    </row>
    <row r="460" spans="1:7" x14ac:dyDescent="0.35">
      <c r="A460" s="13" t="s">
        <v>252</v>
      </c>
      <c r="B460" s="8"/>
      <c r="C460" s="9"/>
      <c r="D460" s="10"/>
      <c r="E460" s="21"/>
      <c r="F460" s="22"/>
      <c r="G460" s="6"/>
    </row>
    <row r="461" spans="1:7" x14ac:dyDescent="0.35">
      <c r="A461" s="13" t="s">
        <v>253</v>
      </c>
      <c r="B461" s="8"/>
      <c r="C461" s="9"/>
      <c r="D461" s="10"/>
      <c r="E461" s="21"/>
      <c r="F461" s="22"/>
      <c r="G461" s="6"/>
    </row>
    <row r="462" spans="1:7" x14ac:dyDescent="0.35">
      <c r="A462" s="13" t="s">
        <v>254</v>
      </c>
      <c r="B462" s="8"/>
      <c r="C462" s="9"/>
      <c r="D462" s="10"/>
      <c r="E462" s="21"/>
      <c r="F462" s="22"/>
      <c r="G462" s="6"/>
    </row>
    <row r="463" spans="1:7" x14ac:dyDescent="0.35">
      <c r="A463" s="13" t="s">
        <v>255</v>
      </c>
      <c r="B463" s="8"/>
      <c r="C463" s="9"/>
      <c r="D463" s="10"/>
      <c r="E463" s="21"/>
      <c r="F463" s="22"/>
      <c r="G463" s="6"/>
    </row>
    <row r="464" spans="1:7" x14ac:dyDescent="0.35">
      <c r="A464" s="13" t="s">
        <v>256</v>
      </c>
      <c r="B464" s="8"/>
      <c r="C464" s="9"/>
      <c r="D464" s="10"/>
      <c r="E464" s="21"/>
      <c r="F464" s="22"/>
      <c r="G464" s="6"/>
    </row>
    <row r="465" spans="1:7" x14ac:dyDescent="0.35">
      <c r="A465" s="13" t="s">
        <v>257</v>
      </c>
      <c r="B465" s="8"/>
      <c r="C465" s="9"/>
      <c r="D465" s="10"/>
      <c r="E465" s="21"/>
      <c r="F465" s="22"/>
      <c r="G465" s="6"/>
    </row>
    <row r="466" spans="1:7" x14ac:dyDescent="0.35">
      <c r="A466" s="13" t="s">
        <v>258</v>
      </c>
      <c r="B466" s="8"/>
      <c r="C466" s="9"/>
      <c r="D466" s="10"/>
      <c r="E466" s="21"/>
      <c r="F466" s="22"/>
      <c r="G466" s="6"/>
    </row>
    <row r="467" spans="1:7" x14ac:dyDescent="0.35">
      <c r="A467" s="13" t="s">
        <v>259</v>
      </c>
      <c r="B467" s="8"/>
      <c r="C467" s="9"/>
      <c r="D467" s="10"/>
      <c r="E467" s="21"/>
      <c r="F467" s="22"/>
      <c r="G467" s="6"/>
    </row>
    <row r="468" spans="1:7" x14ac:dyDescent="0.35">
      <c r="A468" s="13" t="s">
        <v>260</v>
      </c>
      <c r="B468" s="8"/>
      <c r="C468" s="9"/>
      <c r="D468" s="10"/>
      <c r="E468" s="21"/>
      <c r="F468" s="22"/>
      <c r="G468" s="6"/>
    </row>
    <row r="469" spans="1:7" x14ac:dyDescent="0.35">
      <c r="A469" s="13" t="s">
        <v>261</v>
      </c>
      <c r="B469" s="8"/>
      <c r="C469" s="9"/>
      <c r="D469" s="10"/>
      <c r="E469" s="21"/>
      <c r="F469" s="22"/>
      <c r="G469" s="6"/>
    </row>
    <row r="470" spans="1:7" x14ac:dyDescent="0.35">
      <c r="A470" s="13" t="s">
        <v>262</v>
      </c>
      <c r="B470" s="8"/>
      <c r="C470" s="9"/>
      <c r="D470" s="10"/>
      <c r="E470" s="21"/>
      <c r="F470" s="22"/>
      <c r="G470" s="6"/>
    </row>
    <row r="471" spans="1:7" x14ac:dyDescent="0.35">
      <c r="A471" s="13" t="s">
        <v>263</v>
      </c>
      <c r="B471" s="8"/>
      <c r="C471" s="9"/>
      <c r="D471" s="10"/>
      <c r="E471" s="21"/>
      <c r="F471" s="22"/>
      <c r="G471" s="6"/>
    </row>
    <row r="472" spans="1:7" x14ac:dyDescent="0.35">
      <c r="A472" s="13" t="s">
        <v>264</v>
      </c>
      <c r="B472" s="8"/>
      <c r="C472" s="9"/>
      <c r="D472" s="10"/>
      <c r="E472" s="21"/>
      <c r="F472" s="22"/>
      <c r="G472" s="6"/>
    </row>
    <row r="473" spans="1:7" x14ac:dyDescent="0.35">
      <c r="A473" s="13" t="s">
        <v>265</v>
      </c>
      <c r="B473" s="8"/>
      <c r="C473" s="9"/>
      <c r="D473" s="10"/>
      <c r="E473" s="21"/>
      <c r="F473" s="22"/>
      <c r="G473" s="6"/>
    </row>
    <row r="474" spans="1:7" x14ac:dyDescent="0.35">
      <c r="A474" s="13" t="s">
        <v>266</v>
      </c>
      <c r="B474" s="8"/>
      <c r="C474" s="9"/>
      <c r="D474" s="10"/>
      <c r="E474" s="21"/>
      <c r="F474" s="22"/>
      <c r="G474" s="6"/>
    </row>
    <row r="475" spans="1:7" x14ac:dyDescent="0.35">
      <c r="A475" s="13" t="s">
        <v>267</v>
      </c>
      <c r="B475" s="8"/>
      <c r="C475" s="9"/>
      <c r="D475" s="10"/>
      <c r="E475" s="21"/>
      <c r="F475" s="22"/>
      <c r="G475" s="6"/>
    </row>
    <row r="476" spans="1:7" x14ac:dyDescent="0.35">
      <c r="A476" s="13" t="s">
        <v>268</v>
      </c>
      <c r="B476" s="8"/>
      <c r="C476" s="9"/>
      <c r="D476" s="10"/>
      <c r="E476" s="21"/>
      <c r="F476" s="22"/>
      <c r="G476" s="6"/>
    </row>
    <row r="477" spans="1:7" x14ac:dyDescent="0.35">
      <c r="A477" s="13" t="s">
        <v>269</v>
      </c>
      <c r="B477" s="8"/>
      <c r="C477" s="9"/>
      <c r="D477" s="10"/>
      <c r="E477" s="21"/>
      <c r="F477" s="22"/>
      <c r="G477" s="6"/>
    </row>
    <row r="478" spans="1:7" x14ac:dyDescent="0.35">
      <c r="A478" s="13" t="s">
        <v>270</v>
      </c>
      <c r="B478" s="8"/>
      <c r="C478" s="9"/>
      <c r="D478" s="10"/>
      <c r="E478" s="21"/>
      <c r="F478" s="22"/>
      <c r="G478" s="6"/>
    </row>
    <row r="479" spans="1:7" x14ac:dyDescent="0.35">
      <c r="A479" s="13" t="s">
        <v>271</v>
      </c>
      <c r="B479" s="8"/>
      <c r="C479" s="9"/>
      <c r="D479" s="10"/>
      <c r="E479" s="21"/>
      <c r="F479" s="22"/>
      <c r="G479" s="6"/>
    </row>
    <row r="480" spans="1:7" x14ac:dyDescent="0.35">
      <c r="A480" s="2"/>
      <c r="B480" s="2"/>
      <c r="C480" s="2"/>
      <c r="D480" s="2"/>
      <c r="E480" s="2"/>
      <c r="F480" s="2"/>
      <c r="G480" s="2"/>
    </row>
    <row r="481" spans="1:7" x14ac:dyDescent="0.35">
      <c r="A481" s="13" t="s">
        <v>21</v>
      </c>
      <c r="B481" s="15" t="s">
        <v>0</v>
      </c>
      <c r="C481" s="16" t="s">
        <v>1</v>
      </c>
      <c r="D481" s="17" t="s">
        <v>2</v>
      </c>
      <c r="E481" s="24" t="s">
        <v>3</v>
      </c>
      <c r="F481" s="23" t="s">
        <v>4</v>
      </c>
      <c r="G481" s="18" t="s">
        <v>5</v>
      </c>
    </row>
    <row r="482" spans="1:7" x14ac:dyDescent="0.35">
      <c r="A482" s="13" t="s">
        <v>242</v>
      </c>
      <c r="B482" s="8"/>
      <c r="C482" s="9"/>
      <c r="D482" s="10"/>
      <c r="E482" s="21"/>
      <c r="F482" s="22"/>
      <c r="G482" s="6"/>
    </row>
    <row r="483" spans="1:7" x14ac:dyDescent="0.35">
      <c r="A483" s="13" t="s">
        <v>243</v>
      </c>
      <c r="B483" s="8"/>
      <c r="C483" s="9"/>
      <c r="D483" s="10"/>
      <c r="E483" s="21"/>
      <c r="F483" s="22"/>
      <c r="G483" s="6"/>
    </row>
    <row r="484" spans="1:7" x14ac:dyDescent="0.35">
      <c r="A484" s="13" t="s">
        <v>244</v>
      </c>
      <c r="B484" s="8"/>
      <c r="C484" s="9"/>
      <c r="D484" s="10"/>
      <c r="E484" s="21"/>
      <c r="F484" s="22"/>
      <c r="G484" s="6"/>
    </row>
    <row r="485" spans="1:7" x14ac:dyDescent="0.35">
      <c r="A485" s="13" t="s">
        <v>245</v>
      </c>
      <c r="B485" s="8"/>
      <c r="C485" s="9"/>
      <c r="D485" s="10"/>
      <c r="E485" s="21"/>
      <c r="F485" s="22"/>
      <c r="G485" s="6"/>
    </row>
    <row r="486" spans="1:7" x14ac:dyDescent="0.35">
      <c r="A486" s="13" t="s">
        <v>246</v>
      </c>
      <c r="B486" s="8"/>
      <c r="C486" s="9"/>
      <c r="D486" s="10"/>
      <c r="E486" s="21"/>
      <c r="F486" s="22"/>
      <c r="G486" s="6"/>
    </row>
    <row r="487" spans="1:7" x14ac:dyDescent="0.35">
      <c r="A487" s="13" t="s">
        <v>247</v>
      </c>
      <c r="B487" s="8"/>
      <c r="C487" s="9"/>
      <c r="D487" s="10"/>
      <c r="E487" s="21"/>
      <c r="F487" s="22"/>
      <c r="G487" s="6"/>
    </row>
    <row r="488" spans="1:7" x14ac:dyDescent="0.35">
      <c r="A488" s="13" t="s">
        <v>248</v>
      </c>
      <c r="B488" s="8"/>
      <c r="C488" s="9"/>
      <c r="D488" s="10"/>
      <c r="E488" s="21"/>
      <c r="F488" s="22"/>
      <c r="G488" s="6"/>
    </row>
    <row r="489" spans="1:7" x14ac:dyDescent="0.35">
      <c r="A489" s="13" t="s">
        <v>249</v>
      </c>
      <c r="B489" s="8"/>
      <c r="C489" s="9"/>
      <c r="D489" s="10"/>
      <c r="E489" s="21"/>
      <c r="F489" s="22"/>
      <c r="G489" s="6"/>
    </row>
    <row r="490" spans="1:7" x14ac:dyDescent="0.35">
      <c r="A490" s="13" t="s">
        <v>250</v>
      </c>
      <c r="B490" s="8"/>
      <c r="C490" s="9"/>
      <c r="D490" s="10"/>
      <c r="E490" s="21"/>
      <c r="F490" s="22"/>
      <c r="G490" s="6"/>
    </row>
    <row r="491" spans="1:7" x14ac:dyDescent="0.35">
      <c r="A491" s="13" t="s">
        <v>251</v>
      </c>
      <c r="B491" s="8"/>
      <c r="C491" s="9"/>
      <c r="D491" s="10"/>
      <c r="E491" s="21"/>
      <c r="F491" s="22"/>
      <c r="G491" s="6"/>
    </row>
    <row r="492" spans="1:7" x14ac:dyDescent="0.35">
      <c r="A492" s="13" t="s">
        <v>252</v>
      </c>
      <c r="B492" s="8"/>
      <c r="C492" s="9"/>
      <c r="D492" s="10"/>
      <c r="E492" s="21"/>
      <c r="F492" s="22"/>
      <c r="G492" s="6"/>
    </row>
    <row r="493" spans="1:7" x14ac:dyDescent="0.35">
      <c r="A493" s="13" t="s">
        <v>253</v>
      </c>
      <c r="B493" s="8"/>
      <c r="C493" s="9"/>
      <c r="D493" s="10"/>
      <c r="E493" s="21"/>
      <c r="F493" s="22"/>
      <c r="G493" s="6"/>
    </row>
    <row r="494" spans="1:7" x14ac:dyDescent="0.35">
      <c r="A494" s="13" t="s">
        <v>254</v>
      </c>
      <c r="B494" s="8"/>
      <c r="C494" s="9"/>
      <c r="D494" s="10"/>
      <c r="E494" s="21"/>
      <c r="F494" s="22"/>
      <c r="G494" s="6"/>
    </row>
    <row r="495" spans="1:7" x14ac:dyDescent="0.35">
      <c r="A495" s="13" t="s">
        <v>255</v>
      </c>
      <c r="B495" s="8"/>
      <c r="C495" s="9"/>
      <c r="D495" s="10"/>
      <c r="E495" s="21"/>
      <c r="F495" s="22"/>
      <c r="G495" s="6"/>
    </row>
    <row r="496" spans="1:7" x14ac:dyDescent="0.35">
      <c r="A496" s="13" t="s">
        <v>256</v>
      </c>
      <c r="B496" s="8"/>
      <c r="C496" s="9"/>
      <c r="D496" s="10"/>
      <c r="E496" s="21"/>
      <c r="F496" s="22"/>
      <c r="G496" s="6"/>
    </row>
    <row r="497" spans="1:7" x14ac:dyDescent="0.35">
      <c r="A497" s="13" t="s">
        <v>257</v>
      </c>
      <c r="B497" s="8"/>
      <c r="C497" s="9"/>
      <c r="D497" s="10"/>
      <c r="E497" s="21"/>
      <c r="F497" s="22"/>
      <c r="G497" s="6"/>
    </row>
    <row r="498" spans="1:7" x14ac:dyDescent="0.35">
      <c r="A498" s="13" t="s">
        <v>258</v>
      </c>
      <c r="B498" s="8"/>
      <c r="C498" s="9"/>
      <c r="D498" s="10"/>
      <c r="E498" s="21"/>
      <c r="F498" s="22"/>
      <c r="G498" s="6"/>
    </row>
    <row r="499" spans="1:7" x14ac:dyDescent="0.35">
      <c r="A499" s="13" t="s">
        <v>259</v>
      </c>
      <c r="B499" s="8"/>
      <c r="C499" s="9"/>
      <c r="D499" s="10"/>
      <c r="E499" s="21"/>
      <c r="F499" s="22"/>
      <c r="G499" s="6"/>
    </row>
    <row r="500" spans="1:7" x14ac:dyDescent="0.35">
      <c r="A500" s="13" t="s">
        <v>260</v>
      </c>
      <c r="B500" s="8"/>
      <c r="C500" s="9"/>
      <c r="D500" s="10"/>
      <c r="E500" s="21"/>
      <c r="F500" s="22"/>
      <c r="G500" s="6"/>
    </row>
    <row r="501" spans="1:7" x14ac:dyDescent="0.35">
      <c r="A501" s="13" t="s">
        <v>261</v>
      </c>
      <c r="B501" s="8"/>
      <c r="C501" s="9"/>
      <c r="D501" s="10"/>
      <c r="E501" s="21"/>
      <c r="F501" s="22"/>
      <c r="G501" s="6"/>
    </row>
    <row r="502" spans="1:7" x14ac:dyDescent="0.35">
      <c r="A502" s="13" t="s">
        <v>262</v>
      </c>
      <c r="B502" s="8"/>
      <c r="C502" s="9"/>
      <c r="D502" s="10"/>
      <c r="E502" s="21"/>
      <c r="F502" s="22"/>
      <c r="G502" s="6"/>
    </row>
    <row r="503" spans="1:7" x14ac:dyDescent="0.35">
      <c r="A503" s="13" t="s">
        <v>263</v>
      </c>
      <c r="B503" s="8"/>
      <c r="C503" s="9"/>
      <c r="D503" s="10"/>
      <c r="E503" s="21"/>
      <c r="F503" s="22"/>
      <c r="G503" s="6"/>
    </row>
    <row r="504" spans="1:7" x14ac:dyDescent="0.35">
      <c r="A504" s="13" t="s">
        <v>264</v>
      </c>
      <c r="B504" s="8"/>
      <c r="C504" s="9"/>
      <c r="D504" s="10"/>
      <c r="E504" s="21"/>
      <c r="F504" s="22"/>
      <c r="G504" s="6"/>
    </row>
    <row r="505" spans="1:7" x14ac:dyDescent="0.35">
      <c r="A505" s="13" t="s">
        <v>265</v>
      </c>
      <c r="B505" s="8"/>
      <c r="C505" s="9"/>
      <c r="D505" s="10"/>
      <c r="E505" s="21"/>
      <c r="F505" s="22"/>
      <c r="G505" s="6"/>
    </row>
    <row r="506" spans="1:7" x14ac:dyDescent="0.35">
      <c r="A506" s="13" t="s">
        <v>266</v>
      </c>
      <c r="B506" s="8"/>
      <c r="C506" s="9"/>
      <c r="D506" s="10"/>
      <c r="E506" s="21"/>
      <c r="F506" s="22"/>
      <c r="G506" s="6"/>
    </row>
    <row r="507" spans="1:7" x14ac:dyDescent="0.35">
      <c r="A507" s="13" t="s">
        <v>267</v>
      </c>
      <c r="B507" s="8"/>
      <c r="C507" s="9"/>
      <c r="D507" s="10"/>
      <c r="E507" s="21"/>
      <c r="F507" s="22"/>
      <c r="G507" s="6"/>
    </row>
    <row r="508" spans="1:7" x14ac:dyDescent="0.35">
      <c r="A508" s="13" t="s">
        <v>268</v>
      </c>
      <c r="B508" s="8"/>
      <c r="C508" s="9"/>
      <c r="D508" s="10"/>
      <c r="E508" s="21"/>
      <c r="F508" s="22"/>
      <c r="G508" s="6"/>
    </row>
    <row r="509" spans="1:7" x14ac:dyDescent="0.35">
      <c r="A509" s="13" t="s">
        <v>269</v>
      </c>
      <c r="B509" s="8"/>
      <c r="C509" s="9"/>
      <c r="D509" s="10"/>
      <c r="E509" s="21"/>
      <c r="F509" s="22"/>
      <c r="G509" s="6"/>
    </row>
    <row r="510" spans="1:7" x14ac:dyDescent="0.35">
      <c r="A510" s="13" t="s">
        <v>270</v>
      </c>
      <c r="B510" s="8"/>
      <c r="C510" s="9"/>
      <c r="D510" s="10"/>
      <c r="E510" s="21"/>
      <c r="F510" s="22"/>
      <c r="G510" s="6"/>
    </row>
    <row r="511" spans="1:7" x14ac:dyDescent="0.35">
      <c r="A511" s="13" t="s">
        <v>271</v>
      </c>
      <c r="B511" s="8"/>
      <c r="C511" s="9"/>
      <c r="D511" s="10"/>
      <c r="E511" s="21"/>
      <c r="F511" s="22"/>
      <c r="G511" s="6"/>
    </row>
    <row r="512" spans="1:7" x14ac:dyDescent="0.35">
      <c r="A512" s="2"/>
      <c r="B512" s="2"/>
      <c r="C512" s="2"/>
      <c r="D512" s="2"/>
      <c r="E512" s="2"/>
      <c r="F512" s="2"/>
      <c r="G512" s="2"/>
    </row>
    <row r="513" spans="1:7" x14ac:dyDescent="0.35">
      <c r="A513" s="13" t="s">
        <v>22</v>
      </c>
      <c r="B513" s="15" t="s">
        <v>0</v>
      </c>
      <c r="C513" s="16" t="s">
        <v>1</v>
      </c>
      <c r="D513" s="17" t="s">
        <v>2</v>
      </c>
      <c r="E513" s="24" t="s">
        <v>3</v>
      </c>
      <c r="F513" s="23" t="s">
        <v>4</v>
      </c>
      <c r="G513" s="18" t="s">
        <v>5</v>
      </c>
    </row>
    <row r="514" spans="1:7" x14ac:dyDescent="0.35">
      <c r="A514" s="13" t="s">
        <v>242</v>
      </c>
      <c r="B514" s="8"/>
      <c r="C514" s="9"/>
      <c r="D514" s="10"/>
      <c r="E514" s="21"/>
      <c r="F514" s="22"/>
      <c r="G514" s="6"/>
    </row>
    <row r="515" spans="1:7" x14ac:dyDescent="0.35">
      <c r="A515" s="13" t="s">
        <v>243</v>
      </c>
      <c r="B515" s="8"/>
      <c r="C515" s="9"/>
      <c r="D515" s="10"/>
      <c r="E515" s="21"/>
      <c r="F515" s="22"/>
      <c r="G515" s="6"/>
    </row>
    <row r="516" spans="1:7" x14ac:dyDescent="0.35">
      <c r="A516" s="13" t="s">
        <v>244</v>
      </c>
      <c r="B516" s="8"/>
      <c r="C516" s="9"/>
      <c r="D516" s="10"/>
      <c r="E516" s="21"/>
      <c r="F516" s="22"/>
      <c r="G516" s="6"/>
    </row>
    <row r="517" spans="1:7" x14ac:dyDescent="0.35">
      <c r="A517" s="13" t="s">
        <v>245</v>
      </c>
      <c r="B517" s="8"/>
      <c r="C517" s="9"/>
      <c r="D517" s="10"/>
      <c r="E517" s="21"/>
      <c r="F517" s="22"/>
      <c r="G517" s="6"/>
    </row>
    <row r="518" spans="1:7" x14ac:dyDescent="0.35">
      <c r="A518" s="13" t="s">
        <v>246</v>
      </c>
      <c r="B518" s="8"/>
      <c r="C518" s="9"/>
      <c r="D518" s="10"/>
      <c r="E518" s="21"/>
      <c r="F518" s="22"/>
      <c r="G518" s="6"/>
    </row>
    <row r="519" spans="1:7" x14ac:dyDescent="0.35">
      <c r="A519" s="13" t="s">
        <v>247</v>
      </c>
      <c r="B519" s="8"/>
      <c r="C519" s="9"/>
      <c r="D519" s="10"/>
      <c r="E519" s="21"/>
      <c r="F519" s="22"/>
      <c r="G519" s="6"/>
    </row>
    <row r="520" spans="1:7" x14ac:dyDescent="0.35">
      <c r="A520" s="13" t="s">
        <v>248</v>
      </c>
      <c r="B520" s="8"/>
      <c r="C520" s="9"/>
      <c r="D520" s="10"/>
      <c r="E520" s="21"/>
      <c r="F520" s="22"/>
      <c r="G520" s="6"/>
    </row>
    <row r="521" spans="1:7" x14ac:dyDescent="0.35">
      <c r="A521" s="13" t="s">
        <v>249</v>
      </c>
      <c r="B521" s="8"/>
      <c r="C521" s="9"/>
      <c r="D521" s="10"/>
      <c r="E521" s="21"/>
      <c r="F521" s="22"/>
      <c r="G521" s="6"/>
    </row>
    <row r="522" spans="1:7" x14ac:dyDescent="0.35">
      <c r="A522" s="13" t="s">
        <v>250</v>
      </c>
      <c r="B522" s="8"/>
      <c r="C522" s="9"/>
      <c r="D522" s="10"/>
      <c r="E522" s="21"/>
      <c r="F522" s="22"/>
      <c r="G522" s="6"/>
    </row>
    <row r="523" spans="1:7" x14ac:dyDescent="0.35">
      <c r="A523" s="13" t="s">
        <v>251</v>
      </c>
      <c r="B523" s="8"/>
      <c r="C523" s="9"/>
      <c r="D523" s="10"/>
      <c r="E523" s="21"/>
      <c r="F523" s="22"/>
      <c r="G523" s="6"/>
    </row>
    <row r="524" spans="1:7" x14ac:dyDescent="0.35">
      <c r="A524" s="13" t="s">
        <v>252</v>
      </c>
      <c r="B524" s="8"/>
      <c r="C524" s="9"/>
      <c r="D524" s="10"/>
      <c r="E524" s="21"/>
      <c r="F524" s="22"/>
      <c r="G524" s="6"/>
    </row>
    <row r="525" spans="1:7" x14ac:dyDescent="0.35">
      <c r="A525" s="13" t="s">
        <v>253</v>
      </c>
      <c r="B525" s="8"/>
      <c r="C525" s="9"/>
      <c r="D525" s="10"/>
      <c r="E525" s="21"/>
      <c r="F525" s="22"/>
      <c r="G525" s="6"/>
    </row>
    <row r="526" spans="1:7" x14ac:dyDescent="0.35">
      <c r="A526" s="13" t="s">
        <v>254</v>
      </c>
      <c r="B526" s="8"/>
      <c r="C526" s="9"/>
      <c r="D526" s="10"/>
      <c r="E526" s="21"/>
      <c r="F526" s="22"/>
      <c r="G526" s="6"/>
    </row>
    <row r="527" spans="1:7" x14ac:dyDescent="0.35">
      <c r="A527" s="13" t="s">
        <v>255</v>
      </c>
      <c r="B527" s="8"/>
      <c r="C527" s="9"/>
      <c r="D527" s="10"/>
      <c r="E527" s="21"/>
      <c r="F527" s="22"/>
      <c r="G527" s="6"/>
    </row>
    <row r="528" spans="1:7" x14ac:dyDescent="0.35">
      <c r="A528" s="13" t="s">
        <v>256</v>
      </c>
      <c r="B528" s="8"/>
      <c r="C528" s="9"/>
      <c r="D528" s="10"/>
      <c r="E528" s="21"/>
      <c r="F528" s="22"/>
      <c r="G528" s="6"/>
    </row>
    <row r="529" spans="1:7" x14ac:dyDescent="0.35">
      <c r="A529" s="13" t="s">
        <v>257</v>
      </c>
      <c r="B529" s="8"/>
      <c r="C529" s="9"/>
      <c r="D529" s="10"/>
      <c r="E529" s="21"/>
      <c r="F529" s="22"/>
      <c r="G529" s="6"/>
    </row>
    <row r="530" spans="1:7" x14ac:dyDescent="0.35">
      <c r="A530" s="13" t="s">
        <v>258</v>
      </c>
      <c r="B530" s="8"/>
      <c r="C530" s="9"/>
      <c r="D530" s="10"/>
      <c r="E530" s="21"/>
      <c r="F530" s="22"/>
      <c r="G530" s="6"/>
    </row>
    <row r="531" spans="1:7" x14ac:dyDescent="0.35">
      <c r="A531" s="13" t="s">
        <v>259</v>
      </c>
      <c r="B531" s="8"/>
      <c r="C531" s="9"/>
      <c r="D531" s="10"/>
      <c r="E531" s="21"/>
      <c r="F531" s="22"/>
      <c r="G531" s="6"/>
    </row>
    <row r="532" spans="1:7" x14ac:dyDescent="0.35">
      <c r="A532" s="13" t="s">
        <v>260</v>
      </c>
      <c r="B532" s="8"/>
      <c r="C532" s="9"/>
      <c r="D532" s="10"/>
      <c r="E532" s="21"/>
      <c r="F532" s="22"/>
      <c r="G532" s="6"/>
    </row>
    <row r="533" spans="1:7" x14ac:dyDescent="0.35">
      <c r="A533" s="13" t="s">
        <v>261</v>
      </c>
      <c r="B533" s="8"/>
      <c r="C533" s="9"/>
      <c r="D533" s="10"/>
      <c r="E533" s="21"/>
      <c r="F533" s="22"/>
      <c r="G533" s="6"/>
    </row>
    <row r="534" spans="1:7" x14ac:dyDescent="0.35">
      <c r="A534" s="13" t="s">
        <v>262</v>
      </c>
      <c r="B534" s="8"/>
      <c r="C534" s="9"/>
      <c r="D534" s="10"/>
      <c r="E534" s="21"/>
      <c r="F534" s="22"/>
      <c r="G534" s="6"/>
    </row>
    <row r="535" spans="1:7" x14ac:dyDescent="0.35">
      <c r="A535" s="13" t="s">
        <v>263</v>
      </c>
      <c r="B535" s="8"/>
      <c r="C535" s="9"/>
      <c r="D535" s="10"/>
      <c r="E535" s="21"/>
      <c r="F535" s="22"/>
      <c r="G535" s="6"/>
    </row>
    <row r="536" spans="1:7" x14ac:dyDescent="0.35">
      <c r="A536" s="13" t="s">
        <v>264</v>
      </c>
      <c r="B536" s="8"/>
      <c r="C536" s="9"/>
      <c r="D536" s="10"/>
      <c r="E536" s="21"/>
      <c r="F536" s="22"/>
      <c r="G536" s="6"/>
    </row>
    <row r="537" spans="1:7" x14ac:dyDescent="0.35">
      <c r="A537" s="13" t="s">
        <v>265</v>
      </c>
      <c r="B537" s="8"/>
      <c r="C537" s="9"/>
      <c r="D537" s="10"/>
      <c r="E537" s="21"/>
      <c r="F537" s="22"/>
      <c r="G537" s="6"/>
    </row>
    <row r="538" spans="1:7" x14ac:dyDescent="0.35">
      <c r="A538" s="13" t="s">
        <v>266</v>
      </c>
      <c r="B538" s="8"/>
      <c r="C538" s="9"/>
      <c r="D538" s="10"/>
      <c r="E538" s="21"/>
      <c r="F538" s="22"/>
      <c r="G538" s="6"/>
    </row>
    <row r="539" spans="1:7" x14ac:dyDescent="0.35">
      <c r="A539" s="13" t="s">
        <v>267</v>
      </c>
      <c r="B539" s="8"/>
      <c r="C539" s="9"/>
      <c r="D539" s="10"/>
      <c r="E539" s="21"/>
      <c r="F539" s="22"/>
      <c r="G539" s="6"/>
    </row>
    <row r="540" spans="1:7" x14ac:dyDescent="0.35">
      <c r="A540" s="13" t="s">
        <v>268</v>
      </c>
      <c r="B540" s="8"/>
      <c r="C540" s="9"/>
      <c r="D540" s="10"/>
      <c r="E540" s="21"/>
      <c r="F540" s="22"/>
      <c r="G540" s="6"/>
    </row>
    <row r="541" spans="1:7" x14ac:dyDescent="0.35">
      <c r="A541" s="13" t="s">
        <v>269</v>
      </c>
      <c r="B541" s="8"/>
      <c r="C541" s="9"/>
      <c r="D541" s="10"/>
      <c r="E541" s="21"/>
      <c r="F541" s="22"/>
      <c r="G541" s="6"/>
    </row>
    <row r="542" spans="1:7" x14ac:dyDescent="0.35">
      <c r="A542" s="13" t="s">
        <v>270</v>
      </c>
      <c r="B542" s="8"/>
      <c r="C542" s="9"/>
      <c r="D542" s="10"/>
      <c r="E542" s="21"/>
      <c r="F542" s="22"/>
      <c r="G542" s="6"/>
    </row>
    <row r="543" spans="1:7" x14ac:dyDescent="0.35">
      <c r="A543" s="13" t="s">
        <v>271</v>
      </c>
      <c r="B543" s="8"/>
      <c r="C543" s="9"/>
      <c r="D543" s="10"/>
      <c r="E543" s="21"/>
      <c r="F543" s="22"/>
      <c r="G543" s="6"/>
    </row>
    <row r="544" spans="1:7" x14ac:dyDescent="0.35">
      <c r="A544" s="2"/>
      <c r="B544" s="2"/>
      <c r="C544" s="2"/>
      <c r="D544" s="2"/>
      <c r="E544" s="2"/>
      <c r="F544" s="2"/>
      <c r="G544" s="2"/>
    </row>
    <row r="545" spans="1:7" x14ac:dyDescent="0.35">
      <c r="A545" s="13" t="s">
        <v>23</v>
      </c>
      <c r="B545" s="15" t="s">
        <v>0</v>
      </c>
      <c r="C545" s="16" t="s">
        <v>1</v>
      </c>
      <c r="D545" s="17" t="s">
        <v>2</v>
      </c>
      <c r="E545" s="24" t="s">
        <v>3</v>
      </c>
      <c r="F545" s="23" t="s">
        <v>4</v>
      </c>
      <c r="G545" s="18" t="s">
        <v>5</v>
      </c>
    </row>
    <row r="546" spans="1:7" x14ac:dyDescent="0.35">
      <c r="A546" s="13" t="s">
        <v>242</v>
      </c>
      <c r="B546" s="8"/>
      <c r="C546" s="9"/>
      <c r="D546" s="10"/>
      <c r="E546" s="21"/>
      <c r="F546" s="22"/>
      <c r="G546" s="6"/>
    </row>
    <row r="547" spans="1:7" x14ac:dyDescent="0.35">
      <c r="A547" s="13" t="s">
        <v>243</v>
      </c>
      <c r="B547" s="8"/>
      <c r="C547" s="9"/>
      <c r="D547" s="10"/>
      <c r="E547" s="21"/>
      <c r="F547" s="22"/>
      <c r="G547" s="6"/>
    </row>
    <row r="548" spans="1:7" x14ac:dyDescent="0.35">
      <c r="A548" s="13" t="s">
        <v>244</v>
      </c>
      <c r="B548" s="8"/>
      <c r="C548" s="9"/>
      <c r="D548" s="10"/>
      <c r="E548" s="21"/>
      <c r="F548" s="22"/>
      <c r="G548" s="6"/>
    </row>
    <row r="549" spans="1:7" x14ac:dyDescent="0.35">
      <c r="A549" s="13" t="s">
        <v>245</v>
      </c>
      <c r="B549" s="8"/>
      <c r="C549" s="9"/>
      <c r="D549" s="10"/>
      <c r="E549" s="21"/>
      <c r="F549" s="22"/>
      <c r="G549" s="6"/>
    </row>
    <row r="550" spans="1:7" x14ac:dyDescent="0.35">
      <c r="A550" s="13" t="s">
        <v>246</v>
      </c>
      <c r="B550" s="8"/>
      <c r="C550" s="9"/>
      <c r="D550" s="10"/>
      <c r="E550" s="21"/>
      <c r="F550" s="22"/>
      <c r="G550" s="6"/>
    </row>
    <row r="551" spans="1:7" x14ac:dyDescent="0.35">
      <c r="A551" s="13" t="s">
        <v>247</v>
      </c>
      <c r="B551" s="8"/>
      <c r="C551" s="9"/>
      <c r="D551" s="10"/>
      <c r="E551" s="21"/>
      <c r="F551" s="22"/>
      <c r="G551" s="6"/>
    </row>
    <row r="552" spans="1:7" x14ac:dyDescent="0.35">
      <c r="A552" s="13" t="s">
        <v>248</v>
      </c>
      <c r="B552" s="8"/>
      <c r="C552" s="9"/>
      <c r="D552" s="10"/>
      <c r="E552" s="21"/>
      <c r="F552" s="22"/>
      <c r="G552" s="6"/>
    </row>
    <row r="553" spans="1:7" x14ac:dyDescent="0.35">
      <c r="A553" s="13" t="s">
        <v>249</v>
      </c>
      <c r="B553" s="8"/>
      <c r="C553" s="9"/>
      <c r="D553" s="10"/>
      <c r="E553" s="21"/>
      <c r="F553" s="22"/>
      <c r="G553" s="6"/>
    </row>
    <row r="554" spans="1:7" x14ac:dyDescent="0.35">
      <c r="A554" s="13" t="s">
        <v>250</v>
      </c>
      <c r="B554" s="8"/>
      <c r="C554" s="9"/>
      <c r="D554" s="10"/>
      <c r="E554" s="21"/>
      <c r="F554" s="22"/>
      <c r="G554" s="6"/>
    </row>
    <row r="555" spans="1:7" x14ac:dyDescent="0.35">
      <c r="A555" s="13" t="s">
        <v>251</v>
      </c>
      <c r="B555" s="8"/>
      <c r="C555" s="9"/>
      <c r="D555" s="10"/>
      <c r="E555" s="21"/>
      <c r="F555" s="22"/>
      <c r="G555" s="6"/>
    </row>
    <row r="556" spans="1:7" x14ac:dyDescent="0.35">
      <c r="A556" s="13" t="s">
        <v>252</v>
      </c>
      <c r="B556" s="8"/>
      <c r="C556" s="9"/>
      <c r="D556" s="10"/>
      <c r="E556" s="21"/>
      <c r="F556" s="22"/>
      <c r="G556" s="6"/>
    </row>
    <row r="557" spans="1:7" x14ac:dyDescent="0.35">
      <c r="A557" s="13" t="s">
        <v>253</v>
      </c>
      <c r="B557" s="8"/>
      <c r="C557" s="9"/>
      <c r="D557" s="10"/>
      <c r="E557" s="21"/>
      <c r="F557" s="22"/>
      <c r="G557" s="6"/>
    </row>
    <row r="558" spans="1:7" x14ac:dyDescent="0.35">
      <c r="A558" s="13" t="s">
        <v>254</v>
      </c>
      <c r="B558" s="8"/>
      <c r="C558" s="9"/>
      <c r="D558" s="10"/>
      <c r="E558" s="21"/>
      <c r="F558" s="22"/>
      <c r="G558" s="6"/>
    </row>
    <row r="559" spans="1:7" x14ac:dyDescent="0.35">
      <c r="A559" s="13" t="s">
        <v>255</v>
      </c>
      <c r="B559" s="8"/>
      <c r="C559" s="9"/>
      <c r="D559" s="10"/>
      <c r="E559" s="21"/>
      <c r="F559" s="22"/>
      <c r="G559" s="6"/>
    </row>
    <row r="560" spans="1:7" x14ac:dyDescent="0.35">
      <c r="A560" s="13" t="s">
        <v>256</v>
      </c>
      <c r="B560" s="8"/>
      <c r="C560" s="9"/>
      <c r="D560" s="10"/>
      <c r="E560" s="21"/>
      <c r="F560" s="22"/>
      <c r="G560" s="6"/>
    </row>
    <row r="561" spans="1:7" x14ac:dyDescent="0.35">
      <c r="A561" s="13" t="s">
        <v>257</v>
      </c>
      <c r="B561" s="8"/>
      <c r="C561" s="9"/>
      <c r="D561" s="10"/>
      <c r="E561" s="21"/>
      <c r="F561" s="22"/>
      <c r="G561" s="6"/>
    </row>
    <row r="562" spans="1:7" x14ac:dyDescent="0.35">
      <c r="A562" s="13" t="s">
        <v>258</v>
      </c>
      <c r="B562" s="8"/>
      <c r="C562" s="9"/>
      <c r="D562" s="10"/>
      <c r="E562" s="21"/>
      <c r="F562" s="22"/>
      <c r="G562" s="6"/>
    </row>
    <row r="563" spans="1:7" x14ac:dyDescent="0.35">
      <c r="A563" s="13" t="s">
        <v>259</v>
      </c>
      <c r="B563" s="8"/>
      <c r="C563" s="9"/>
      <c r="D563" s="10"/>
      <c r="E563" s="21"/>
      <c r="F563" s="22"/>
      <c r="G563" s="6"/>
    </row>
    <row r="564" spans="1:7" x14ac:dyDescent="0.35">
      <c r="A564" s="13" t="s">
        <v>260</v>
      </c>
      <c r="B564" s="8"/>
      <c r="C564" s="9"/>
      <c r="D564" s="10"/>
      <c r="E564" s="21"/>
      <c r="F564" s="22"/>
      <c r="G564" s="6"/>
    </row>
    <row r="565" spans="1:7" x14ac:dyDescent="0.35">
      <c r="A565" s="13" t="s">
        <v>261</v>
      </c>
      <c r="B565" s="8"/>
      <c r="C565" s="9"/>
      <c r="D565" s="10"/>
      <c r="E565" s="21"/>
      <c r="F565" s="22"/>
      <c r="G565" s="6"/>
    </row>
    <row r="566" spans="1:7" x14ac:dyDescent="0.35">
      <c r="A566" s="13" t="s">
        <v>262</v>
      </c>
      <c r="B566" s="8"/>
      <c r="C566" s="9"/>
      <c r="D566" s="10"/>
      <c r="E566" s="21"/>
      <c r="F566" s="22"/>
      <c r="G566" s="6"/>
    </row>
    <row r="567" spans="1:7" x14ac:dyDescent="0.35">
      <c r="A567" s="13" t="s">
        <v>263</v>
      </c>
      <c r="B567" s="8"/>
      <c r="C567" s="9"/>
      <c r="D567" s="10"/>
      <c r="E567" s="21"/>
      <c r="F567" s="22"/>
      <c r="G567" s="6"/>
    </row>
    <row r="568" spans="1:7" x14ac:dyDescent="0.35">
      <c r="A568" s="13" t="s">
        <v>264</v>
      </c>
      <c r="B568" s="8"/>
      <c r="C568" s="9"/>
      <c r="D568" s="10"/>
      <c r="E568" s="21"/>
      <c r="F568" s="22"/>
      <c r="G568" s="6"/>
    </row>
    <row r="569" spans="1:7" x14ac:dyDescent="0.35">
      <c r="A569" s="13" t="s">
        <v>265</v>
      </c>
      <c r="B569" s="8"/>
      <c r="C569" s="9"/>
      <c r="D569" s="10"/>
      <c r="E569" s="21"/>
      <c r="F569" s="22"/>
      <c r="G569" s="6"/>
    </row>
    <row r="570" spans="1:7" x14ac:dyDescent="0.35">
      <c r="A570" s="13" t="s">
        <v>266</v>
      </c>
      <c r="B570" s="8"/>
      <c r="C570" s="9"/>
      <c r="D570" s="10"/>
      <c r="E570" s="21"/>
      <c r="F570" s="22"/>
      <c r="G570" s="6"/>
    </row>
    <row r="571" spans="1:7" x14ac:dyDescent="0.35">
      <c r="A571" s="13" t="s">
        <v>267</v>
      </c>
      <c r="B571" s="8"/>
      <c r="C571" s="9"/>
      <c r="D571" s="10"/>
      <c r="E571" s="21"/>
      <c r="F571" s="22"/>
      <c r="G571" s="6"/>
    </row>
    <row r="572" spans="1:7" x14ac:dyDescent="0.35">
      <c r="A572" s="13" t="s">
        <v>268</v>
      </c>
      <c r="B572" s="8"/>
      <c r="C572" s="9"/>
      <c r="D572" s="10"/>
      <c r="E572" s="21"/>
      <c r="F572" s="22"/>
      <c r="G572" s="6"/>
    </row>
    <row r="573" spans="1:7" x14ac:dyDescent="0.35">
      <c r="A573" s="13" t="s">
        <v>269</v>
      </c>
      <c r="B573" s="8"/>
      <c r="C573" s="9"/>
      <c r="D573" s="10"/>
      <c r="E573" s="21"/>
      <c r="F573" s="22"/>
      <c r="G573" s="6"/>
    </row>
    <row r="574" spans="1:7" x14ac:dyDescent="0.35">
      <c r="A574" s="13" t="s">
        <v>270</v>
      </c>
      <c r="B574" s="8"/>
      <c r="C574" s="9"/>
      <c r="D574" s="10"/>
      <c r="E574" s="21"/>
      <c r="F574" s="22"/>
      <c r="G574" s="6"/>
    </row>
    <row r="575" spans="1:7" x14ac:dyDescent="0.35">
      <c r="A575" s="13" t="s">
        <v>271</v>
      </c>
      <c r="B575" s="8"/>
      <c r="C575" s="9"/>
      <c r="D575" s="10"/>
      <c r="E575" s="21"/>
      <c r="F575" s="22"/>
      <c r="G575" s="6"/>
    </row>
    <row r="576" spans="1:7" x14ac:dyDescent="0.35">
      <c r="A576" s="2"/>
      <c r="B576" s="2"/>
      <c r="C576" s="2"/>
      <c r="D576" s="2"/>
      <c r="E576" s="2"/>
      <c r="F576" s="2"/>
      <c r="G576" s="2"/>
    </row>
    <row r="577" spans="1:7" x14ac:dyDescent="0.35">
      <c r="A577" s="13" t="s">
        <v>24</v>
      </c>
      <c r="B577" s="15" t="s">
        <v>0</v>
      </c>
      <c r="C577" s="16" t="s">
        <v>1</v>
      </c>
      <c r="D577" s="17" t="s">
        <v>2</v>
      </c>
      <c r="E577" s="24" t="s">
        <v>3</v>
      </c>
      <c r="F577" s="23" t="s">
        <v>4</v>
      </c>
      <c r="G577" s="18" t="s">
        <v>5</v>
      </c>
    </row>
    <row r="578" spans="1:7" x14ac:dyDescent="0.35">
      <c r="A578" s="13" t="s">
        <v>242</v>
      </c>
      <c r="B578" s="8"/>
      <c r="C578" s="9"/>
      <c r="D578" s="10"/>
      <c r="E578" s="21"/>
      <c r="F578" s="22"/>
      <c r="G578" s="6"/>
    </row>
    <row r="579" spans="1:7" x14ac:dyDescent="0.35">
      <c r="A579" s="13" t="s">
        <v>243</v>
      </c>
      <c r="B579" s="8"/>
      <c r="C579" s="9"/>
      <c r="D579" s="10"/>
      <c r="E579" s="21"/>
      <c r="F579" s="22"/>
      <c r="G579" s="6"/>
    </row>
    <row r="580" spans="1:7" x14ac:dyDescent="0.35">
      <c r="A580" s="13" t="s">
        <v>244</v>
      </c>
      <c r="B580" s="8"/>
      <c r="C580" s="9"/>
      <c r="D580" s="10"/>
      <c r="E580" s="21"/>
      <c r="F580" s="22"/>
      <c r="G580" s="6"/>
    </row>
    <row r="581" spans="1:7" x14ac:dyDescent="0.35">
      <c r="A581" s="13" t="s">
        <v>245</v>
      </c>
      <c r="B581" s="8"/>
      <c r="C581" s="9"/>
      <c r="D581" s="10"/>
      <c r="E581" s="21"/>
      <c r="F581" s="22"/>
      <c r="G581" s="6"/>
    </row>
    <row r="582" spans="1:7" x14ac:dyDescent="0.35">
      <c r="A582" s="13" t="s">
        <v>246</v>
      </c>
      <c r="B582" s="8"/>
      <c r="C582" s="9"/>
      <c r="D582" s="10"/>
      <c r="E582" s="21"/>
      <c r="F582" s="22"/>
      <c r="G582" s="6"/>
    </row>
    <row r="583" spans="1:7" x14ac:dyDescent="0.35">
      <c r="A583" s="13" t="s">
        <v>247</v>
      </c>
      <c r="B583" s="8"/>
      <c r="C583" s="9"/>
      <c r="D583" s="10"/>
      <c r="E583" s="21"/>
      <c r="F583" s="22"/>
      <c r="G583" s="6"/>
    </row>
    <row r="584" spans="1:7" x14ac:dyDescent="0.35">
      <c r="A584" s="13" t="s">
        <v>248</v>
      </c>
      <c r="B584" s="8"/>
      <c r="C584" s="9"/>
      <c r="D584" s="10"/>
      <c r="E584" s="21"/>
      <c r="F584" s="22"/>
      <c r="G584" s="6"/>
    </row>
    <row r="585" spans="1:7" x14ac:dyDescent="0.35">
      <c r="A585" s="13" t="s">
        <v>249</v>
      </c>
      <c r="B585" s="8"/>
      <c r="C585" s="9"/>
      <c r="D585" s="10"/>
      <c r="E585" s="21"/>
      <c r="F585" s="22"/>
      <c r="G585" s="6"/>
    </row>
    <row r="586" spans="1:7" x14ac:dyDescent="0.35">
      <c r="A586" s="13" t="s">
        <v>250</v>
      </c>
      <c r="B586" s="8"/>
      <c r="C586" s="9"/>
      <c r="D586" s="10"/>
      <c r="E586" s="21"/>
      <c r="F586" s="22"/>
      <c r="G586" s="6"/>
    </row>
    <row r="587" spans="1:7" x14ac:dyDescent="0.35">
      <c r="A587" s="13" t="s">
        <v>251</v>
      </c>
      <c r="B587" s="8"/>
      <c r="C587" s="9"/>
      <c r="D587" s="10"/>
      <c r="E587" s="21"/>
      <c r="F587" s="22"/>
      <c r="G587" s="6"/>
    </row>
    <row r="588" spans="1:7" x14ac:dyDescent="0.35">
      <c r="A588" s="13" t="s">
        <v>252</v>
      </c>
      <c r="B588" s="8"/>
      <c r="C588" s="9"/>
      <c r="D588" s="10"/>
      <c r="E588" s="21"/>
      <c r="F588" s="22"/>
      <c r="G588" s="6"/>
    </row>
    <row r="589" spans="1:7" x14ac:dyDescent="0.35">
      <c r="A589" s="13" t="s">
        <v>253</v>
      </c>
      <c r="B589" s="8"/>
      <c r="C589" s="9"/>
      <c r="D589" s="10"/>
      <c r="E589" s="21"/>
      <c r="F589" s="22"/>
      <c r="G589" s="6"/>
    </row>
    <row r="590" spans="1:7" x14ac:dyDescent="0.35">
      <c r="A590" s="13" t="s">
        <v>254</v>
      </c>
      <c r="B590" s="8"/>
      <c r="C590" s="9"/>
      <c r="D590" s="10"/>
      <c r="E590" s="21"/>
      <c r="F590" s="22"/>
      <c r="G590" s="6"/>
    </row>
    <row r="591" spans="1:7" x14ac:dyDescent="0.35">
      <c r="A591" s="13" t="s">
        <v>255</v>
      </c>
      <c r="B591" s="8"/>
      <c r="C591" s="9"/>
      <c r="D591" s="10"/>
      <c r="E591" s="21"/>
      <c r="F591" s="22"/>
      <c r="G591" s="6"/>
    </row>
    <row r="592" spans="1:7" x14ac:dyDescent="0.35">
      <c r="A592" s="13" t="s">
        <v>256</v>
      </c>
      <c r="B592" s="8"/>
      <c r="C592" s="9"/>
      <c r="D592" s="10"/>
      <c r="E592" s="21"/>
      <c r="F592" s="22"/>
      <c r="G592" s="6"/>
    </row>
    <row r="593" spans="1:7" x14ac:dyDescent="0.35">
      <c r="A593" s="13" t="s">
        <v>257</v>
      </c>
      <c r="B593" s="8"/>
      <c r="C593" s="9"/>
      <c r="D593" s="10"/>
      <c r="E593" s="21"/>
      <c r="F593" s="22"/>
      <c r="G593" s="6"/>
    </row>
    <row r="594" spans="1:7" x14ac:dyDescent="0.35">
      <c r="A594" s="13" t="s">
        <v>258</v>
      </c>
      <c r="B594" s="8"/>
      <c r="C594" s="9"/>
      <c r="D594" s="10"/>
      <c r="E594" s="21"/>
      <c r="F594" s="22"/>
      <c r="G594" s="6"/>
    </row>
    <row r="595" spans="1:7" x14ac:dyDescent="0.35">
      <c r="A595" s="13" t="s">
        <v>259</v>
      </c>
      <c r="B595" s="8"/>
      <c r="C595" s="9"/>
      <c r="D595" s="10"/>
      <c r="E595" s="21"/>
      <c r="F595" s="22"/>
      <c r="G595" s="6"/>
    </row>
    <row r="596" spans="1:7" x14ac:dyDescent="0.35">
      <c r="A596" s="13" t="s">
        <v>260</v>
      </c>
      <c r="B596" s="8"/>
      <c r="C596" s="9"/>
      <c r="D596" s="10"/>
      <c r="E596" s="21"/>
      <c r="F596" s="22"/>
      <c r="G596" s="6"/>
    </row>
    <row r="597" spans="1:7" x14ac:dyDescent="0.35">
      <c r="A597" s="13" t="s">
        <v>261</v>
      </c>
      <c r="B597" s="8"/>
      <c r="C597" s="9"/>
      <c r="D597" s="10"/>
      <c r="E597" s="21"/>
      <c r="F597" s="22"/>
      <c r="G597" s="6"/>
    </row>
    <row r="598" spans="1:7" x14ac:dyDescent="0.35">
      <c r="A598" s="13" t="s">
        <v>262</v>
      </c>
      <c r="B598" s="8"/>
      <c r="C598" s="9"/>
      <c r="D598" s="10"/>
      <c r="E598" s="21"/>
      <c r="F598" s="22"/>
      <c r="G598" s="6"/>
    </row>
    <row r="599" spans="1:7" x14ac:dyDescent="0.35">
      <c r="A599" s="13" t="s">
        <v>263</v>
      </c>
      <c r="B599" s="8"/>
      <c r="C599" s="9"/>
      <c r="D599" s="10"/>
      <c r="E599" s="21"/>
      <c r="F599" s="22"/>
      <c r="G599" s="6"/>
    </row>
    <row r="600" spans="1:7" x14ac:dyDescent="0.35">
      <c r="A600" s="13" t="s">
        <v>264</v>
      </c>
      <c r="B600" s="8"/>
      <c r="C600" s="9"/>
      <c r="D600" s="10"/>
      <c r="E600" s="21"/>
      <c r="F600" s="22"/>
      <c r="G600" s="6"/>
    </row>
    <row r="601" spans="1:7" x14ac:dyDescent="0.35">
      <c r="A601" s="13" t="s">
        <v>265</v>
      </c>
      <c r="B601" s="8"/>
      <c r="C601" s="9"/>
      <c r="D601" s="10"/>
      <c r="E601" s="21"/>
      <c r="F601" s="22"/>
      <c r="G601" s="6"/>
    </row>
    <row r="602" spans="1:7" x14ac:dyDescent="0.35">
      <c r="A602" s="13" t="s">
        <v>266</v>
      </c>
      <c r="B602" s="8"/>
      <c r="C602" s="9"/>
      <c r="D602" s="10"/>
      <c r="E602" s="21"/>
      <c r="F602" s="22"/>
      <c r="G602" s="6"/>
    </row>
    <row r="603" spans="1:7" x14ac:dyDescent="0.35">
      <c r="A603" s="13" t="s">
        <v>267</v>
      </c>
      <c r="B603" s="8"/>
      <c r="C603" s="9"/>
      <c r="D603" s="10"/>
      <c r="E603" s="21"/>
      <c r="F603" s="22"/>
      <c r="G603" s="6"/>
    </row>
    <row r="604" spans="1:7" x14ac:dyDescent="0.35">
      <c r="A604" s="13" t="s">
        <v>268</v>
      </c>
      <c r="B604" s="8"/>
      <c r="C604" s="9"/>
      <c r="D604" s="10"/>
      <c r="E604" s="21"/>
      <c r="F604" s="22"/>
      <c r="G604" s="6"/>
    </row>
    <row r="605" spans="1:7" x14ac:dyDescent="0.35">
      <c r="A605" s="13" t="s">
        <v>269</v>
      </c>
      <c r="B605" s="8"/>
      <c r="C605" s="9"/>
      <c r="D605" s="10"/>
      <c r="E605" s="21"/>
      <c r="F605" s="22"/>
      <c r="G605" s="6"/>
    </row>
    <row r="606" spans="1:7" x14ac:dyDescent="0.35">
      <c r="A606" s="13" t="s">
        <v>270</v>
      </c>
      <c r="B606" s="8"/>
      <c r="C606" s="9"/>
      <c r="D606" s="10"/>
      <c r="E606" s="21"/>
      <c r="F606" s="22"/>
      <c r="G606" s="6"/>
    </row>
    <row r="607" spans="1:7" x14ac:dyDescent="0.35">
      <c r="A607" s="13" t="s">
        <v>271</v>
      </c>
      <c r="B607" s="8"/>
      <c r="C607" s="9"/>
      <c r="D607" s="10"/>
      <c r="E607" s="21"/>
      <c r="F607" s="22"/>
      <c r="G607" s="6"/>
    </row>
    <row r="608" spans="1:7" x14ac:dyDescent="0.35">
      <c r="A608" s="2"/>
      <c r="B608" s="2"/>
      <c r="C608" s="2"/>
      <c r="D608" s="2"/>
      <c r="E608" s="2"/>
      <c r="F608" s="2"/>
      <c r="G608" s="2"/>
    </row>
    <row r="609" spans="1:7" x14ac:dyDescent="0.35">
      <c r="A609" s="13" t="s">
        <v>25</v>
      </c>
      <c r="B609" s="15" t="s">
        <v>0</v>
      </c>
      <c r="C609" s="16" t="s">
        <v>1</v>
      </c>
      <c r="D609" s="17" t="s">
        <v>2</v>
      </c>
      <c r="E609" s="24" t="s">
        <v>3</v>
      </c>
      <c r="F609" s="23" t="s">
        <v>4</v>
      </c>
      <c r="G609" s="18" t="s">
        <v>5</v>
      </c>
    </row>
    <row r="610" spans="1:7" x14ac:dyDescent="0.35">
      <c r="A610" s="13" t="s">
        <v>242</v>
      </c>
      <c r="B610" s="8"/>
      <c r="C610" s="9"/>
      <c r="D610" s="10"/>
      <c r="E610" s="21"/>
      <c r="F610" s="22"/>
      <c r="G610" s="6"/>
    </row>
    <row r="611" spans="1:7" x14ac:dyDescent="0.35">
      <c r="A611" s="13" t="s">
        <v>243</v>
      </c>
      <c r="B611" s="8"/>
      <c r="C611" s="9"/>
      <c r="D611" s="10"/>
      <c r="E611" s="21"/>
      <c r="F611" s="22"/>
      <c r="G611" s="6"/>
    </row>
    <row r="612" spans="1:7" x14ac:dyDescent="0.35">
      <c r="A612" s="13" t="s">
        <v>244</v>
      </c>
      <c r="B612" s="8"/>
      <c r="C612" s="9"/>
      <c r="D612" s="10"/>
      <c r="E612" s="21"/>
      <c r="F612" s="22"/>
      <c r="G612" s="6"/>
    </row>
    <row r="613" spans="1:7" x14ac:dyDescent="0.35">
      <c r="A613" s="13" t="s">
        <v>245</v>
      </c>
      <c r="B613" s="8"/>
      <c r="C613" s="9"/>
      <c r="D613" s="10"/>
      <c r="E613" s="21"/>
      <c r="F613" s="22"/>
      <c r="G613" s="6"/>
    </row>
    <row r="614" spans="1:7" x14ac:dyDescent="0.35">
      <c r="A614" s="13" t="s">
        <v>246</v>
      </c>
      <c r="B614" s="8"/>
      <c r="C614" s="9"/>
      <c r="D614" s="10"/>
      <c r="E614" s="21"/>
      <c r="F614" s="22"/>
      <c r="G614" s="6"/>
    </row>
    <row r="615" spans="1:7" x14ac:dyDescent="0.35">
      <c r="A615" s="13" t="s">
        <v>247</v>
      </c>
      <c r="B615" s="8"/>
      <c r="C615" s="9"/>
      <c r="D615" s="10"/>
      <c r="E615" s="21"/>
      <c r="F615" s="22"/>
      <c r="G615" s="6"/>
    </row>
    <row r="616" spans="1:7" x14ac:dyDescent="0.35">
      <c r="A616" s="13" t="s">
        <v>248</v>
      </c>
      <c r="B616" s="8"/>
      <c r="C616" s="9"/>
      <c r="D616" s="10"/>
      <c r="E616" s="21"/>
      <c r="F616" s="22"/>
      <c r="G616" s="6"/>
    </row>
    <row r="617" spans="1:7" x14ac:dyDescent="0.35">
      <c r="A617" s="13" t="s">
        <v>249</v>
      </c>
      <c r="B617" s="8"/>
      <c r="C617" s="9"/>
      <c r="D617" s="10"/>
      <c r="E617" s="21"/>
      <c r="F617" s="22"/>
      <c r="G617" s="6"/>
    </row>
    <row r="618" spans="1:7" x14ac:dyDescent="0.35">
      <c r="A618" s="13" t="s">
        <v>250</v>
      </c>
      <c r="B618" s="8"/>
      <c r="C618" s="9"/>
      <c r="D618" s="10"/>
      <c r="E618" s="21"/>
      <c r="F618" s="22"/>
      <c r="G618" s="6"/>
    </row>
    <row r="619" spans="1:7" x14ac:dyDescent="0.35">
      <c r="A619" s="13" t="s">
        <v>251</v>
      </c>
      <c r="B619" s="8"/>
      <c r="C619" s="9"/>
      <c r="D619" s="10"/>
      <c r="E619" s="21"/>
      <c r="F619" s="22"/>
      <c r="G619" s="6"/>
    </row>
    <row r="620" spans="1:7" x14ac:dyDescent="0.35">
      <c r="A620" s="13" t="s">
        <v>252</v>
      </c>
      <c r="B620" s="8"/>
      <c r="C620" s="9"/>
      <c r="D620" s="10"/>
      <c r="E620" s="21"/>
      <c r="F620" s="22"/>
      <c r="G620" s="6"/>
    </row>
    <row r="621" spans="1:7" x14ac:dyDescent="0.35">
      <c r="A621" s="13" t="s">
        <v>253</v>
      </c>
      <c r="B621" s="8"/>
      <c r="C621" s="9"/>
      <c r="D621" s="10"/>
      <c r="E621" s="21"/>
      <c r="F621" s="22"/>
      <c r="G621" s="6"/>
    </row>
    <row r="622" spans="1:7" x14ac:dyDescent="0.35">
      <c r="A622" s="13" t="s">
        <v>254</v>
      </c>
      <c r="B622" s="8"/>
      <c r="C622" s="9"/>
      <c r="D622" s="10"/>
      <c r="E622" s="21"/>
      <c r="F622" s="22"/>
      <c r="G622" s="6"/>
    </row>
    <row r="623" spans="1:7" x14ac:dyDescent="0.35">
      <c r="A623" s="13" t="s">
        <v>255</v>
      </c>
      <c r="B623" s="8"/>
      <c r="C623" s="9"/>
      <c r="D623" s="10"/>
      <c r="E623" s="21"/>
      <c r="F623" s="22"/>
      <c r="G623" s="6"/>
    </row>
    <row r="624" spans="1:7" x14ac:dyDescent="0.35">
      <c r="A624" s="13" t="s">
        <v>256</v>
      </c>
      <c r="B624" s="8"/>
      <c r="C624" s="9"/>
      <c r="D624" s="10"/>
      <c r="E624" s="21"/>
      <c r="F624" s="22"/>
      <c r="G624" s="6"/>
    </row>
    <row r="625" spans="1:7" x14ac:dyDescent="0.35">
      <c r="A625" s="13" t="s">
        <v>257</v>
      </c>
      <c r="B625" s="8"/>
      <c r="C625" s="9"/>
      <c r="D625" s="10"/>
      <c r="E625" s="21"/>
      <c r="F625" s="22"/>
      <c r="G625" s="6"/>
    </row>
    <row r="626" spans="1:7" x14ac:dyDescent="0.35">
      <c r="A626" s="13" t="s">
        <v>258</v>
      </c>
      <c r="B626" s="8"/>
      <c r="C626" s="9"/>
      <c r="D626" s="10"/>
      <c r="E626" s="21"/>
      <c r="F626" s="22"/>
      <c r="G626" s="6"/>
    </row>
    <row r="627" spans="1:7" x14ac:dyDescent="0.35">
      <c r="A627" s="13" t="s">
        <v>259</v>
      </c>
      <c r="B627" s="8"/>
      <c r="C627" s="9"/>
      <c r="D627" s="10"/>
      <c r="E627" s="21"/>
      <c r="F627" s="22"/>
      <c r="G627" s="6"/>
    </row>
    <row r="628" spans="1:7" x14ac:dyDescent="0.35">
      <c r="A628" s="13" t="s">
        <v>260</v>
      </c>
      <c r="B628" s="8"/>
      <c r="C628" s="9"/>
      <c r="D628" s="10"/>
      <c r="E628" s="21"/>
      <c r="F628" s="22"/>
      <c r="G628" s="6"/>
    </row>
    <row r="629" spans="1:7" x14ac:dyDescent="0.35">
      <c r="A629" s="13" t="s">
        <v>261</v>
      </c>
      <c r="B629" s="8"/>
      <c r="C629" s="9"/>
      <c r="D629" s="10"/>
      <c r="E629" s="21"/>
      <c r="F629" s="22"/>
      <c r="G629" s="6"/>
    </row>
    <row r="630" spans="1:7" x14ac:dyDescent="0.35">
      <c r="A630" s="13" t="s">
        <v>262</v>
      </c>
      <c r="B630" s="8"/>
      <c r="C630" s="9"/>
      <c r="D630" s="10"/>
      <c r="E630" s="21"/>
      <c r="F630" s="22"/>
      <c r="G630" s="6"/>
    </row>
    <row r="631" spans="1:7" x14ac:dyDescent="0.35">
      <c r="A631" s="13" t="s">
        <v>263</v>
      </c>
      <c r="B631" s="8"/>
      <c r="C631" s="9"/>
      <c r="D631" s="10"/>
      <c r="E631" s="21"/>
      <c r="F631" s="22"/>
      <c r="G631" s="6"/>
    </row>
    <row r="632" spans="1:7" x14ac:dyDescent="0.35">
      <c r="A632" s="13" t="s">
        <v>264</v>
      </c>
      <c r="B632" s="8"/>
      <c r="C632" s="9"/>
      <c r="D632" s="10"/>
      <c r="E632" s="21"/>
      <c r="F632" s="22"/>
      <c r="G632" s="6"/>
    </row>
    <row r="633" spans="1:7" x14ac:dyDescent="0.35">
      <c r="A633" s="13" t="s">
        <v>265</v>
      </c>
      <c r="B633" s="8"/>
      <c r="C633" s="9"/>
      <c r="D633" s="10"/>
      <c r="E633" s="21"/>
      <c r="F633" s="22"/>
      <c r="G633" s="6"/>
    </row>
    <row r="634" spans="1:7" x14ac:dyDescent="0.35">
      <c r="A634" s="13" t="s">
        <v>266</v>
      </c>
      <c r="B634" s="8"/>
      <c r="C634" s="9"/>
      <c r="D634" s="10"/>
      <c r="E634" s="21"/>
      <c r="F634" s="22"/>
      <c r="G634" s="6"/>
    </row>
    <row r="635" spans="1:7" x14ac:dyDescent="0.35">
      <c r="A635" s="13" t="s">
        <v>267</v>
      </c>
      <c r="B635" s="8"/>
      <c r="C635" s="9"/>
      <c r="D635" s="10"/>
      <c r="E635" s="21"/>
      <c r="F635" s="22"/>
      <c r="G635" s="6"/>
    </row>
    <row r="636" spans="1:7" x14ac:dyDescent="0.35">
      <c r="A636" s="13" t="s">
        <v>268</v>
      </c>
      <c r="B636" s="8"/>
      <c r="C636" s="9"/>
      <c r="D636" s="10"/>
      <c r="E636" s="21"/>
      <c r="F636" s="22"/>
      <c r="G636" s="6"/>
    </row>
    <row r="637" spans="1:7" x14ac:dyDescent="0.35">
      <c r="A637" s="13" t="s">
        <v>269</v>
      </c>
      <c r="B637" s="8"/>
      <c r="C637" s="9"/>
      <c r="D637" s="10"/>
      <c r="E637" s="21"/>
      <c r="F637" s="22"/>
      <c r="G637" s="6"/>
    </row>
    <row r="638" spans="1:7" x14ac:dyDescent="0.35">
      <c r="A638" s="13" t="s">
        <v>270</v>
      </c>
      <c r="B638" s="8"/>
      <c r="C638" s="9"/>
      <c r="D638" s="10"/>
      <c r="E638" s="21"/>
      <c r="F638" s="22"/>
      <c r="G638" s="6"/>
    </row>
    <row r="639" spans="1:7" x14ac:dyDescent="0.35">
      <c r="A639" s="13" t="s">
        <v>271</v>
      </c>
      <c r="B639" s="8"/>
      <c r="C639" s="9"/>
      <c r="D639" s="10"/>
      <c r="E639" s="21"/>
      <c r="F639" s="22"/>
      <c r="G639" s="6"/>
    </row>
    <row r="640" spans="1:7" x14ac:dyDescent="0.35">
      <c r="A640" s="2"/>
      <c r="B640" s="2"/>
      <c r="C640" s="2"/>
      <c r="D640" s="2"/>
      <c r="E640" s="2"/>
      <c r="F640" s="2"/>
      <c r="G640" s="2"/>
    </row>
    <row r="641" spans="1:7" x14ac:dyDescent="0.35">
      <c r="A641" s="13" t="s">
        <v>26</v>
      </c>
      <c r="B641" s="15" t="s">
        <v>0</v>
      </c>
      <c r="C641" s="16" t="s">
        <v>1</v>
      </c>
      <c r="D641" s="17" t="s">
        <v>2</v>
      </c>
      <c r="E641" s="24" t="s">
        <v>3</v>
      </c>
      <c r="F641" s="23" t="s">
        <v>4</v>
      </c>
      <c r="G641" s="18" t="s">
        <v>5</v>
      </c>
    </row>
    <row r="642" spans="1:7" x14ac:dyDescent="0.35">
      <c r="A642" s="13" t="s">
        <v>242</v>
      </c>
      <c r="B642" s="8"/>
      <c r="C642" s="9"/>
      <c r="D642" s="10"/>
      <c r="E642" s="21"/>
      <c r="F642" s="22"/>
      <c r="G642" s="6"/>
    </row>
    <row r="643" spans="1:7" x14ac:dyDescent="0.35">
      <c r="A643" s="13" t="s">
        <v>243</v>
      </c>
      <c r="B643" s="8"/>
      <c r="C643" s="9"/>
      <c r="D643" s="10"/>
      <c r="E643" s="21"/>
      <c r="F643" s="22"/>
      <c r="G643" s="6"/>
    </row>
    <row r="644" spans="1:7" x14ac:dyDescent="0.35">
      <c r="A644" s="13" t="s">
        <v>244</v>
      </c>
      <c r="B644" s="8"/>
      <c r="C644" s="9"/>
      <c r="D644" s="10"/>
      <c r="E644" s="21"/>
      <c r="F644" s="22"/>
      <c r="G644" s="6"/>
    </row>
    <row r="645" spans="1:7" x14ac:dyDescent="0.35">
      <c r="A645" s="13" t="s">
        <v>245</v>
      </c>
      <c r="B645" s="8"/>
      <c r="C645" s="9"/>
      <c r="D645" s="10"/>
      <c r="E645" s="21"/>
      <c r="F645" s="22"/>
      <c r="G645" s="6"/>
    </row>
    <row r="646" spans="1:7" x14ac:dyDescent="0.35">
      <c r="A646" s="13" t="s">
        <v>246</v>
      </c>
      <c r="B646" s="8"/>
      <c r="C646" s="9"/>
      <c r="D646" s="10"/>
      <c r="E646" s="21"/>
      <c r="F646" s="22"/>
      <c r="G646" s="6"/>
    </row>
    <row r="647" spans="1:7" x14ac:dyDescent="0.35">
      <c r="A647" s="13" t="s">
        <v>247</v>
      </c>
      <c r="B647" s="8"/>
      <c r="C647" s="9"/>
      <c r="D647" s="10"/>
      <c r="E647" s="21"/>
      <c r="F647" s="22"/>
      <c r="G647" s="6"/>
    </row>
    <row r="648" spans="1:7" x14ac:dyDescent="0.35">
      <c r="A648" s="13" t="s">
        <v>248</v>
      </c>
      <c r="B648" s="8"/>
      <c r="C648" s="9"/>
      <c r="D648" s="10"/>
      <c r="E648" s="21"/>
      <c r="F648" s="22"/>
      <c r="G648" s="6"/>
    </row>
    <row r="649" spans="1:7" x14ac:dyDescent="0.35">
      <c r="A649" s="13" t="s">
        <v>249</v>
      </c>
      <c r="B649" s="8"/>
      <c r="C649" s="9"/>
      <c r="D649" s="10"/>
      <c r="E649" s="21"/>
      <c r="F649" s="22"/>
      <c r="G649" s="6"/>
    </row>
    <row r="650" spans="1:7" x14ac:dyDescent="0.35">
      <c r="A650" s="13" t="s">
        <v>250</v>
      </c>
      <c r="B650" s="8"/>
      <c r="C650" s="9"/>
      <c r="D650" s="10"/>
      <c r="E650" s="21"/>
      <c r="F650" s="22"/>
      <c r="G650" s="6"/>
    </row>
    <row r="651" spans="1:7" x14ac:dyDescent="0.35">
      <c r="A651" s="13" t="s">
        <v>251</v>
      </c>
      <c r="B651" s="8"/>
      <c r="C651" s="9"/>
      <c r="D651" s="10"/>
      <c r="E651" s="21"/>
      <c r="F651" s="22"/>
      <c r="G651" s="6"/>
    </row>
    <row r="652" spans="1:7" x14ac:dyDescent="0.35">
      <c r="A652" s="13" t="s">
        <v>252</v>
      </c>
      <c r="B652" s="8"/>
      <c r="C652" s="9"/>
      <c r="D652" s="10"/>
      <c r="E652" s="21"/>
      <c r="F652" s="22"/>
      <c r="G652" s="6"/>
    </row>
    <row r="653" spans="1:7" x14ac:dyDescent="0.35">
      <c r="A653" s="13" t="s">
        <v>253</v>
      </c>
      <c r="B653" s="8"/>
      <c r="C653" s="9"/>
      <c r="D653" s="10"/>
      <c r="E653" s="21"/>
      <c r="F653" s="22"/>
      <c r="G653" s="6"/>
    </row>
    <row r="654" spans="1:7" x14ac:dyDescent="0.35">
      <c r="A654" s="13" t="s">
        <v>254</v>
      </c>
      <c r="B654" s="8"/>
      <c r="C654" s="9"/>
      <c r="D654" s="10"/>
      <c r="E654" s="21"/>
      <c r="F654" s="22"/>
      <c r="G654" s="6"/>
    </row>
    <row r="655" spans="1:7" x14ac:dyDescent="0.35">
      <c r="A655" s="13" t="s">
        <v>255</v>
      </c>
      <c r="B655" s="8"/>
      <c r="C655" s="9"/>
      <c r="D655" s="10"/>
      <c r="E655" s="21"/>
      <c r="F655" s="22"/>
      <c r="G655" s="6"/>
    </row>
    <row r="656" spans="1:7" x14ac:dyDescent="0.35">
      <c r="A656" s="13" t="s">
        <v>256</v>
      </c>
      <c r="B656" s="8"/>
      <c r="C656" s="9"/>
      <c r="D656" s="10"/>
      <c r="E656" s="21"/>
      <c r="F656" s="22"/>
      <c r="G656" s="6"/>
    </row>
    <row r="657" spans="1:7" x14ac:dyDescent="0.35">
      <c r="A657" s="13" t="s">
        <v>257</v>
      </c>
      <c r="B657" s="8"/>
      <c r="C657" s="9"/>
      <c r="D657" s="10"/>
      <c r="E657" s="21"/>
      <c r="F657" s="22"/>
      <c r="G657" s="6"/>
    </row>
    <row r="658" spans="1:7" x14ac:dyDescent="0.35">
      <c r="A658" s="13" t="s">
        <v>258</v>
      </c>
      <c r="B658" s="8"/>
      <c r="C658" s="9"/>
      <c r="D658" s="10"/>
      <c r="E658" s="21"/>
      <c r="F658" s="22"/>
      <c r="G658" s="6"/>
    </row>
    <row r="659" spans="1:7" x14ac:dyDescent="0.35">
      <c r="A659" s="13" t="s">
        <v>259</v>
      </c>
      <c r="B659" s="8"/>
      <c r="C659" s="9"/>
      <c r="D659" s="10"/>
      <c r="E659" s="21"/>
      <c r="F659" s="22"/>
      <c r="G659" s="6"/>
    </row>
    <row r="660" spans="1:7" x14ac:dyDescent="0.35">
      <c r="A660" s="13" t="s">
        <v>260</v>
      </c>
      <c r="B660" s="8"/>
      <c r="C660" s="9"/>
      <c r="D660" s="10"/>
      <c r="E660" s="21"/>
      <c r="F660" s="22"/>
      <c r="G660" s="6"/>
    </row>
    <row r="661" spans="1:7" x14ac:dyDescent="0.35">
      <c r="A661" s="13" t="s">
        <v>261</v>
      </c>
      <c r="B661" s="8"/>
      <c r="C661" s="9"/>
      <c r="D661" s="10"/>
      <c r="E661" s="21"/>
      <c r="F661" s="22"/>
      <c r="G661" s="6"/>
    </row>
    <row r="662" spans="1:7" x14ac:dyDescent="0.35">
      <c r="A662" s="13" t="s">
        <v>262</v>
      </c>
      <c r="B662" s="8"/>
      <c r="C662" s="9"/>
      <c r="D662" s="10"/>
      <c r="E662" s="21"/>
      <c r="F662" s="22"/>
      <c r="G662" s="6"/>
    </row>
    <row r="663" spans="1:7" x14ac:dyDescent="0.35">
      <c r="A663" s="13" t="s">
        <v>263</v>
      </c>
      <c r="B663" s="8"/>
      <c r="C663" s="9"/>
      <c r="D663" s="10"/>
      <c r="E663" s="21"/>
      <c r="F663" s="22"/>
      <c r="G663" s="6"/>
    </row>
    <row r="664" spans="1:7" x14ac:dyDescent="0.35">
      <c r="A664" s="13" t="s">
        <v>264</v>
      </c>
      <c r="B664" s="8"/>
      <c r="C664" s="9"/>
      <c r="D664" s="10"/>
      <c r="E664" s="21"/>
      <c r="F664" s="22"/>
      <c r="G664" s="6"/>
    </row>
    <row r="665" spans="1:7" x14ac:dyDescent="0.35">
      <c r="A665" s="13" t="s">
        <v>265</v>
      </c>
      <c r="B665" s="8"/>
      <c r="C665" s="9"/>
      <c r="D665" s="10"/>
      <c r="E665" s="21"/>
      <c r="F665" s="22"/>
      <c r="G665" s="6"/>
    </row>
    <row r="666" spans="1:7" x14ac:dyDescent="0.35">
      <c r="A666" s="13" t="s">
        <v>266</v>
      </c>
      <c r="B666" s="8"/>
      <c r="C666" s="9"/>
      <c r="D666" s="10"/>
      <c r="E666" s="21"/>
      <c r="F666" s="22"/>
      <c r="G666" s="6"/>
    </row>
    <row r="667" spans="1:7" x14ac:dyDescent="0.35">
      <c r="A667" s="13" t="s">
        <v>267</v>
      </c>
      <c r="B667" s="8"/>
      <c r="C667" s="9"/>
      <c r="D667" s="10"/>
      <c r="E667" s="21"/>
      <c r="F667" s="22"/>
      <c r="G667" s="6"/>
    </row>
    <row r="668" spans="1:7" x14ac:dyDescent="0.35">
      <c r="A668" s="13" t="s">
        <v>268</v>
      </c>
      <c r="B668" s="8"/>
      <c r="C668" s="9"/>
      <c r="D668" s="10"/>
      <c r="E668" s="21"/>
      <c r="F668" s="22"/>
      <c r="G668" s="6"/>
    </row>
    <row r="669" spans="1:7" x14ac:dyDescent="0.35">
      <c r="A669" s="13" t="s">
        <v>269</v>
      </c>
      <c r="B669" s="8"/>
      <c r="C669" s="9"/>
      <c r="D669" s="10"/>
      <c r="E669" s="21"/>
      <c r="F669" s="22"/>
      <c r="G669" s="6"/>
    </row>
    <row r="670" spans="1:7" x14ac:dyDescent="0.35">
      <c r="A670" s="13" t="s">
        <v>270</v>
      </c>
      <c r="B670" s="8"/>
      <c r="C670" s="9"/>
      <c r="D670" s="10"/>
      <c r="E670" s="21"/>
      <c r="F670" s="22"/>
      <c r="G670" s="6"/>
    </row>
    <row r="671" spans="1:7" x14ac:dyDescent="0.35">
      <c r="A671" s="13" t="s">
        <v>271</v>
      </c>
      <c r="B671" s="8"/>
      <c r="C671" s="9"/>
      <c r="D671" s="10"/>
      <c r="E671" s="21"/>
      <c r="F671" s="22"/>
      <c r="G671" s="6"/>
    </row>
    <row r="672" spans="1:7" x14ac:dyDescent="0.35">
      <c r="A672" s="2"/>
      <c r="B672" s="2"/>
      <c r="C672" s="2"/>
      <c r="D672" s="2"/>
      <c r="E672" s="2"/>
      <c r="F672" s="2"/>
      <c r="G672" s="2"/>
    </row>
    <row r="673" spans="1:7" x14ac:dyDescent="0.35">
      <c r="A673" s="13" t="s">
        <v>27</v>
      </c>
      <c r="B673" s="15" t="s">
        <v>0</v>
      </c>
      <c r="C673" s="16" t="s">
        <v>1</v>
      </c>
      <c r="D673" s="17" t="s">
        <v>2</v>
      </c>
      <c r="E673" s="24" t="s">
        <v>3</v>
      </c>
      <c r="F673" s="23" t="s">
        <v>4</v>
      </c>
      <c r="G673" s="18" t="s">
        <v>5</v>
      </c>
    </row>
    <row r="674" spans="1:7" x14ac:dyDescent="0.35">
      <c r="A674" s="13" t="s">
        <v>242</v>
      </c>
      <c r="B674" s="8"/>
      <c r="C674" s="9"/>
      <c r="D674" s="10"/>
      <c r="E674" s="21"/>
      <c r="F674" s="22"/>
      <c r="G674" s="6"/>
    </row>
    <row r="675" spans="1:7" x14ac:dyDescent="0.35">
      <c r="A675" s="13" t="s">
        <v>243</v>
      </c>
      <c r="B675" s="8"/>
      <c r="C675" s="9"/>
      <c r="D675" s="10"/>
      <c r="E675" s="21"/>
      <c r="F675" s="22"/>
      <c r="G675" s="6"/>
    </row>
    <row r="676" spans="1:7" x14ac:dyDescent="0.35">
      <c r="A676" s="13" t="s">
        <v>244</v>
      </c>
      <c r="B676" s="8"/>
      <c r="C676" s="9"/>
      <c r="D676" s="10"/>
      <c r="E676" s="21"/>
      <c r="F676" s="22"/>
      <c r="G676" s="6"/>
    </row>
    <row r="677" spans="1:7" x14ac:dyDescent="0.35">
      <c r="A677" s="13" t="s">
        <v>245</v>
      </c>
      <c r="B677" s="8"/>
      <c r="C677" s="9"/>
      <c r="D677" s="10"/>
      <c r="E677" s="21"/>
      <c r="F677" s="22"/>
      <c r="G677" s="6"/>
    </row>
    <row r="678" spans="1:7" x14ac:dyDescent="0.35">
      <c r="A678" s="13" t="s">
        <v>246</v>
      </c>
      <c r="B678" s="8"/>
      <c r="C678" s="9"/>
      <c r="D678" s="10"/>
      <c r="E678" s="21"/>
      <c r="F678" s="22"/>
      <c r="G678" s="6"/>
    </row>
    <row r="679" spans="1:7" x14ac:dyDescent="0.35">
      <c r="A679" s="13" t="s">
        <v>247</v>
      </c>
      <c r="B679" s="8"/>
      <c r="C679" s="9"/>
      <c r="D679" s="10"/>
      <c r="E679" s="21"/>
      <c r="F679" s="22"/>
      <c r="G679" s="6"/>
    </row>
    <row r="680" spans="1:7" x14ac:dyDescent="0.35">
      <c r="A680" s="13" t="s">
        <v>248</v>
      </c>
      <c r="B680" s="8"/>
      <c r="C680" s="9"/>
      <c r="D680" s="10"/>
      <c r="E680" s="21"/>
      <c r="F680" s="22"/>
      <c r="G680" s="6"/>
    </row>
    <row r="681" spans="1:7" x14ac:dyDescent="0.35">
      <c r="A681" s="13" t="s">
        <v>249</v>
      </c>
      <c r="B681" s="8"/>
      <c r="C681" s="9"/>
      <c r="D681" s="10"/>
      <c r="E681" s="21"/>
      <c r="F681" s="22"/>
      <c r="G681" s="6"/>
    </row>
    <row r="682" spans="1:7" x14ac:dyDescent="0.35">
      <c r="A682" s="13" t="s">
        <v>250</v>
      </c>
      <c r="B682" s="8"/>
      <c r="C682" s="9"/>
      <c r="D682" s="10"/>
      <c r="E682" s="21"/>
      <c r="F682" s="22"/>
      <c r="G682" s="6"/>
    </row>
    <row r="683" spans="1:7" x14ac:dyDescent="0.35">
      <c r="A683" s="13" t="s">
        <v>251</v>
      </c>
      <c r="B683" s="8"/>
      <c r="C683" s="9"/>
      <c r="D683" s="10"/>
      <c r="E683" s="21"/>
      <c r="F683" s="22"/>
      <c r="G683" s="6"/>
    </row>
    <row r="684" spans="1:7" x14ac:dyDescent="0.35">
      <c r="A684" s="13" t="s">
        <v>252</v>
      </c>
      <c r="B684" s="8"/>
      <c r="C684" s="9"/>
      <c r="D684" s="10"/>
      <c r="E684" s="21"/>
      <c r="F684" s="22"/>
      <c r="G684" s="6"/>
    </row>
    <row r="685" spans="1:7" x14ac:dyDescent="0.35">
      <c r="A685" s="13" t="s">
        <v>253</v>
      </c>
      <c r="B685" s="8"/>
      <c r="C685" s="9"/>
      <c r="D685" s="10"/>
      <c r="E685" s="21"/>
      <c r="F685" s="22"/>
      <c r="G685" s="6"/>
    </row>
    <row r="686" spans="1:7" x14ac:dyDescent="0.35">
      <c r="A686" s="13" t="s">
        <v>254</v>
      </c>
      <c r="B686" s="8"/>
      <c r="C686" s="9"/>
      <c r="D686" s="10"/>
      <c r="E686" s="21"/>
      <c r="F686" s="22"/>
      <c r="G686" s="6"/>
    </row>
    <row r="687" spans="1:7" x14ac:dyDescent="0.35">
      <c r="A687" s="13" t="s">
        <v>255</v>
      </c>
      <c r="B687" s="8"/>
      <c r="C687" s="9"/>
      <c r="D687" s="10"/>
      <c r="E687" s="21"/>
      <c r="F687" s="22"/>
      <c r="G687" s="6"/>
    </row>
    <row r="688" spans="1:7" x14ac:dyDescent="0.35">
      <c r="A688" s="13" t="s">
        <v>256</v>
      </c>
      <c r="B688" s="8"/>
      <c r="C688" s="9"/>
      <c r="D688" s="10"/>
      <c r="E688" s="21"/>
      <c r="F688" s="22"/>
      <c r="G688" s="6"/>
    </row>
    <row r="689" spans="1:7" x14ac:dyDescent="0.35">
      <c r="A689" s="13" t="s">
        <v>257</v>
      </c>
      <c r="B689" s="8"/>
      <c r="C689" s="9"/>
      <c r="D689" s="10"/>
      <c r="E689" s="21"/>
      <c r="F689" s="22"/>
      <c r="G689" s="6"/>
    </row>
    <row r="690" spans="1:7" x14ac:dyDescent="0.35">
      <c r="A690" s="13" t="s">
        <v>258</v>
      </c>
      <c r="B690" s="8"/>
      <c r="C690" s="9"/>
      <c r="D690" s="10"/>
      <c r="E690" s="21"/>
      <c r="F690" s="22"/>
      <c r="G690" s="6"/>
    </row>
    <row r="691" spans="1:7" x14ac:dyDescent="0.35">
      <c r="A691" s="13" t="s">
        <v>259</v>
      </c>
      <c r="B691" s="8"/>
      <c r="C691" s="9"/>
      <c r="D691" s="10"/>
      <c r="E691" s="21"/>
      <c r="F691" s="22"/>
      <c r="G691" s="6"/>
    </row>
    <row r="692" spans="1:7" x14ac:dyDescent="0.35">
      <c r="A692" s="13" t="s">
        <v>260</v>
      </c>
      <c r="B692" s="8"/>
      <c r="C692" s="9"/>
      <c r="D692" s="10"/>
      <c r="E692" s="21"/>
      <c r="F692" s="22"/>
      <c r="G692" s="6"/>
    </row>
    <row r="693" spans="1:7" x14ac:dyDescent="0.35">
      <c r="A693" s="13" t="s">
        <v>261</v>
      </c>
      <c r="B693" s="8"/>
      <c r="C693" s="9"/>
      <c r="D693" s="10"/>
      <c r="E693" s="21"/>
      <c r="F693" s="22"/>
      <c r="G693" s="6"/>
    </row>
    <row r="694" spans="1:7" x14ac:dyDescent="0.35">
      <c r="A694" s="13" t="s">
        <v>262</v>
      </c>
      <c r="B694" s="8"/>
      <c r="C694" s="9"/>
      <c r="D694" s="10"/>
      <c r="E694" s="21"/>
      <c r="F694" s="22"/>
      <c r="G694" s="6"/>
    </row>
    <row r="695" spans="1:7" x14ac:dyDescent="0.35">
      <c r="A695" s="13" t="s">
        <v>263</v>
      </c>
      <c r="B695" s="8"/>
      <c r="C695" s="9"/>
      <c r="D695" s="10"/>
      <c r="E695" s="21"/>
      <c r="F695" s="22"/>
      <c r="G695" s="6"/>
    </row>
    <row r="696" spans="1:7" x14ac:dyDescent="0.35">
      <c r="A696" s="13" t="s">
        <v>264</v>
      </c>
      <c r="B696" s="8"/>
      <c r="C696" s="9"/>
      <c r="D696" s="10"/>
      <c r="E696" s="21"/>
      <c r="F696" s="22"/>
      <c r="G696" s="6"/>
    </row>
    <row r="697" spans="1:7" x14ac:dyDescent="0.35">
      <c r="A697" s="13" t="s">
        <v>265</v>
      </c>
      <c r="B697" s="8"/>
      <c r="C697" s="9"/>
      <c r="D697" s="10"/>
      <c r="E697" s="21"/>
      <c r="F697" s="22"/>
      <c r="G697" s="6"/>
    </row>
    <row r="698" spans="1:7" x14ac:dyDescent="0.35">
      <c r="A698" s="13" t="s">
        <v>266</v>
      </c>
      <c r="B698" s="8"/>
      <c r="C698" s="9"/>
      <c r="D698" s="10"/>
      <c r="E698" s="21"/>
      <c r="F698" s="22"/>
      <c r="G698" s="6"/>
    </row>
    <row r="699" spans="1:7" x14ac:dyDescent="0.35">
      <c r="A699" s="13" t="s">
        <v>267</v>
      </c>
      <c r="B699" s="8"/>
      <c r="C699" s="9"/>
      <c r="D699" s="10"/>
      <c r="E699" s="21"/>
      <c r="F699" s="22"/>
      <c r="G699" s="6"/>
    </row>
    <row r="700" spans="1:7" x14ac:dyDescent="0.35">
      <c r="A700" s="13" t="s">
        <v>268</v>
      </c>
      <c r="B700" s="8"/>
      <c r="C700" s="9"/>
      <c r="D700" s="10"/>
      <c r="E700" s="21"/>
      <c r="F700" s="22"/>
      <c r="G700" s="6"/>
    </row>
    <row r="701" spans="1:7" x14ac:dyDescent="0.35">
      <c r="A701" s="13" t="s">
        <v>269</v>
      </c>
      <c r="B701" s="8"/>
      <c r="C701" s="9"/>
      <c r="D701" s="10"/>
      <c r="E701" s="21"/>
      <c r="F701" s="22"/>
      <c r="G701" s="6"/>
    </row>
    <row r="702" spans="1:7" x14ac:dyDescent="0.35">
      <c r="A702" s="13" t="s">
        <v>270</v>
      </c>
      <c r="B702" s="8"/>
      <c r="C702" s="9"/>
      <c r="D702" s="10"/>
      <c r="E702" s="21"/>
      <c r="F702" s="22"/>
      <c r="G702" s="6"/>
    </row>
    <row r="703" spans="1:7" x14ac:dyDescent="0.35">
      <c r="A703" s="13" t="s">
        <v>271</v>
      </c>
      <c r="B703" s="8"/>
      <c r="C703" s="9"/>
      <c r="D703" s="10"/>
      <c r="E703" s="21"/>
      <c r="F703" s="22"/>
      <c r="G703" s="6"/>
    </row>
    <row r="704" spans="1:7" x14ac:dyDescent="0.35">
      <c r="A704" s="2"/>
      <c r="B704" s="2"/>
      <c r="C704" s="2"/>
      <c r="D704" s="2"/>
      <c r="E704" s="2"/>
      <c r="F704" s="2"/>
      <c r="G704" s="2"/>
    </row>
    <row r="705" spans="1:7" x14ac:dyDescent="0.35">
      <c r="A705" s="13" t="s">
        <v>28</v>
      </c>
      <c r="B705" s="15" t="s">
        <v>0</v>
      </c>
      <c r="C705" s="16" t="s">
        <v>1</v>
      </c>
      <c r="D705" s="17" t="s">
        <v>2</v>
      </c>
      <c r="E705" s="24" t="s">
        <v>3</v>
      </c>
      <c r="F705" s="23" t="s">
        <v>4</v>
      </c>
      <c r="G705" s="18" t="s">
        <v>5</v>
      </c>
    </row>
    <row r="706" spans="1:7" x14ac:dyDescent="0.35">
      <c r="A706" s="13" t="s">
        <v>242</v>
      </c>
      <c r="B706" s="8"/>
      <c r="C706" s="9"/>
      <c r="D706" s="10"/>
      <c r="E706" s="21"/>
      <c r="F706" s="22"/>
      <c r="G706" s="6"/>
    </row>
    <row r="707" spans="1:7" x14ac:dyDescent="0.35">
      <c r="A707" s="13" t="s">
        <v>243</v>
      </c>
      <c r="B707" s="8"/>
      <c r="C707" s="9"/>
      <c r="D707" s="10"/>
      <c r="E707" s="21"/>
      <c r="F707" s="22"/>
      <c r="G707" s="6"/>
    </row>
    <row r="708" spans="1:7" x14ac:dyDescent="0.35">
      <c r="A708" s="13" t="s">
        <v>244</v>
      </c>
      <c r="B708" s="8"/>
      <c r="C708" s="9"/>
      <c r="D708" s="10"/>
      <c r="E708" s="21"/>
      <c r="F708" s="22"/>
      <c r="G708" s="6"/>
    </row>
    <row r="709" spans="1:7" x14ac:dyDescent="0.35">
      <c r="A709" s="13" t="s">
        <v>245</v>
      </c>
      <c r="B709" s="8"/>
      <c r="C709" s="9"/>
      <c r="D709" s="10"/>
      <c r="E709" s="21"/>
      <c r="F709" s="22"/>
      <c r="G709" s="6"/>
    </row>
    <row r="710" spans="1:7" x14ac:dyDescent="0.35">
      <c r="A710" s="13" t="s">
        <v>246</v>
      </c>
      <c r="B710" s="8"/>
      <c r="C710" s="9"/>
      <c r="D710" s="10"/>
      <c r="E710" s="21"/>
      <c r="F710" s="22"/>
      <c r="G710" s="6"/>
    </row>
    <row r="711" spans="1:7" x14ac:dyDescent="0.35">
      <c r="A711" s="13" t="s">
        <v>247</v>
      </c>
      <c r="B711" s="8"/>
      <c r="C711" s="9"/>
      <c r="D711" s="10"/>
      <c r="E711" s="21"/>
      <c r="F711" s="22"/>
      <c r="G711" s="6"/>
    </row>
    <row r="712" spans="1:7" x14ac:dyDescent="0.35">
      <c r="A712" s="13" t="s">
        <v>248</v>
      </c>
      <c r="B712" s="8"/>
      <c r="C712" s="9"/>
      <c r="D712" s="10"/>
      <c r="E712" s="21"/>
      <c r="F712" s="22"/>
      <c r="G712" s="6"/>
    </row>
    <row r="713" spans="1:7" x14ac:dyDescent="0.35">
      <c r="A713" s="13" t="s">
        <v>249</v>
      </c>
      <c r="B713" s="8"/>
      <c r="C713" s="9"/>
      <c r="D713" s="10"/>
      <c r="E713" s="21"/>
      <c r="F713" s="22"/>
      <c r="G713" s="6"/>
    </row>
    <row r="714" spans="1:7" x14ac:dyDescent="0.35">
      <c r="A714" s="13" t="s">
        <v>250</v>
      </c>
      <c r="B714" s="8"/>
      <c r="C714" s="9"/>
      <c r="D714" s="10"/>
      <c r="E714" s="21"/>
      <c r="F714" s="22"/>
      <c r="G714" s="6"/>
    </row>
    <row r="715" spans="1:7" x14ac:dyDescent="0.35">
      <c r="A715" s="13" t="s">
        <v>251</v>
      </c>
      <c r="B715" s="8"/>
      <c r="C715" s="9"/>
      <c r="D715" s="10"/>
      <c r="E715" s="21"/>
      <c r="F715" s="22"/>
      <c r="G715" s="6"/>
    </row>
    <row r="716" spans="1:7" x14ac:dyDescent="0.35">
      <c r="A716" s="13" t="s">
        <v>252</v>
      </c>
      <c r="B716" s="8"/>
      <c r="C716" s="9"/>
      <c r="D716" s="10"/>
      <c r="E716" s="21"/>
      <c r="F716" s="22"/>
      <c r="G716" s="6"/>
    </row>
    <row r="717" spans="1:7" x14ac:dyDescent="0.35">
      <c r="A717" s="13" t="s">
        <v>253</v>
      </c>
      <c r="B717" s="8"/>
      <c r="C717" s="9"/>
      <c r="D717" s="10"/>
      <c r="E717" s="21"/>
      <c r="F717" s="22"/>
      <c r="G717" s="6"/>
    </row>
    <row r="718" spans="1:7" x14ac:dyDescent="0.35">
      <c r="A718" s="13" t="s">
        <v>254</v>
      </c>
      <c r="B718" s="8"/>
      <c r="C718" s="9"/>
      <c r="D718" s="10"/>
      <c r="E718" s="21"/>
      <c r="F718" s="22"/>
      <c r="G718" s="6"/>
    </row>
    <row r="719" spans="1:7" x14ac:dyDescent="0.35">
      <c r="A719" s="13" t="s">
        <v>255</v>
      </c>
      <c r="B719" s="8"/>
      <c r="C719" s="9"/>
      <c r="D719" s="10"/>
      <c r="E719" s="21"/>
      <c r="F719" s="22"/>
      <c r="G719" s="6"/>
    </row>
    <row r="720" spans="1:7" x14ac:dyDescent="0.35">
      <c r="A720" s="13" t="s">
        <v>256</v>
      </c>
      <c r="B720" s="8"/>
      <c r="C720" s="9"/>
      <c r="D720" s="10"/>
      <c r="E720" s="21"/>
      <c r="F720" s="22"/>
      <c r="G720" s="6"/>
    </row>
    <row r="721" spans="1:7" x14ac:dyDescent="0.35">
      <c r="A721" s="13" t="s">
        <v>257</v>
      </c>
      <c r="B721" s="8"/>
      <c r="C721" s="9"/>
      <c r="D721" s="10"/>
      <c r="E721" s="21"/>
      <c r="F721" s="22"/>
      <c r="G721" s="6"/>
    </row>
    <row r="722" spans="1:7" x14ac:dyDescent="0.35">
      <c r="A722" s="13" t="s">
        <v>258</v>
      </c>
      <c r="B722" s="8"/>
      <c r="C722" s="9"/>
      <c r="D722" s="10"/>
      <c r="E722" s="21"/>
      <c r="F722" s="22"/>
      <c r="G722" s="6"/>
    </row>
    <row r="723" spans="1:7" x14ac:dyDescent="0.35">
      <c r="A723" s="13" t="s">
        <v>259</v>
      </c>
      <c r="B723" s="8"/>
      <c r="C723" s="9"/>
      <c r="D723" s="10"/>
      <c r="E723" s="21"/>
      <c r="F723" s="22"/>
      <c r="G723" s="6"/>
    </row>
    <row r="724" spans="1:7" x14ac:dyDescent="0.35">
      <c r="A724" s="13" t="s">
        <v>260</v>
      </c>
      <c r="B724" s="8"/>
      <c r="C724" s="9"/>
      <c r="D724" s="10"/>
      <c r="E724" s="21"/>
      <c r="F724" s="22"/>
      <c r="G724" s="6"/>
    </row>
    <row r="725" spans="1:7" x14ac:dyDescent="0.35">
      <c r="A725" s="13" t="s">
        <v>261</v>
      </c>
      <c r="B725" s="8"/>
      <c r="C725" s="9"/>
      <c r="D725" s="10"/>
      <c r="E725" s="21"/>
      <c r="F725" s="22"/>
      <c r="G725" s="6"/>
    </row>
    <row r="726" spans="1:7" x14ac:dyDescent="0.35">
      <c r="A726" s="13" t="s">
        <v>262</v>
      </c>
      <c r="B726" s="8"/>
      <c r="C726" s="9"/>
      <c r="D726" s="10"/>
      <c r="E726" s="21"/>
      <c r="F726" s="22"/>
      <c r="G726" s="6"/>
    </row>
    <row r="727" spans="1:7" x14ac:dyDescent="0.35">
      <c r="A727" s="13" t="s">
        <v>263</v>
      </c>
      <c r="B727" s="8"/>
      <c r="C727" s="9"/>
      <c r="D727" s="10"/>
      <c r="E727" s="21"/>
      <c r="F727" s="22"/>
      <c r="G727" s="6"/>
    </row>
    <row r="728" spans="1:7" x14ac:dyDescent="0.35">
      <c r="A728" s="13" t="s">
        <v>264</v>
      </c>
      <c r="B728" s="8"/>
      <c r="C728" s="9"/>
      <c r="D728" s="10"/>
      <c r="E728" s="21"/>
      <c r="F728" s="22"/>
      <c r="G728" s="6"/>
    </row>
    <row r="729" spans="1:7" x14ac:dyDescent="0.35">
      <c r="A729" s="13" t="s">
        <v>265</v>
      </c>
      <c r="B729" s="8"/>
      <c r="C729" s="9"/>
      <c r="D729" s="10"/>
      <c r="E729" s="21"/>
      <c r="F729" s="22"/>
      <c r="G729" s="6"/>
    </row>
    <row r="730" spans="1:7" x14ac:dyDescent="0.35">
      <c r="A730" s="13" t="s">
        <v>266</v>
      </c>
      <c r="B730" s="8"/>
      <c r="C730" s="9"/>
      <c r="D730" s="10"/>
      <c r="E730" s="21"/>
      <c r="F730" s="22"/>
      <c r="G730" s="6"/>
    </row>
    <row r="731" spans="1:7" x14ac:dyDescent="0.35">
      <c r="A731" s="13" t="s">
        <v>267</v>
      </c>
      <c r="B731" s="8"/>
      <c r="C731" s="9"/>
      <c r="D731" s="10"/>
      <c r="E731" s="21"/>
      <c r="F731" s="22"/>
      <c r="G731" s="6"/>
    </row>
    <row r="732" spans="1:7" x14ac:dyDescent="0.35">
      <c r="A732" s="13" t="s">
        <v>268</v>
      </c>
      <c r="B732" s="8"/>
      <c r="C732" s="9"/>
      <c r="D732" s="10"/>
      <c r="E732" s="21"/>
      <c r="F732" s="22"/>
      <c r="G732" s="6"/>
    </row>
    <row r="733" spans="1:7" x14ac:dyDescent="0.35">
      <c r="A733" s="13" t="s">
        <v>269</v>
      </c>
      <c r="B733" s="8"/>
      <c r="C733" s="9"/>
      <c r="D733" s="10"/>
      <c r="E733" s="21"/>
      <c r="F733" s="22"/>
      <c r="G733" s="6"/>
    </row>
    <row r="734" spans="1:7" x14ac:dyDescent="0.35">
      <c r="A734" s="13" t="s">
        <v>270</v>
      </c>
      <c r="B734" s="8"/>
      <c r="C734" s="9"/>
      <c r="D734" s="10"/>
      <c r="E734" s="21"/>
      <c r="F734" s="22"/>
      <c r="G734" s="6"/>
    </row>
    <row r="735" spans="1:7" x14ac:dyDescent="0.35">
      <c r="A735" s="13" t="s">
        <v>271</v>
      </c>
      <c r="B735" s="8"/>
      <c r="C735" s="9"/>
      <c r="D735" s="10"/>
      <c r="E735" s="21"/>
      <c r="F735" s="22"/>
      <c r="G735" s="6"/>
    </row>
    <row r="736" spans="1:7" x14ac:dyDescent="0.35">
      <c r="A736" s="2"/>
      <c r="B736" s="2"/>
      <c r="C736" s="2"/>
      <c r="D736" s="2"/>
      <c r="E736" s="2"/>
      <c r="F736" s="2"/>
      <c r="G736" s="2"/>
    </row>
    <row r="737" spans="1:7" x14ac:dyDescent="0.35">
      <c r="A737" s="13" t="s">
        <v>29</v>
      </c>
      <c r="B737" s="15" t="s">
        <v>0</v>
      </c>
      <c r="C737" s="16" t="s">
        <v>1</v>
      </c>
      <c r="D737" s="17" t="s">
        <v>2</v>
      </c>
      <c r="E737" s="24" t="s">
        <v>3</v>
      </c>
      <c r="F737" s="23" t="s">
        <v>4</v>
      </c>
      <c r="G737" s="18" t="s">
        <v>5</v>
      </c>
    </row>
    <row r="738" spans="1:7" x14ac:dyDescent="0.35">
      <c r="A738" s="13" t="s">
        <v>242</v>
      </c>
      <c r="B738" s="8"/>
      <c r="C738" s="9"/>
      <c r="D738" s="10"/>
      <c r="E738" s="21"/>
      <c r="F738" s="22"/>
      <c r="G738" s="6"/>
    </row>
    <row r="739" spans="1:7" x14ac:dyDescent="0.35">
      <c r="A739" s="13" t="s">
        <v>243</v>
      </c>
      <c r="B739" s="8"/>
      <c r="C739" s="9"/>
      <c r="D739" s="10"/>
      <c r="E739" s="21"/>
      <c r="F739" s="22"/>
      <c r="G739" s="6"/>
    </row>
    <row r="740" spans="1:7" x14ac:dyDescent="0.35">
      <c r="A740" s="13" t="s">
        <v>244</v>
      </c>
      <c r="B740" s="8"/>
      <c r="C740" s="9"/>
      <c r="D740" s="10"/>
      <c r="E740" s="21"/>
      <c r="F740" s="22"/>
      <c r="G740" s="6"/>
    </row>
    <row r="741" spans="1:7" x14ac:dyDescent="0.35">
      <c r="A741" s="13" t="s">
        <v>245</v>
      </c>
      <c r="B741" s="8"/>
      <c r="C741" s="9"/>
      <c r="D741" s="10"/>
      <c r="E741" s="21"/>
      <c r="F741" s="22"/>
      <c r="G741" s="6"/>
    </row>
    <row r="742" spans="1:7" x14ac:dyDescent="0.35">
      <c r="A742" s="13" t="s">
        <v>246</v>
      </c>
      <c r="B742" s="8"/>
      <c r="C742" s="9"/>
      <c r="D742" s="10"/>
      <c r="E742" s="21"/>
      <c r="F742" s="22"/>
      <c r="G742" s="6"/>
    </row>
    <row r="743" spans="1:7" x14ac:dyDescent="0.35">
      <c r="A743" s="13" t="s">
        <v>247</v>
      </c>
      <c r="B743" s="8"/>
      <c r="C743" s="9"/>
      <c r="D743" s="10"/>
      <c r="E743" s="21"/>
      <c r="F743" s="22"/>
      <c r="G743" s="6"/>
    </row>
    <row r="744" spans="1:7" x14ac:dyDescent="0.35">
      <c r="A744" s="13" t="s">
        <v>248</v>
      </c>
      <c r="B744" s="8"/>
      <c r="C744" s="9"/>
      <c r="D744" s="10"/>
      <c r="E744" s="21"/>
      <c r="F744" s="22"/>
      <c r="G744" s="6"/>
    </row>
    <row r="745" spans="1:7" x14ac:dyDescent="0.35">
      <c r="A745" s="13" t="s">
        <v>249</v>
      </c>
      <c r="B745" s="8"/>
      <c r="C745" s="9"/>
      <c r="D745" s="10"/>
      <c r="E745" s="21"/>
      <c r="F745" s="22"/>
      <c r="G745" s="6"/>
    </row>
    <row r="746" spans="1:7" x14ac:dyDescent="0.35">
      <c r="A746" s="13" t="s">
        <v>250</v>
      </c>
      <c r="B746" s="8"/>
      <c r="C746" s="9"/>
      <c r="D746" s="10"/>
      <c r="E746" s="21"/>
      <c r="F746" s="22"/>
      <c r="G746" s="6"/>
    </row>
    <row r="747" spans="1:7" x14ac:dyDescent="0.35">
      <c r="A747" s="13" t="s">
        <v>251</v>
      </c>
      <c r="B747" s="8"/>
      <c r="C747" s="9"/>
      <c r="D747" s="10"/>
      <c r="E747" s="21"/>
      <c r="F747" s="22"/>
      <c r="G747" s="6"/>
    </row>
    <row r="748" spans="1:7" x14ac:dyDescent="0.35">
      <c r="A748" s="13" t="s">
        <v>252</v>
      </c>
      <c r="B748" s="8"/>
      <c r="C748" s="9"/>
      <c r="D748" s="10"/>
      <c r="E748" s="21"/>
      <c r="F748" s="22"/>
      <c r="G748" s="6"/>
    </row>
    <row r="749" spans="1:7" x14ac:dyDescent="0.35">
      <c r="A749" s="13" t="s">
        <v>253</v>
      </c>
      <c r="B749" s="8"/>
      <c r="C749" s="9"/>
      <c r="D749" s="10"/>
      <c r="E749" s="21"/>
      <c r="F749" s="22"/>
      <c r="G749" s="6"/>
    </row>
    <row r="750" spans="1:7" x14ac:dyDescent="0.35">
      <c r="A750" s="13" t="s">
        <v>254</v>
      </c>
      <c r="B750" s="8"/>
      <c r="C750" s="9"/>
      <c r="D750" s="10"/>
      <c r="E750" s="21"/>
      <c r="F750" s="22"/>
      <c r="G750" s="6"/>
    </row>
    <row r="751" spans="1:7" x14ac:dyDescent="0.35">
      <c r="A751" s="13" t="s">
        <v>255</v>
      </c>
      <c r="B751" s="8"/>
      <c r="C751" s="9"/>
      <c r="D751" s="10"/>
      <c r="E751" s="21"/>
      <c r="F751" s="22"/>
      <c r="G751" s="6"/>
    </row>
    <row r="752" spans="1:7" x14ac:dyDescent="0.35">
      <c r="A752" s="13" t="s">
        <v>256</v>
      </c>
      <c r="B752" s="8"/>
      <c r="C752" s="9"/>
      <c r="D752" s="10"/>
      <c r="E752" s="21"/>
      <c r="F752" s="22"/>
      <c r="G752" s="6"/>
    </row>
    <row r="753" spans="1:7" x14ac:dyDescent="0.35">
      <c r="A753" s="13" t="s">
        <v>257</v>
      </c>
      <c r="B753" s="8"/>
      <c r="C753" s="9"/>
      <c r="D753" s="10"/>
      <c r="E753" s="21"/>
      <c r="F753" s="22"/>
      <c r="G753" s="6"/>
    </row>
    <row r="754" spans="1:7" x14ac:dyDescent="0.35">
      <c r="A754" s="13" t="s">
        <v>258</v>
      </c>
      <c r="B754" s="8"/>
      <c r="C754" s="9"/>
      <c r="D754" s="10"/>
      <c r="E754" s="21"/>
      <c r="F754" s="22"/>
      <c r="G754" s="6"/>
    </row>
    <row r="755" spans="1:7" x14ac:dyDescent="0.35">
      <c r="A755" s="13" t="s">
        <v>259</v>
      </c>
      <c r="B755" s="8"/>
      <c r="C755" s="9"/>
      <c r="D755" s="10"/>
      <c r="E755" s="21"/>
      <c r="F755" s="22"/>
      <c r="G755" s="6"/>
    </row>
    <row r="756" spans="1:7" x14ac:dyDescent="0.35">
      <c r="A756" s="13" t="s">
        <v>260</v>
      </c>
      <c r="B756" s="8"/>
      <c r="C756" s="9"/>
      <c r="D756" s="10"/>
      <c r="E756" s="21"/>
      <c r="F756" s="22"/>
      <c r="G756" s="6"/>
    </row>
    <row r="757" spans="1:7" x14ac:dyDescent="0.35">
      <c r="A757" s="13" t="s">
        <v>261</v>
      </c>
      <c r="B757" s="8"/>
      <c r="C757" s="9"/>
      <c r="D757" s="10"/>
      <c r="E757" s="21"/>
      <c r="F757" s="22"/>
      <c r="G757" s="6"/>
    </row>
    <row r="758" spans="1:7" x14ac:dyDescent="0.35">
      <c r="A758" s="13" t="s">
        <v>262</v>
      </c>
      <c r="B758" s="8"/>
      <c r="C758" s="9"/>
      <c r="D758" s="10"/>
      <c r="E758" s="21"/>
      <c r="F758" s="22"/>
      <c r="G758" s="6"/>
    </row>
    <row r="759" spans="1:7" x14ac:dyDescent="0.35">
      <c r="A759" s="13" t="s">
        <v>263</v>
      </c>
      <c r="B759" s="8"/>
      <c r="C759" s="9"/>
      <c r="D759" s="10"/>
      <c r="E759" s="21"/>
      <c r="F759" s="22"/>
      <c r="G759" s="6"/>
    </row>
    <row r="760" spans="1:7" x14ac:dyDescent="0.35">
      <c r="A760" s="13" t="s">
        <v>264</v>
      </c>
      <c r="B760" s="8"/>
      <c r="C760" s="9"/>
      <c r="D760" s="10"/>
      <c r="E760" s="21"/>
      <c r="F760" s="22"/>
      <c r="G760" s="6"/>
    </row>
    <row r="761" spans="1:7" x14ac:dyDescent="0.35">
      <c r="A761" s="13" t="s">
        <v>265</v>
      </c>
      <c r="B761" s="8"/>
      <c r="C761" s="9"/>
      <c r="D761" s="10"/>
      <c r="E761" s="21"/>
      <c r="F761" s="22"/>
      <c r="G761" s="6"/>
    </row>
    <row r="762" spans="1:7" x14ac:dyDescent="0.35">
      <c r="A762" s="13" t="s">
        <v>266</v>
      </c>
      <c r="B762" s="8"/>
      <c r="C762" s="9"/>
      <c r="D762" s="10"/>
      <c r="E762" s="21"/>
      <c r="F762" s="22"/>
      <c r="G762" s="6"/>
    </row>
    <row r="763" spans="1:7" x14ac:dyDescent="0.35">
      <c r="A763" s="13" t="s">
        <v>267</v>
      </c>
      <c r="B763" s="8"/>
      <c r="C763" s="9"/>
      <c r="D763" s="10"/>
      <c r="E763" s="21"/>
      <c r="F763" s="22"/>
      <c r="G763" s="6"/>
    </row>
    <row r="764" spans="1:7" x14ac:dyDescent="0.35">
      <c r="A764" s="13" t="s">
        <v>268</v>
      </c>
      <c r="B764" s="8"/>
      <c r="C764" s="9"/>
      <c r="D764" s="10"/>
      <c r="E764" s="21"/>
      <c r="F764" s="22"/>
      <c r="G764" s="6"/>
    </row>
    <row r="765" spans="1:7" x14ac:dyDescent="0.35">
      <c r="A765" s="13" t="s">
        <v>269</v>
      </c>
      <c r="B765" s="8"/>
      <c r="C765" s="9"/>
      <c r="D765" s="10"/>
      <c r="E765" s="21"/>
      <c r="F765" s="22"/>
      <c r="G765" s="6"/>
    </row>
    <row r="766" spans="1:7" x14ac:dyDescent="0.35">
      <c r="A766" s="13" t="s">
        <v>270</v>
      </c>
      <c r="B766" s="8"/>
      <c r="C766" s="9"/>
      <c r="D766" s="10"/>
      <c r="E766" s="21"/>
      <c r="F766" s="22"/>
      <c r="G766" s="6"/>
    </row>
    <row r="767" spans="1:7" x14ac:dyDescent="0.35">
      <c r="A767" s="13" t="s">
        <v>271</v>
      </c>
      <c r="B767" s="8"/>
      <c r="C767" s="9"/>
      <c r="D767" s="10"/>
      <c r="E767" s="21"/>
      <c r="F767" s="22"/>
      <c r="G767" s="6"/>
    </row>
    <row r="768" spans="1:7" x14ac:dyDescent="0.35">
      <c r="A768" s="2"/>
      <c r="B768" s="2"/>
      <c r="C768" s="2"/>
      <c r="D768" s="2"/>
      <c r="E768" s="2"/>
      <c r="F768" s="2"/>
      <c r="G768" s="2"/>
    </row>
    <row r="769" spans="1:7" x14ac:dyDescent="0.35">
      <c r="A769" s="13" t="s">
        <v>30</v>
      </c>
      <c r="B769" s="15" t="s">
        <v>0</v>
      </c>
      <c r="C769" s="16" t="s">
        <v>1</v>
      </c>
      <c r="D769" s="17" t="s">
        <v>2</v>
      </c>
      <c r="E769" s="24" t="s">
        <v>3</v>
      </c>
      <c r="F769" s="23" t="s">
        <v>4</v>
      </c>
      <c r="G769" s="18" t="s">
        <v>5</v>
      </c>
    </row>
    <row r="770" spans="1:7" x14ac:dyDescent="0.35">
      <c r="A770" s="13" t="s">
        <v>242</v>
      </c>
      <c r="B770" s="8"/>
      <c r="C770" s="9"/>
      <c r="D770" s="10"/>
      <c r="E770" s="21"/>
      <c r="F770" s="22"/>
      <c r="G770" s="6"/>
    </row>
    <row r="771" spans="1:7" x14ac:dyDescent="0.35">
      <c r="A771" s="13" t="s">
        <v>243</v>
      </c>
      <c r="B771" s="8"/>
      <c r="C771" s="9"/>
      <c r="D771" s="10"/>
      <c r="E771" s="21"/>
      <c r="F771" s="22"/>
      <c r="G771" s="6"/>
    </row>
    <row r="772" spans="1:7" x14ac:dyDescent="0.35">
      <c r="A772" s="13" t="s">
        <v>244</v>
      </c>
      <c r="B772" s="8"/>
      <c r="C772" s="9"/>
      <c r="D772" s="10"/>
      <c r="E772" s="21"/>
      <c r="F772" s="22"/>
      <c r="G772" s="6"/>
    </row>
    <row r="773" spans="1:7" x14ac:dyDescent="0.35">
      <c r="A773" s="13" t="s">
        <v>245</v>
      </c>
      <c r="B773" s="8"/>
      <c r="C773" s="9"/>
      <c r="D773" s="10"/>
      <c r="E773" s="21"/>
      <c r="F773" s="22"/>
      <c r="G773" s="6"/>
    </row>
    <row r="774" spans="1:7" x14ac:dyDescent="0.35">
      <c r="A774" s="13" t="s">
        <v>246</v>
      </c>
      <c r="B774" s="8"/>
      <c r="C774" s="9"/>
      <c r="D774" s="10"/>
      <c r="E774" s="21"/>
      <c r="F774" s="22"/>
      <c r="G774" s="6"/>
    </row>
    <row r="775" spans="1:7" x14ac:dyDescent="0.35">
      <c r="A775" s="13" t="s">
        <v>247</v>
      </c>
      <c r="B775" s="8"/>
      <c r="C775" s="9"/>
      <c r="D775" s="10"/>
      <c r="E775" s="21"/>
      <c r="F775" s="22"/>
      <c r="G775" s="6"/>
    </row>
    <row r="776" spans="1:7" x14ac:dyDescent="0.35">
      <c r="A776" s="13" t="s">
        <v>248</v>
      </c>
      <c r="B776" s="8"/>
      <c r="C776" s="9"/>
      <c r="D776" s="10"/>
      <c r="E776" s="21"/>
      <c r="F776" s="22"/>
      <c r="G776" s="6"/>
    </row>
    <row r="777" spans="1:7" x14ac:dyDescent="0.35">
      <c r="A777" s="13" t="s">
        <v>249</v>
      </c>
      <c r="B777" s="8"/>
      <c r="C777" s="9"/>
      <c r="D777" s="10"/>
      <c r="E777" s="21"/>
      <c r="F777" s="22"/>
      <c r="G777" s="6"/>
    </row>
    <row r="778" spans="1:7" x14ac:dyDescent="0.35">
      <c r="A778" s="13" t="s">
        <v>250</v>
      </c>
      <c r="B778" s="8"/>
      <c r="C778" s="9"/>
      <c r="D778" s="10"/>
      <c r="E778" s="21"/>
      <c r="F778" s="22"/>
      <c r="G778" s="6"/>
    </row>
    <row r="779" spans="1:7" x14ac:dyDescent="0.35">
      <c r="A779" s="13" t="s">
        <v>251</v>
      </c>
      <c r="B779" s="8"/>
      <c r="C779" s="9"/>
      <c r="D779" s="10"/>
      <c r="E779" s="21"/>
      <c r="F779" s="22"/>
      <c r="G779" s="6"/>
    </row>
    <row r="780" spans="1:7" x14ac:dyDescent="0.35">
      <c r="A780" s="13" t="s">
        <v>252</v>
      </c>
      <c r="B780" s="8"/>
      <c r="C780" s="9"/>
      <c r="D780" s="10"/>
      <c r="E780" s="21"/>
      <c r="F780" s="22"/>
      <c r="G780" s="6"/>
    </row>
    <row r="781" spans="1:7" x14ac:dyDescent="0.35">
      <c r="A781" s="13" t="s">
        <v>253</v>
      </c>
      <c r="B781" s="8"/>
      <c r="C781" s="9"/>
      <c r="D781" s="10"/>
      <c r="E781" s="21"/>
      <c r="F781" s="22"/>
      <c r="G781" s="6"/>
    </row>
    <row r="782" spans="1:7" x14ac:dyDescent="0.35">
      <c r="A782" s="13" t="s">
        <v>254</v>
      </c>
      <c r="B782" s="8"/>
      <c r="C782" s="9"/>
      <c r="D782" s="10"/>
      <c r="E782" s="21"/>
      <c r="F782" s="22"/>
      <c r="G782" s="6"/>
    </row>
    <row r="783" spans="1:7" x14ac:dyDescent="0.35">
      <c r="A783" s="13" t="s">
        <v>255</v>
      </c>
      <c r="B783" s="8"/>
      <c r="C783" s="9"/>
      <c r="D783" s="10"/>
      <c r="E783" s="21"/>
      <c r="F783" s="22"/>
      <c r="G783" s="6"/>
    </row>
    <row r="784" spans="1:7" x14ac:dyDescent="0.35">
      <c r="A784" s="13" t="s">
        <v>256</v>
      </c>
      <c r="B784" s="8"/>
      <c r="C784" s="9"/>
      <c r="D784" s="10"/>
      <c r="E784" s="21"/>
      <c r="F784" s="22"/>
      <c r="G784" s="6"/>
    </row>
    <row r="785" spans="1:7" x14ac:dyDescent="0.35">
      <c r="A785" s="13" t="s">
        <v>257</v>
      </c>
      <c r="B785" s="8"/>
      <c r="C785" s="9"/>
      <c r="D785" s="10"/>
      <c r="E785" s="21"/>
      <c r="F785" s="22"/>
      <c r="G785" s="6"/>
    </row>
    <row r="786" spans="1:7" x14ac:dyDescent="0.35">
      <c r="A786" s="13" t="s">
        <v>258</v>
      </c>
      <c r="B786" s="8"/>
      <c r="C786" s="9"/>
      <c r="D786" s="10"/>
      <c r="E786" s="21"/>
      <c r="F786" s="22"/>
      <c r="G786" s="6"/>
    </row>
    <row r="787" spans="1:7" x14ac:dyDescent="0.35">
      <c r="A787" s="13" t="s">
        <v>259</v>
      </c>
      <c r="B787" s="8"/>
      <c r="C787" s="9"/>
      <c r="D787" s="10"/>
      <c r="E787" s="21"/>
      <c r="F787" s="22"/>
      <c r="G787" s="6"/>
    </row>
    <row r="788" spans="1:7" x14ac:dyDescent="0.35">
      <c r="A788" s="13" t="s">
        <v>260</v>
      </c>
      <c r="B788" s="8"/>
      <c r="C788" s="9"/>
      <c r="D788" s="10"/>
      <c r="E788" s="21"/>
      <c r="F788" s="22"/>
      <c r="G788" s="6"/>
    </row>
    <row r="789" spans="1:7" x14ac:dyDescent="0.35">
      <c r="A789" s="13" t="s">
        <v>261</v>
      </c>
      <c r="B789" s="8"/>
      <c r="C789" s="9"/>
      <c r="D789" s="10"/>
      <c r="E789" s="21"/>
      <c r="F789" s="22"/>
      <c r="G789" s="6"/>
    </row>
    <row r="790" spans="1:7" x14ac:dyDescent="0.35">
      <c r="A790" s="13" t="s">
        <v>262</v>
      </c>
      <c r="B790" s="8"/>
      <c r="C790" s="9"/>
      <c r="D790" s="10"/>
      <c r="E790" s="21"/>
      <c r="F790" s="22"/>
      <c r="G790" s="6"/>
    </row>
    <row r="791" spans="1:7" x14ac:dyDescent="0.35">
      <c r="A791" s="13" t="s">
        <v>263</v>
      </c>
      <c r="B791" s="8"/>
      <c r="C791" s="9"/>
      <c r="D791" s="10"/>
      <c r="E791" s="21"/>
      <c r="F791" s="22"/>
      <c r="G791" s="6"/>
    </row>
    <row r="792" spans="1:7" x14ac:dyDescent="0.35">
      <c r="A792" s="13" t="s">
        <v>264</v>
      </c>
      <c r="B792" s="8"/>
      <c r="C792" s="9"/>
      <c r="D792" s="10"/>
      <c r="E792" s="21"/>
      <c r="F792" s="22"/>
      <c r="G792" s="6"/>
    </row>
    <row r="793" spans="1:7" x14ac:dyDescent="0.35">
      <c r="A793" s="13" t="s">
        <v>265</v>
      </c>
      <c r="B793" s="8"/>
      <c r="C793" s="9"/>
      <c r="D793" s="10"/>
      <c r="E793" s="21"/>
      <c r="F793" s="22"/>
      <c r="G793" s="6"/>
    </row>
    <row r="794" spans="1:7" x14ac:dyDescent="0.35">
      <c r="A794" s="13" t="s">
        <v>266</v>
      </c>
      <c r="B794" s="8"/>
      <c r="C794" s="9"/>
      <c r="D794" s="10"/>
      <c r="E794" s="21"/>
      <c r="F794" s="22"/>
      <c r="G794" s="6"/>
    </row>
    <row r="795" spans="1:7" x14ac:dyDescent="0.35">
      <c r="A795" s="13" t="s">
        <v>267</v>
      </c>
      <c r="B795" s="8"/>
      <c r="C795" s="9"/>
      <c r="D795" s="10"/>
      <c r="E795" s="21"/>
      <c r="F795" s="22"/>
      <c r="G795" s="6"/>
    </row>
    <row r="796" spans="1:7" x14ac:dyDescent="0.35">
      <c r="A796" s="13" t="s">
        <v>268</v>
      </c>
      <c r="B796" s="8"/>
      <c r="C796" s="9"/>
      <c r="D796" s="10"/>
      <c r="E796" s="21"/>
      <c r="F796" s="22"/>
      <c r="G796" s="6"/>
    </row>
    <row r="797" spans="1:7" x14ac:dyDescent="0.35">
      <c r="A797" s="13" t="s">
        <v>269</v>
      </c>
      <c r="B797" s="8"/>
      <c r="C797" s="9"/>
      <c r="D797" s="10"/>
      <c r="E797" s="21"/>
      <c r="F797" s="22"/>
      <c r="G797" s="6"/>
    </row>
    <row r="798" spans="1:7" x14ac:dyDescent="0.35">
      <c r="A798" s="13" t="s">
        <v>270</v>
      </c>
      <c r="B798" s="8"/>
      <c r="C798" s="9"/>
      <c r="D798" s="10"/>
      <c r="E798" s="21"/>
      <c r="F798" s="22"/>
      <c r="G798" s="6"/>
    </row>
    <row r="799" spans="1:7" x14ac:dyDescent="0.35">
      <c r="A799" s="13" t="s">
        <v>271</v>
      </c>
      <c r="B799" s="8"/>
      <c r="C799" s="9"/>
      <c r="D799" s="10"/>
      <c r="E799" s="21"/>
      <c r="F799" s="22"/>
      <c r="G799" s="6"/>
    </row>
    <row r="800" spans="1:7" x14ac:dyDescent="0.35">
      <c r="A800" s="2"/>
      <c r="B800" s="2"/>
      <c r="C800" s="2"/>
      <c r="D800" s="2"/>
      <c r="E800" s="2"/>
      <c r="F800" s="2"/>
      <c r="G800" s="2"/>
    </row>
    <row r="801" spans="1:7" x14ac:dyDescent="0.35">
      <c r="A801" s="13" t="s">
        <v>31</v>
      </c>
      <c r="B801" s="15" t="s">
        <v>0</v>
      </c>
      <c r="C801" s="16" t="s">
        <v>1</v>
      </c>
      <c r="D801" s="17" t="s">
        <v>2</v>
      </c>
      <c r="E801" s="24" t="s">
        <v>3</v>
      </c>
      <c r="F801" s="23" t="s">
        <v>4</v>
      </c>
      <c r="G801" s="18" t="s">
        <v>5</v>
      </c>
    </row>
    <row r="802" spans="1:7" x14ac:dyDescent="0.35">
      <c r="A802" s="13" t="s">
        <v>242</v>
      </c>
      <c r="B802" s="8"/>
      <c r="C802" s="9"/>
      <c r="D802" s="10"/>
      <c r="E802" s="21"/>
      <c r="F802" s="22"/>
      <c r="G802" s="6"/>
    </row>
    <row r="803" spans="1:7" x14ac:dyDescent="0.35">
      <c r="A803" s="13" t="s">
        <v>243</v>
      </c>
      <c r="B803" s="8"/>
      <c r="C803" s="9"/>
      <c r="D803" s="10"/>
      <c r="E803" s="21"/>
      <c r="F803" s="22"/>
      <c r="G803" s="6"/>
    </row>
    <row r="804" spans="1:7" x14ac:dyDescent="0.35">
      <c r="A804" s="13" t="s">
        <v>244</v>
      </c>
      <c r="B804" s="8"/>
      <c r="C804" s="9"/>
      <c r="D804" s="10"/>
      <c r="E804" s="21"/>
      <c r="F804" s="22"/>
      <c r="G804" s="6"/>
    </row>
    <row r="805" spans="1:7" x14ac:dyDescent="0.35">
      <c r="A805" s="13" t="s">
        <v>245</v>
      </c>
      <c r="B805" s="8"/>
      <c r="C805" s="9"/>
      <c r="D805" s="10"/>
      <c r="E805" s="21"/>
      <c r="F805" s="22"/>
      <c r="G805" s="6"/>
    </row>
    <row r="806" spans="1:7" x14ac:dyDescent="0.35">
      <c r="A806" s="13" t="s">
        <v>246</v>
      </c>
      <c r="B806" s="8"/>
      <c r="C806" s="9"/>
      <c r="D806" s="10"/>
      <c r="E806" s="21"/>
      <c r="F806" s="22"/>
      <c r="G806" s="6"/>
    </row>
    <row r="807" spans="1:7" x14ac:dyDescent="0.35">
      <c r="A807" s="13" t="s">
        <v>247</v>
      </c>
      <c r="B807" s="8"/>
      <c r="C807" s="9"/>
      <c r="D807" s="10"/>
      <c r="E807" s="21"/>
      <c r="F807" s="22"/>
      <c r="G807" s="6"/>
    </row>
    <row r="808" spans="1:7" x14ac:dyDescent="0.35">
      <c r="A808" s="13" t="s">
        <v>248</v>
      </c>
      <c r="B808" s="8"/>
      <c r="C808" s="9"/>
      <c r="D808" s="10"/>
      <c r="E808" s="21"/>
      <c r="F808" s="22"/>
      <c r="G808" s="6"/>
    </row>
    <row r="809" spans="1:7" x14ac:dyDescent="0.35">
      <c r="A809" s="13" t="s">
        <v>249</v>
      </c>
      <c r="B809" s="8"/>
      <c r="C809" s="9"/>
      <c r="D809" s="10"/>
      <c r="E809" s="21"/>
      <c r="F809" s="22"/>
      <c r="G809" s="6"/>
    </row>
    <row r="810" spans="1:7" x14ac:dyDescent="0.35">
      <c r="A810" s="13" t="s">
        <v>250</v>
      </c>
      <c r="B810" s="8"/>
      <c r="C810" s="9"/>
      <c r="D810" s="10"/>
      <c r="E810" s="21"/>
      <c r="F810" s="22"/>
      <c r="G810" s="6"/>
    </row>
    <row r="811" spans="1:7" x14ac:dyDescent="0.35">
      <c r="A811" s="13" t="s">
        <v>251</v>
      </c>
      <c r="B811" s="8"/>
      <c r="C811" s="9"/>
      <c r="D811" s="10"/>
      <c r="E811" s="21"/>
      <c r="F811" s="22"/>
      <c r="G811" s="6"/>
    </row>
    <row r="812" spans="1:7" x14ac:dyDescent="0.35">
      <c r="A812" s="13" t="s">
        <v>252</v>
      </c>
      <c r="B812" s="8"/>
      <c r="C812" s="9"/>
      <c r="D812" s="10"/>
      <c r="E812" s="21"/>
      <c r="F812" s="22"/>
      <c r="G812" s="6"/>
    </row>
    <row r="813" spans="1:7" x14ac:dyDescent="0.35">
      <c r="A813" s="13" t="s">
        <v>253</v>
      </c>
      <c r="B813" s="8"/>
      <c r="C813" s="9"/>
      <c r="D813" s="10"/>
      <c r="E813" s="21"/>
      <c r="F813" s="22"/>
      <c r="G813" s="6"/>
    </row>
    <row r="814" spans="1:7" x14ac:dyDescent="0.35">
      <c r="A814" s="13" t="s">
        <v>254</v>
      </c>
      <c r="B814" s="8"/>
      <c r="C814" s="9"/>
      <c r="D814" s="10"/>
      <c r="E814" s="21"/>
      <c r="F814" s="22"/>
      <c r="G814" s="6"/>
    </row>
    <row r="815" spans="1:7" x14ac:dyDescent="0.35">
      <c r="A815" s="13" t="s">
        <v>255</v>
      </c>
      <c r="B815" s="8"/>
      <c r="C815" s="9"/>
      <c r="D815" s="10"/>
      <c r="E815" s="21"/>
      <c r="F815" s="22"/>
      <c r="G815" s="6"/>
    </row>
    <row r="816" spans="1:7" x14ac:dyDescent="0.35">
      <c r="A816" s="13" t="s">
        <v>256</v>
      </c>
      <c r="B816" s="8"/>
      <c r="C816" s="9"/>
      <c r="D816" s="10"/>
      <c r="E816" s="21"/>
      <c r="F816" s="22"/>
      <c r="G816" s="6"/>
    </row>
    <row r="817" spans="1:7" x14ac:dyDescent="0.35">
      <c r="A817" s="13" t="s">
        <v>257</v>
      </c>
      <c r="B817" s="8"/>
      <c r="C817" s="9"/>
      <c r="D817" s="10"/>
      <c r="E817" s="21"/>
      <c r="F817" s="22"/>
      <c r="G817" s="6"/>
    </row>
    <row r="818" spans="1:7" x14ac:dyDescent="0.35">
      <c r="A818" s="13" t="s">
        <v>258</v>
      </c>
      <c r="B818" s="8"/>
      <c r="C818" s="9"/>
      <c r="D818" s="10"/>
      <c r="E818" s="21"/>
      <c r="F818" s="22"/>
      <c r="G818" s="6"/>
    </row>
    <row r="819" spans="1:7" x14ac:dyDescent="0.35">
      <c r="A819" s="13" t="s">
        <v>259</v>
      </c>
      <c r="B819" s="8"/>
      <c r="C819" s="9"/>
      <c r="D819" s="10"/>
      <c r="E819" s="21"/>
      <c r="F819" s="22"/>
      <c r="G819" s="6"/>
    </row>
    <row r="820" spans="1:7" x14ac:dyDescent="0.35">
      <c r="A820" s="13" t="s">
        <v>260</v>
      </c>
      <c r="B820" s="8"/>
      <c r="C820" s="9"/>
      <c r="D820" s="10"/>
      <c r="E820" s="21"/>
      <c r="F820" s="22"/>
      <c r="G820" s="6"/>
    </row>
    <row r="821" spans="1:7" x14ac:dyDescent="0.35">
      <c r="A821" s="13" t="s">
        <v>261</v>
      </c>
      <c r="B821" s="8"/>
      <c r="C821" s="9"/>
      <c r="D821" s="10"/>
      <c r="E821" s="21"/>
      <c r="F821" s="22"/>
      <c r="G821" s="6"/>
    </row>
    <row r="822" spans="1:7" x14ac:dyDescent="0.35">
      <c r="A822" s="13" t="s">
        <v>262</v>
      </c>
      <c r="B822" s="8"/>
      <c r="C822" s="9"/>
      <c r="D822" s="10"/>
      <c r="E822" s="21"/>
      <c r="F822" s="22"/>
      <c r="G822" s="6"/>
    </row>
    <row r="823" spans="1:7" x14ac:dyDescent="0.35">
      <c r="A823" s="13" t="s">
        <v>263</v>
      </c>
      <c r="B823" s="8"/>
      <c r="C823" s="9"/>
      <c r="D823" s="10"/>
      <c r="E823" s="21"/>
      <c r="F823" s="22"/>
      <c r="G823" s="6"/>
    </row>
    <row r="824" spans="1:7" x14ac:dyDescent="0.35">
      <c r="A824" s="13" t="s">
        <v>264</v>
      </c>
      <c r="B824" s="8"/>
      <c r="C824" s="9"/>
      <c r="D824" s="10"/>
      <c r="E824" s="21"/>
      <c r="F824" s="22"/>
      <c r="G824" s="6"/>
    </row>
    <row r="825" spans="1:7" x14ac:dyDescent="0.35">
      <c r="A825" s="13" t="s">
        <v>265</v>
      </c>
      <c r="B825" s="8"/>
      <c r="C825" s="9"/>
      <c r="D825" s="10"/>
      <c r="E825" s="21"/>
      <c r="F825" s="22"/>
      <c r="G825" s="6"/>
    </row>
    <row r="826" spans="1:7" x14ac:dyDescent="0.35">
      <c r="A826" s="13" t="s">
        <v>266</v>
      </c>
      <c r="B826" s="8"/>
      <c r="C826" s="9"/>
      <c r="D826" s="10"/>
      <c r="E826" s="21"/>
      <c r="F826" s="22"/>
      <c r="G826" s="6"/>
    </row>
    <row r="827" spans="1:7" x14ac:dyDescent="0.35">
      <c r="A827" s="13" t="s">
        <v>267</v>
      </c>
      <c r="B827" s="8"/>
      <c r="C827" s="9"/>
      <c r="D827" s="10"/>
      <c r="E827" s="21"/>
      <c r="F827" s="22"/>
      <c r="G827" s="6"/>
    </row>
    <row r="828" spans="1:7" x14ac:dyDescent="0.35">
      <c r="A828" s="13" t="s">
        <v>268</v>
      </c>
      <c r="B828" s="8"/>
      <c r="C828" s="9"/>
      <c r="D828" s="10"/>
      <c r="E828" s="21"/>
      <c r="F828" s="22"/>
      <c r="G828" s="6"/>
    </row>
    <row r="829" spans="1:7" x14ac:dyDescent="0.35">
      <c r="A829" s="13" t="s">
        <v>269</v>
      </c>
      <c r="B829" s="8"/>
      <c r="C829" s="9"/>
      <c r="D829" s="10"/>
      <c r="E829" s="21"/>
      <c r="F829" s="22"/>
      <c r="G829" s="6"/>
    </row>
    <row r="830" spans="1:7" x14ac:dyDescent="0.35">
      <c r="A830" s="13" t="s">
        <v>270</v>
      </c>
      <c r="B830" s="8"/>
      <c r="C830" s="9"/>
      <c r="D830" s="10"/>
      <c r="E830" s="21"/>
      <c r="F830" s="22"/>
      <c r="G830" s="6"/>
    </row>
    <row r="831" spans="1:7" x14ac:dyDescent="0.35">
      <c r="A831" s="13" t="s">
        <v>271</v>
      </c>
      <c r="B831" s="8"/>
      <c r="C831" s="9"/>
      <c r="D831" s="10"/>
      <c r="E831" s="21"/>
      <c r="F831" s="22"/>
      <c r="G831" s="6"/>
    </row>
    <row r="832" spans="1:7" x14ac:dyDescent="0.35">
      <c r="A832" s="2"/>
      <c r="B832" s="2"/>
      <c r="C832" s="2"/>
      <c r="D832" s="2"/>
      <c r="E832" s="2"/>
      <c r="F832" s="2"/>
      <c r="G832" s="2"/>
    </row>
    <row r="833" spans="1:7" x14ac:dyDescent="0.35">
      <c r="A833" s="13" t="s">
        <v>32</v>
      </c>
      <c r="B833" s="15" t="s">
        <v>0</v>
      </c>
      <c r="C833" s="16" t="s">
        <v>1</v>
      </c>
      <c r="D833" s="17" t="s">
        <v>2</v>
      </c>
      <c r="E833" s="24" t="s">
        <v>3</v>
      </c>
      <c r="F833" s="23" t="s">
        <v>4</v>
      </c>
      <c r="G833" s="18" t="s">
        <v>5</v>
      </c>
    </row>
    <row r="834" spans="1:7" x14ac:dyDescent="0.35">
      <c r="A834" s="13" t="s">
        <v>242</v>
      </c>
      <c r="B834" s="8"/>
      <c r="C834" s="9"/>
      <c r="D834" s="10"/>
      <c r="E834" s="21"/>
      <c r="F834" s="22"/>
      <c r="G834" s="6"/>
    </row>
    <row r="835" spans="1:7" x14ac:dyDescent="0.35">
      <c r="A835" s="13" t="s">
        <v>243</v>
      </c>
      <c r="B835" s="8"/>
      <c r="C835" s="9"/>
      <c r="D835" s="10"/>
      <c r="E835" s="21"/>
      <c r="F835" s="22"/>
      <c r="G835" s="6"/>
    </row>
    <row r="836" spans="1:7" x14ac:dyDescent="0.35">
      <c r="A836" s="13" t="s">
        <v>244</v>
      </c>
      <c r="B836" s="8"/>
      <c r="C836" s="9"/>
      <c r="D836" s="10"/>
      <c r="E836" s="21"/>
      <c r="F836" s="22"/>
      <c r="G836" s="6"/>
    </row>
    <row r="837" spans="1:7" x14ac:dyDescent="0.35">
      <c r="A837" s="13" t="s">
        <v>245</v>
      </c>
      <c r="B837" s="8"/>
      <c r="C837" s="9"/>
      <c r="D837" s="10"/>
      <c r="E837" s="21"/>
      <c r="F837" s="22"/>
      <c r="G837" s="6"/>
    </row>
    <row r="838" spans="1:7" x14ac:dyDescent="0.35">
      <c r="A838" s="13" t="s">
        <v>246</v>
      </c>
      <c r="B838" s="8"/>
      <c r="C838" s="9"/>
      <c r="D838" s="10"/>
      <c r="E838" s="21"/>
      <c r="F838" s="22"/>
      <c r="G838" s="6"/>
    </row>
    <row r="839" spans="1:7" x14ac:dyDescent="0.35">
      <c r="A839" s="13" t="s">
        <v>247</v>
      </c>
      <c r="B839" s="8"/>
      <c r="C839" s="9"/>
      <c r="D839" s="10"/>
      <c r="E839" s="21"/>
      <c r="F839" s="22"/>
      <c r="G839" s="6"/>
    </row>
    <row r="840" spans="1:7" x14ac:dyDescent="0.35">
      <c r="A840" s="13" t="s">
        <v>248</v>
      </c>
      <c r="B840" s="8"/>
      <c r="C840" s="9"/>
      <c r="D840" s="10"/>
      <c r="E840" s="21"/>
      <c r="F840" s="22"/>
      <c r="G840" s="6"/>
    </row>
    <row r="841" spans="1:7" x14ac:dyDescent="0.35">
      <c r="A841" s="13" t="s">
        <v>249</v>
      </c>
      <c r="B841" s="8"/>
      <c r="C841" s="9"/>
      <c r="D841" s="10"/>
      <c r="E841" s="21"/>
      <c r="F841" s="22"/>
      <c r="G841" s="6"/>
    </row>
    <row r="842" spans="1:7" x14ac:dyDescent="0.35">
      <c r="A842" s="13" t="s">
        <v>250</v>
      </c>
      <c r="B842" s="8"/>
      <c r="C842" s="9"/>
      <c r="D842" s="10"/>
      <c r="E842" s="21"/>
      <c r="F842" s="22"/>
      <c r="G842" s="6"/>
    </row>
    <row r="843" spans="1:7" x14ac:dyDescent="0.35">
      <c r="A843" s="13" t="s">
        <v>251</v>
      </c>
      <c r="B843" s="8"/>
      <c r="C843" s="9"/>
      <c r="D843" s="10"/>
      <c r="E843" s="21"/>
      <c r="F843" s="22"/>
      <c r="G843" s="6"/>
    </row>
    <row r="844" spans="1:7" x14ac:dyDescent="0.35">
      <c r="A844" s="13" t="s">
        <v>252</v>
      </c>
      <c r="B844" s="8"/>
      <c r="C844" s="9"/>
      <c r="D844" s="10"/>
      <c r="E844" s="21"/>
      <c r="F844" s="22"/>
      <c r="G844" s="6"/>
    </row>
    <row r="845" spans="1:7" x14ac:dyDescent="0.35">
      <c r="A845" s="13" t="s">
        <v>253</v>
      </c>
      <c r="B845" s="8"/>
      <c r="C845" s="9"/>
      <c r="D845" s="10"/>
      <c r="E845" s="21"/>
      <c r="F845" s="22"/>
      <c r="G845" s="6"/>
    </row>
    <row r="846" spans="1:7" x14ac:dyDescent="0.35">
      <c r="A846" s="13" t="s">
        <v>254</v>
      </c>
      <c r="B846" s="8"/>
      <c r="C846" s="9"/>
      <c r="D846" s="10"/>
      <c r="E846" s="21"/>
      <c r="F846" s="22"/>
      <c r="G846" s="6"/>
    </row>
    <row r="847" spans="1:7" x14ac:dyDescent="0.35">
      <c r="A847" s="13" t="s">
        <v>255</v>
      </c>
      <c r="B847" s="8"/>
      <c r="C847" s="9"/>
      <c r="D847" s="10"/>
      <c r="E847" s="21"/>
      <c r="F847" s="22"/>
      <c r="G847" s="6"/>
    </row>
    <row r="848" spans="1:7" x14ac:dyDescent="0.35">
      <c r="A848" s="13" t="s">
        <v>256</v>
      </c>
      <c r="B848" s="8"/>
      <c r="C848" s="9"/>
      <c r="D848" s="10"/>
      <c r="E848" s="21"/>
      <c r="F848" s="22"/>
      <c r="G848" s="6"/>
    </row>
    <row r="849" spans="1:7" x14ac:dyDescent="0.35">
      <c r="A849" s="13" t="s">
        <v>257</v>
      </c>
      <c r="B849" s="8"/>
      <c r="C849" s="9"/>
      <c r="D849" s="10"/>
      <c r="E849" s="21"/>
      <c r="F849" s="22"/>
      <c r="G849" s="6"/>
    </row>
    <row r="850" spans="1:7" x14ac:dyDescent="0.35">
      <c r="A850" s="13" t="s">
        <v>258</v>
      </c>
      <c r="B850" s="8"/>
      <c r="C850" s="9"/>
      <c r="D850" s="10"/>
      <c r="E850" s="21"/>
      <c r="F850" s="22"/>
      <c r="G850" s="6"/>
    </row>
    <row r="851" spans="1:7" x14ac:dyDescent="0.35">
      <c r="A851" s="13" t="s">
        <v>259</v>
      </c>
      <c r="B851" s="8"/>
      <c r="C851" s="9"/>
      <c r="D851" s="10"/>
      <c r="E851" s="21"/>
      <c r="F851" s="22"/>
      <c r="G851" s="6"/>
    </row>
    <row r="852" spans="1:7" x14ac:dyDescent="0.35">
      <c r="A852" s="13" t="s">
        <v>260</v>
      </c>
      <c r="B852" s="8"/>
      <c r="C852" s="9"/>
      <c r="D852" s="10"/>
      <c r="E852" s="21"/>
      <c r="F852" s="22"/>
      <c r="G852" s="6"/>
    </row>
    <row r="853" spans="1:7" x14ac:dyDescent="0.35">
      <c r="A853" s="13" t="s">
        <v>261</v>
      </c>
      <c r="B853" s="8"/>
      <c r="C853" s="9"/>
      <c r="D853" s="10"/>
      <c r="E853" s="21"/>
      <c r="F853" s="22"/>
      <c r="G853" s="6"/>
    </row>
    <row r="854" spans="1:7" x14ac:dyDescent="0.35">
      <c r="A854" s="13" t="s">
        <v>262</v>
      </c>
      <c r="B854" s="8"/>
      <c r="C854" s="9"/>
      <c r="D854" s="10"/>
      <c r="E854" s="21"/>
      <c r="F854" s="22"/>
      <c r="G854" s="6"/>
    </row>
    <row r="855" spans="1:7" x14ac:dyDescent="0.35">
      <c r="A855" s="13" t="s">
        <v>263</v>
      </c>
      <c r="B855" s="8"/>
      <c r="C855" s="9"/>
      <c r="D855" s="10"/>
      <c r="E855" s="21"/>
      <c r="F855" s="22"/>
      <c r="G855" s="6"/>
    </row>
    <row r="856" spans="1:7" x14ac:dyDescent="0.35">
      <c r="A856" s="13" t="s">
        <v>264</v>
      </c>
      <c r="B856" s="8"/>
      <c r="C856" s="9"/>
      <c r="D856" s="10"/>
      <c r="E856" s="21"/>
      <c r="F856" s="22"/>
      <c r="G856" s="6"/>
    </row>
    <row r="857" spans="1:7" x14ac:dyDescent="0.35">
      <c r="A857" s="13" t="s">
        <v>265</v>
      </c>
      <c r="B857" s="8"/>
      <c r="C857" s="9"/>
      <c r="D857" s="10"/>
      <c r="E857" s="21"/>
      <c r="F857" s="22"/>
      <c r="G857" s="6"/>
    </row>
    <row r="858" spans="1:7" x14ac:dyDescent="0.35">
      <c r="A858" s="13" t="s">
        <v>266</v>
      </c>
      <c r="B858" s="8"/>
      <c r="C858" s="9"/>
      <c r="D858" s="10"/>
      <c r="E858" s="21"/>
      <c r="F858" s="22"/>
      <c r="G858" s="6"/>
    </row>
    <row r="859" spans="1:7" x14ac:dyDescent="0.35">
      <c r="A859" s="13" t="s">
        <v>267</v>
      </c>
      <c r="B859" s="8"/>
      <c r="C859" s="9"/>
      <c r="D859" s="10"/>
      <c r="E859" s="21"/>
      <c r="F859" s="22"/>
      <c r="G859" s="6"/>
    </row>
    <row r="860" spans="1:7" x14ac:dyDescent="0.35">
      <c r="A860" s="13" t="s">
        <v>268</v>
      </c>
      <c r="B860" s="8"/>
      <c r="C860" s="9"/>
      <c r="D860" s="10"/>
      <c r="E860" s="21"/>
      <c r="F860" s="22"/>
      <c r="G860" s="6"/>
    </row>
    <row r="861" spans="1:7" x14ac:dyDescent="0.35">
      <c r="A861" s="13" t="s">
        <v>269</v>
      </c>
      <c r="B861" s="8"/>
      <c r="C861" s="9"/>
      <c r="D861" s="10"/>
      <c r="E861" s="21"/>
      <c r="F861" s="22"/>
      <c r="G861" s="6"/>
    </row>
    <row r="862" spans="1:7" x14ac:dyDescent="0.35">
      <c r="A862" s="13" t="s">
        <v>270</v>
      </c>
      <c r="B862" s="8"/>
      <c r="C862" s="9"/>
      <c r="D862" s="10"/>
      <c r="E862" s="21"/>
      <c r="F862" s="22"/>
      <c r="G862" s="6"/>
    </row>
    <row r="863" spans="1:7" x14ac:dyDescent="0.35">
      <c r="A863" s="13" t="s">
        <v>271</v>
      </c>
      <c r="B863" s="8"/>
      <c r="C863" s="9"/>
      <c r="D863" s="10"/>
      <c r="E863" s="21"/>
      <c r="F863" s="22"/>
      <c r="G863" s="6"/>
    </row>
    <row r="864" spans="1:7" x14ac:dyDescent="0.35">
      <c r="A864" s="2"/>
      <c r="B864" s="2"/>
      <c r="C864" s="2"/>
      <c r="D864" s="2"/>
      <c r="E864" s="2"/>
      <c r="F864" s="2"/>
      <c r="G864" s="2"/>
    </row>
    <row r="865" spans="1:7" x14ac:dyDescent="0.35">
      <c r="A865" s="13" t="s">
        <v>33</v>
      </c>
      <c r="B865" s="15" t="s">
        <v>0</v>
      </c>
      <c r="C865" s="16" t="s">
        <v>1</v>
      </c>
      <c r="D865" s="17" t="s">
        <v>2</v>
      </c>
      <c r="E865" s="24" t="s">
        <v>3</v>
      </c>
      <c r="F865" s="23" t="s">
        <v>4</v>
      </c>
      <c r="G865" s="18" t="s">
        <v>5</v>
      </c>
    </row>
    <row r="866" spans="1:7" x14ac:dyDescent="0.35">
      <c r="A866" s="13" t="s">
        <v>242</v>
      </c>
      <c r="B866" s="8"/>
      <c r="C866" s="9"/>
      <c r="D866" s="10"/>
      <c r="E866" s="21"/>
      <c r="F866" s="22"/>
      <c r="G866" s="6"/>
    </row>
    <row r="867" spans="1:7" x14ac:dyDescent="0.35">
      <c r="A867" s="13" t="s">
        <v>243</v>
      </c>
      <c r="B867" s="8"/>
      <c r="C867" s="9"/>
      <c r="D867" s="10"/>
      <c r="E867" s="21"/>
      <c r="F867" s="22"/>
      <c r="G867" s="6"/>
    </row>
    <row r="868" spans="1:7" x14ac:dyDescent="0.35">
      <c r="A868" s="13" t="s">
        <v>244</v>
      </c>
      <c r="B868" s="8"/>
      <c r="C868" s="9"/>
      <c r="D868" s="10"/>
      <c r="E868" s="21"/>
      <c r="F868" s="22"/>
      <c r="G868" s="6"/>
    </row>
    <row r="869" spans="1:7" x14ac:dyDescent="0.35">
      <c r="A869" s="13" t="s">
        <v>245</v>
      </c>
      <c r="B869" s="8"/>
      <c r="C869" s="9"/>
      <c r="D869" s="10"/>
      <c r="E869" s="21"/>
      <c r="F869" s="22"/>
      <c r="G869" s="6"/>
    </row>
    <row r="870" spans="1:7" x14ac:dyDescent="0.35">
      <c r="A870" s="13" t="s">
        <v>246</v>
      </c>
      <c r="B870" s="8"/>
      <c r="C870" s="9"/>
      <c r="D870" s="10"/>
      <c r="E870" s="21"/>
      <c r="F870" s="22"/>
      <c r="G870" s="6"/>
    </row>
    <row r="871" spans="1:7" x14ac:dyDescent="0.35">
      <c r="A871" s="13" t="s">
        <v>247</v>
      </c>
      <c r="B871" s="8"/>
      <c r="C871" s="9"/>
      <c r="D871" s="10"/>
      <c r="E871" s="21"/>
      <c r="F871" s="22"/>
      <c r="G871" s="6"/>
    </row>
    <row r="872" spans="1:7" x14ac:dyDescent="0.35">
      <c r="A872" s="13" t="s">
        <v>248</v>
      </c>
      <c r="B872" s="8"/>
      <c r="C872" s="9"/>
      <c r="D872" s="10"/>
      <c r="E872" s="21"/>
      <c r="F872" s="22"/>
      <c r="G872" s="6"/>
    </row>
    <row r="873" spans="1:7" x14ac:dyDescent="0.35">
      <c r="A873" s="13" t="s">
        <v>249</v>
      </c>
      <c r="B873" s="8"/>
      <c r="C873" s="9"/>
      <c r="D873" s="10"/>
      <c r="E873" s="21"/>
      <c r="F873" s="22"/>
      <c r="G873" s="6"/>
    </row>
    <row r="874" spans="1:7" x14ac:dyDescent="0.35">
      <c r="A874" s="13" t="s">
        <v>250</v>
      </c>
      <c r="B874" s="8"/>
      <c r="C874" s="9"/>
      <c r="D874" s="10"/>
      <c r="E874" s="21"/>
      <c r="F874" s="22"/>
      <c r="G874" s="6"/>
    </row>
    <row r="875" spans="1:7" x14ac:dyDescent="0.35">
      <c r="A875" s="13" t="s">
        <v>251</v>
      </c>
      <c r="B875" s="8"/>
      <c r="C875" s="9"/>
      <c r="D875" s="10"/>
      <c r="E875" s="21"/>
      <c r="F875" s="22"/>
      <c r="G875" s="6"/>
    </row>
    <row r="876" spans="1:7" x14ac:dyDescent="0.35">
      <c r="A876" s="13" t="s">
        <v>252</v>
      </c>
      <c r="B876" s="8"/>
      <c r="C876" s="9"/>
      <c r="D876" s="10"/>
      <c r="E876" s="21"/>
      <c r="F876" s="22"/>
      <c r="G876" s="6"/>
    </row>
    <row r="877" spans="1:7" x14ac:dyDescent="0.35">
      <c r="A877" s="13" t="s">
        <v>253</v>
      </c>
      <c r="B877" s="8"/>
      <c r="C877" s="9"/>
      <c r="D877" s="10"/>
      <c r="E877" s="21"/>
      <c r="F877" s="22"/>
      <c r="G877" s="6"/>
    </row>
    <row r="878" spans="1:7" x14ac:dyDescent="0.35">
      <c r="A878" s="13" t="s">
        <v>254</v>
      </c>
      <c r="B878" s="8"/>
      <c r="C878" s="9"/>
      <c r="D878" s="10"/>
      <c r="E878" s="21"/>
      <c r="F878" s="22"/>
      <c r="G878" s="6"/>
    </row>
    <row r="879" spans="1:7" x14ac:dyDescent="0.35">
      <c r="A879" s="13" t="s">
        <v>255</v>
      </c>
      <c r="B879" s="8"/>
      <c r="C879" s="9"/>
      <c r="D879" s="10"/>
      <c r="E879" s="21"/>
      <c r="F879" s="22"/>
      <c r="G879" s="6"/>
    </row>
    <row r="880" spans="1:7" x14ac:dyDescent="0.35">
      <c r="A880" s="13" t="s">
        <v>256</v>
      </c>
      <c r="B880" s="8"/>
      <c r="C880" s="9"/>
      <c r="D880" s="10"/>
      <c r="E880" s="21"/>
      <c r="F880" s="22"/>
      <c r="G880" s="6"/>
    </row>
    <row r="881" spans="1:7" x14ac:dyDescent="0.35">
      <c r="A881" s="13" t="s">
        <v>257</v>
      </c>
      <c r="B881" s="8"/>
      <c r="C881" s="9"/>
      <c r="D881" s="10"/>
      <c r="E881" s="21"/>
      <c r="F881" s="22"/>
      <c r="G881" s="6"/>
    </row>
    <row r="882" spans="1:7" x14ac:dyDescent="0.35">
      <c r="A882" s="13" t="s">
        <v>258</v>
      </c>
      <c r="B882" s="8"/>
      <c r="C882" s="9"/>
      <c r="D882" s="10"/>
      <c r="E882" s="21"/>
      <c r="F882" s="22"/>
      <c r="G882" s="6"/>
    </row>
    <row r="883" spans="1:7" x14ac:dyDescent="0.35">
      <c r="A883" s="13" t="s">
        <v>259</v>
      </c>
      <c r="B883" s="8"/>
      <c r="C883" s="9"/>
      <c r="D883" s="10"/>
      <c r="E883" s="21"/>
      <c r="F883" s="22"/>
      <c r="G883" s="6"/>
    </row>
    <row r="884" spans="1:7" x14ac:dyDescent="0.35">
      <c r="A884" s="13" t="s">
        <v>260</v>
      </c>
      <c r="B884" s="8"/>
      <c r="C884" s="9"/>
      <c r="D884" s="10"/>
      <c r="E884" s="21"/>
      <c r="F884" s="22"/>
      <c r="G884" s="6"/>
    </row>
    <row r="885" spans="1:7" x14ac:dyDescent="0.35">
      <c r="A885" s="13" t="s">
        <v>261</v>
      </c>
      <c r="B885" s="8"/>
      <c r="C885" s="9"/>
      <c r="D885" s="10"/>
      <c r="E885" s="21"/>
      <c r="F885" s="22"/>
      <c r="G885" s="6"/>
    </row>
    <row r="886" spans="1:7" x14ac:dyDescent="0.35">
      <c r="A886" s="13" t="s">
        <v>262</v>
      </c>
      <c r="B886" s="8"/>
      <c r="C886" s="9"/>
      <c r="D886" s="10"/>
      <c r="E886" s="21"/>
      <c r="F886" s="22"/>
      <c r="G886" s="6"/>
    </row>
    <row r="887" spans="1:7" x14ac:dyDescent="0.35">
      <c r="A887" s="13" t="s">
        <v>263</v>
      </c>
      <c r="B887" s="8"/>
      <c r="C887" s="9"/>
      <c r="D887" s="10"/>
      <c r="E887" s="21"/>
      <c r="F887" s="22"/>
      <c r="G887" s="6"/>
    </row>
    <row r="888" spans="1:7" x14ac:dyDescent="0.35">
      <c r="A888" s="13" t="s">
        <v>264</v>
      </c>
      <c r="B888" s="8"/>
      <c r="C888" s="9"/>
      <c r="D888" s="10"/>
      <c r="E888" s="21"/>
      <c r="F888" s="22"/>
      <c r="G888" s="6"/>
    </row>
    <row r="889" spans="1:7" x14ac:dyDescent="0.35">
      <c r="A889" s="13" t="s">
        <v>265</v>
      </c>
      <c r="B889" s="8"/>
      <c r="C889" s="9"/>
      <c r="D889" s="10"/>
      <c r="E889" s="21"/>
      <c r="F889" s="22"/>
      <c r="G889" s="6"/>
    </row>
    <row r="890" spans="1:7" x14ac:dyDescent="0.35">
      <c r="A890" s="13" t="s">
        <v>266</v>
      </c>
      <c r="B890" s="8"/>
      <c r="C890" s="9"/>
      <c r="D890" s="10"/>
      <c r="E890" s="21"/>
      <c r="F890" s="22"/>
      <c r="G890" s="6"/>
    </row>
    <row r="891" spans="1:7" x14ac:dyDescent="0.35">
      <c r="A891" s="13" t="s">
        <v>267</v>
      </c>
      <c r="B891" s="8"/>
      <c r="C891" s="9"/>
      <c r="D891" s="10"/>
      <c r="E891" s="21"/>
      <c r="F891" s="22"/>
      <c r="G891" s="6"/>
    </row>
    <row r="892" spans="1:7" x14ac:dyDescent="0.35">
      <c r="A892" s="13" t="s">
        <v>268</v>
      </c>
      <c r="B892" s="8"/>
      <c r="C892" s="9"/>
      <c r="D892" s="10"/>
      <c r="E892" s="21"/>
      <c r="F892" s="22"/>
      <c r="G892" s="6"/>
    </row>
    <row r="893" spans="1:7" x14ac:dyDescent="0.35">
      <c r="A893" s="13" t="s">
        <v>269</v>
      </c>
      <c r="B893" s="8"/>
      <c r="C893" s="9"/>
      <c r="D893" s="10"/>
      <c r="E893" s="21"/>
      <c r="F893" s="22"/>
      <c r="G893" s="6"/>
    </row>
    <row r="894" spans="1:7" x14ac:dyDescent="0.35">
      <c r="A894" s="13" t="s">
        <v>270</v>
      </c>
      <c r="B894" s="8"/>
      <c r="C894" s="9"/>
      <c r="D894" s="10"/>
      <c r="E894" s="21"/>
      <c r="F894" s="22"/>
      <c r="G894" s="6"/>
    </row>
    <row r="895" spans="1:7" x14ac:dyDescent="0.35">
      <c r="A895" s="13" t="s">
        <v>271</v>
      </c>
      <c r="B895" s="8"/>
      <c r="C895" s="9"/>
      <c r="D895" s="10"/>
      <c r="E895" s="21"/>
      <c r="F895" s="22"/>
      <c r="G895" s="6"/>
    </row>
    <row r="896" spans="1:7" x14ac:dyDescent="0.35">
      <c r="A896" s="2"/>
      <c r="B896" s="2"/>
      <c r="C896" s="2"/>
      <c r="D896" s="2"/>
      <c r="E896" s="2"/>
      <c r="F896" s="2"/>
      <c r="G896" s="2"/>
    </row>
    <row r="897" spans="1:7" x14ac:dyDescent="0.35">
      <c r="A897" s="13" t="s">
        <v>34</v>
      </c>
      <c r="B897" s="15" t="s">
        <v>0</v>
      </c>
      <c r="C897" s="16" t="s">
        <v>1</v>
      </c>
      <c r="D897" s="17" t="s">
        <v>2</v>
      </c>
      <c r="E897" s="24" t="s">
        <v>3</v>
      </c>
      <c r="F897" s="23" t="s">
        <v>4</v>
      </c>
      <c r="G897" s="18" t="s">
        <v>5</v>
      </c>
    </row>
    <row r="898" spans="1:7" x14ac:dyDescent="0.35">
      <c r="A898" s="13" t="s">
        <v>242</v>
      </c>
      <c r="B898" s="8"/>
      <c r="C898" s="9"/>
      <c r="D898" s="10"/>
      <c r="E898" s="21"/>
      <c r="F898" s="22"/>
      <c r="G898" s="6"/>
    </row>
    <row r="899" spans="1:7" x14ac:dyDescent="0.35">
      <c r="A899" s="13" t="s">
        <v>243</v>
      </c>
      <c r="B899" s="8"/>
      <c r="C899" s="9"/>
      <c r="D899" s="10"/>
      <c r="E899" s="21"/>
      <c r="F899" s="22"/>
      <c r="G899" s="6"/>
    </row>
    <row r="900" spans="1:7" x14ac:dyDescent="0.35">
      <c r="A900" s="13" t="s">
        <v>244</v>
      </c>
      <c r="B900" s="8"/>
      <c r="C900" s="9"/>
      <c r="D900" s="10"/>
      <c r="E900" s="21"/>
      <c r="F900" s="22"/>
      <c r="G900" s="6"/>
    </row>
    <row r="901" spans="1:7" x14ac:dyDescent="0.35">
      <c r="A901" s="13" t="s">
        <v>245</v>
      </c>
      <c r="B901" s="8"/>
      <c r="C901" s="9"/>
      <c r="D901" s="10"/>
      <c r="E901" s="21"/>
      <c r="F901" s="22"/>
      <c r="G901" s="6"/>
    </row>
    <row r="902" spans="1:7" x14ac:dyDescent="0.35">
      <c r="A902" s="13" t="s">
        <v>246</v>
      </c>
      <c r="B902" s="8"/>
      <c r="C902" s="9"/>
      <c r="D902" s="10"/>
      <c r="E902" s="21"/>
      <c r="F902" s="22"/>
      <c r="G902" s="6"/>
    </row>
    <row r="903" spans="1:7" x14ac:dyDescent="0.35">
      <c r="A903" s="13" t="s">
        <v>247</v>
      </c>
      <c r="B903" s="8"/>
      <c r="C903" s="9"/>
      <c r="D903" s="10"/>
      <c r="E903" s="21"/>
      <c r="F903" s="22"/>
      <c r="G903" s="6"/>
    </row>
    <row r="904" spans="1:7" x14ac:dyDescent="0.35">
      <c r="A904" s="13" t="s">
        <v>248</v>
      </c>
      <c r="B904" s="8"/>
      <c r="C904" s="9"/>
      <c r="D904" s="10"/>
      <c r="E904" s="21"/>
      <c r="F904" s="22"/>
      <c r="G904" s="6"/>
    </row>
    <row r="905" spans="1:7" x14ac:dyDescent="0.35">
      <c r="A905" s="13" t="s">
        <v>249</v>
      </c>
      <c r="B905" s="8"/>
      <c r="C905" s="9"/>
      <c r="D905" s="10"/>
      <c r="E905" s="21"/>
      <c r="F905" s="22"/>
      <c r="G905" s="6"/>
    </row>
    <row r="906" spans="1:7" x14ac:dyDescent="0.35">
      <c r="A906" s="13" t="s">
        <v>250</v>
      </c>
      <c r="B906" s="8"/>
      <c r="C906" s="9"/>
      <c r="D906" s="10"/>
      <c r="E906" s="21"/>
      <c r="F906" s="22"/>
      <c r="G906" s="6"/>
    </row>
    <row r="907" spans="1:7" x14ac:dyDescent="0.35">
      <c r="A907" s="13" t="s">
        <v>251</v>
      </c>
      <c r="B907" s="8"/>
      <c r="C907" s="9"/>
      <c r="D907" s="10"/>
      <c r="E907" s="21"/>
      <c r="F907" s="22"/>
      <c r="G907" s="6"/>
    </row>
    <row r="908" spans="1:7" x14ac:dyDescent="0.35">
      <c r="A908" s="13" t="s">
        <v>252</v>
      </c>
      <c r="B908" s="8"/>
      <c r="C908" s="9"/>
      <c r="D908" s="10"/>
      <c r="E908" s="21"/>
      <c r="F908" s="22"/>
      <c r="G908" s="6"/>
    </row>
    <row r="909" spans="1:7" x14ac:dyDescent="0.35">
      <c r="A909" s="13" t="s">
        <v>253</v>
      </c>
      <c r="B909" s="8"/>
      <c r="C909" s="9"/>
      <c r="D909" s="10"/>
      <c r="E909" s="21"/>
      <c r="F909" s="22"/>
      <c r="G909" s="6"/>
    </row>
    <row r="910" spans="1:7" x14ac:dyDescent="0.35">
      <c r="A910" s="13" t="s">
        <v>254</v>
      </c>
      <c r="B910" s="8"/>
      <c r="C910" s="9"/>
      <c r="D910" s="10"/>
      <c r="E910" s="21"/>
      <c r="F910" s="22"/>
      <c r="G910" s="6"/>
    </row>
    <row r="911" spans="1:7" x14ac:dyDescent="0.35">
      <c r="A911" s="13" t="s">
        <v>255</v>
      </c>
      <c r="B911" s="8"/>
      <c r="C911" s="9"/>
      <c r="D911" s="10"/>
      <c r="E911" s="21"/>
      <c r="F911" s="22"/>
      <c r="G911" s="6"/>
    </row>
    <row r="912" spans="1:7" x14ac:dyDescent="0.35">
      <c r="A912" s="13" t="s">
        <v>256</v>
      </c>
      <c r="B912" s="8"/>
      <c r="C912" s="9"/>
      <c r="D912" s="10"/>
      <c r="E912" s="21"/>
      <c r="F912" s="22"/>
      <c r="G912" s="6"/>
    </row>
    <row r="913" spans="1:7" x14ac:dyDescent="0.35">
      <c r="A913" s="13" t="s">
        <v>257</v>
      </c>
      <c r="B913" s="8"/>
      <c r="C913" s="9"/>
      <c r="D913" s="10"/>
      <c r="E913" s="21"/>
      <c r="F913" s="22"/>
      <c r="G913" s="6"/>
    </row>
    <row r="914" spans="1:7" x14ac:dyDescent="0.35">
      <c r="A914" s="13" t="s">
        <v>258</v>
      </c>
      <c r="B914" s="8"/>
      <c r="C914" s="9"/>
      <c r="D914" s="10"/>
      <c r="E914" s="21"/>
      <c r="F914" s="22"/>
      <c r="G914" s="6"/>
    </row>
    <row r="915" spans="1:7" x14ac:dyDescent="0.35">
      <c r="A915" s="13" t="s">
        <v>259</v>
      </c>
      <c r="B915" s="8"/>
      <c r="C915" s="9"/>
      <c r="D915" s="10"/>
      <c r="E915" s="21"/>
      <c r="F915" s="22"/>
      <c r="G915" s="6"/>
    </row>
    <row r="916" spans="1:7" x14ac:dyDescent="0.35">
      <c r="A916" s="13" t="s">
        <v>260</v>
      </c>
      <c r="B916" s="8"/>
      <c r="C916" s="9"/>
      <c r="D916" s="10"/>
      <c r="E916" s="21"/>
      <c r="F916" s="22"/>
      <c r="G916" s="6"/>
    </row>
    <row r="917" spans="1:7" x14ac:dyDescent="0.35">
      <c r="A917" s="13" t="s">
        <v>261</v>
      </c>
      <c r="B917" s="8"/>
      <c r="C917" s="9"/>
      <c r="D917" s="10"/>
      <c r="E917" s="21"/>
      <c r="F917" s="22"/>
      <c r="G917" s="6"/>
    </row>
    <row r="918" spans="1:7" x14ac:dyDescent="0.35">
      <c r="A918" s="13" t="s">
        <v>262</v>
      </c>
      <c r="B918" s="8"/>
      <c r="C918" s="9"/>
      <c r="D918" s="10"/>
      <c r="E918" s="21"/>
      <c r="F918" s="22"/>
      <c r="G918" s="6"/>
    </row>
    <row r="919" spans="1:7" x14ac:dyDescent="0.35">
      <c r="A919" s="13" t="s">
        <v>263</v>
      </c>
      <c r="B919" s="8"/>
      <c r="C919" s="9"/>
      <c r="D919" s="10"/>
      <c r="E919" s="21"/>
      <c r="F919" s="22"/>
      <c r="G919" s="6"/>
    </row>
    <row r="920" spans="1:7" x14ac:dyDescent="0.35">
      <c r="A920" s="13" t="s">
        <v>264</v>
      </c>
      <c r="B920" s="8"/>
      <c r="C920" s="9"/>
      <c r="D920" s="10"/>
      <c r="E920" s="21"/>
      <c r="F920" s="22"/>
      <c r="G920" s="6"/>
    </row>
    <row r="921" spans="1:7" x14ac:dyDescent="0.35">
      <c r="A921" s="13" t="s">
        <v>265</v>
      </c>
      <c r="B921" s="8"/>
      <c r="C921" s="9"/>
      <c r="D921" s="10"/>
      <c r="E921" s="21"/>
      <c r="F921" s="22"/>
      <c r="G921" s="6"/>
    </row>
    <row r="922" spans="1:7" x14ac:dyDescent="0.35">
      <c r="A922" s="13" t="s">
        <v>266</v>
      </c>
      <c r="B922" s="8"/>
      <c r="C922" s="9"/>
      <c r="D922" s="10"/>
      <c r="E922" s="21"/>
      <c r="F922" s="22"/>
      <c r="G922" s="6"/>
    </row>
    <row r="923" spans="1:7" x14ac:dyDescent="0.35">
      <c r="A923" s="13" t="s">
        <v>267</v>
      </c>
      <c r="B923" s="8"/>
      <c r="C923" s="9"/>
      <c r="D923" s="10"/>
      <c r="E923" s="21"/>
      <c r="F923" s="22"/>
      <c r="G923" s="6"/>
    </row>
    <row r="924" spans="1:7" x14ac:dyDescent="0.35">
      <c r="A924" s="13" t="s">
        <v>268</v>
      </c>
      <c r="B924" s="8"/>
      <c r="C924" s="9"/>
      <c r="D924" s="10"/>
      <c r="E924" s="21"/>
      <c r="F924" s="22"/>
      <c r="G924" s="6"/>
    </row>
    <row r="925" spans="1:7" x14ac:dyDescent="0.35">
      <c r="A925" s="13" t="s">
        <v>269</v>
      </c>
      <c r="B925" s="8"/>
      <c r="C925" s="9"/>
      <c r="D925" s="10"/>
      <c r="E925" s="21"/>
      <c r="F925" s="22"/>
      <c r="G925" s="6"/>
    </row>
    <row r="926" spans="1:7" x14ac:dyDescent="0.35">
      <c r="A926" s="13" t="s">
        <v>270</v>
      </c>
      <c r="B926" s="8"/>
      <c r="C926" s="9"/>
      <c r="D926" s="10"/>
      <c r="E926" s="21"/>
      <c r="F926" s="22"/>
      <c r="G926" s="6"/>
    </row>
    <row r="927" spans="1:7" x14ac:dyDescent="0.35">
      <c r="A927" s="13" t="s">
        <v>271</v>
      </c>
      <c r="B927" s="8"/>
      <c r="C927" s="9"/>
      <c r="D927" s="10"/>
      <c r="E927" s="21"/>
      <c r="F927" s="22"/>
      <c r="G927" s="6"/>
    </row>
    <row r="928" spans="1:7" x14ac:dyDescent="0.35">
      <c r="A928" s="2"/>
      <c r="B928" s="2"/>
      <c r="C928" s="2"/>
      <c r="D928" s="2"/>
      <c r="E928" s="2"/>
      <c r="F928" s="2"/>
      <c r="G928" s="2"/>
    </row>
    <row r="929" spans="1:7" x14ac:dyDescent="0.35">
      <c r="A929" s="13" t="s">
        <v>35</v>
      </c>
      <c r="B929" s="15" t="s">
        <v>0</v>
      </c>
      <c r="C929" s="16" t="s">
        <v>1</v>
      </c>
      <c r="D929" s="17" t="s">
        <v>2</v>
      </c>
      <c r="E929" s="24" t="s">
        <v>3</v>
      </c>
      <c r="F929" s="23" t="s">
        <v>4</v>
      </c>
      <c r="G929" s="18" t="s">
        <v>5</v>
      </c>
    </row>
    <row r="930" spans="1:7" x14ac:dyDescent="0.35">
      <c r="A930" s="13" t="s">
        <v>242</v>
      </c>
      <c r="B930" s="8"/>
      <c r="C930" s="9"/>
      <c r="D930" s="10"/>
      <c r="E930" s="21"/>
      <c r="F930" s="22"/>
      <c r="G930" s="6"/>
    </row>
    <row r="931" spans="1:7" x14ac:dyDescent="0.35">
      <c r="A931" s="13" t="s">
        <v>243</v>
      </c>
      <c r="B931" s="8"/>
      <c r="C931" s="9"/>
      <c r="D931" s="10"/>
      <c r="E931" s="21"/>
      <c r="F931" s="22"/>
      <c r="G931" s="6"/>
    </row>
    <row r="932" spans="1:7" x14ac:dyDescent="0.35">
      <c r="A932" s="13" t="s">
        <v>244</v>
      </c>
      <c r="B932" s="8"/>
      <c r="C932" s="9"/>
      <c r="D932" s="10"/>
      <c r="E932" s="21"/>
      <c r="F932" s="22"/>
      <c r="G932" s="6"/>
    </row>
    <row r="933" spans="1:7" x14ac:dyDescent="0.35">
      <c r="A933" s="13" t="s">
        <v>245</v>
      </c>
      <c r="B933" s="8"/>
      <c r="C933" s="9"/>
      <c r="D933" s="10"/>
      <c r="E933" s="21"/>
      <c r="F933" s="22"/>
      <c r="G933" s="6"/>
    </row>
    <row r="934" spans="1:7" x14ac:dyDescent="0.35">
      <c r="A934" s="13" t="s">
        <v>246</v>
      </c>
      <c r="B934" s="8"/>
      <c r="C934" s="9"/>
      <c r="D934" s="10"/>
      <c r="E934" s="21"/>
      <c r="F934" s="22"/>
      <c r="G934" s="6"/>
    </row>
    <row r="935" spans="1:7" x14ac:dyDescent="0.35">
      <c r="A935" s="13" t="s">
        <v>247</v>
      </c>
      <c r="B935" s="8"/>
      <c r="C935" s="9"/>
      <c r="D935" s="10"/>
      <c r="E935" s="21"/>
      <c r="F935" s="22"/>
      <c r="G935" s="6"/>
    </row>
    <row r="936" spans="1:7" x14ac:dyDescent="0.35">
      <c r="A936" s="13" t="s">
        <v>248</v>
      </c>
      <c r="B936" s="8"/>
      <c r="C936" s="9"/>
      <c r="D936" s="10"/>
      <c r="E936" s="21"/>
      <c r="F936" s="22"/>
      <c r="G936" s="6"/>
    </row>
    <row r="937" spans="1:7" x14ac:dyDescent="0.35">
      <c r="A937" s="13" t="s">
        <v>249</v>
      </c>
      <c r="B937" s="8"/>
      <c r="C937" s="9"/>
      <c r="D937" s="10"/>
      <c r="E937" s="21"/>
      <c r="F937" s="22"/>
      <c r="G937" s="6"/>
    </row>
    <row r="938" spans="1:7" x14ac:dyDescent="0.35">
      <c r="A938" s="13" t="s">
        <v>250</v>
      </c>
      <c r="B938" s="8"/>
      <c r="C938" s="9"/>
      <c r="D938" s="10"/>
      <c r="E938" s="21"/>
      <c r="F938" s="22"/>
      <c r="G938" s="6"/>
    </row>
    <row r="939" spans="1:7" x14ac:dyDescent="0.35">
      <c r="A939" s="13" t="s">
        <v>251</v>
      </c>
      <c r="B939" s="8"/>
      <c r="C939" s="9"/>
      <c r="D939" s="10"/>
      <c r="E939" s="21"/>
      <c r="F939" s="22"/>
      <c r="G939" s="6"/>
    </row>
    <row r="940" spans="1:7" x14ac:dyDescent="0.35">
      <c r="A940" s="13" t="s">
        <v>252</v>
      </c>
      <c r="B940" s="8"/>
      <c r="C940" s="9"/>
      <c r="D940" s="10"/>
      <c r="E940" s="21"/>
      <c r="F940" s="22"/>
      <c r="G940" s="6"/>
    </row>
    <row r="941" spans="1:7" x14ac:dyDescent="0.35">
      <c r="A941" s="13" t="s">
        <v>253</v>
      </c>
      <c r="B941" s="8"/>
      <c r="C941" s="9"/>
      <c r="D941" s="10"/>
      <c r="E941" s="21"/>
      <c r="F941" s="22"/>
      <c r="G941" s="6"/>
    </row>
    <row r="942" spans="1:7" x14ac:dyDescent="0.35">
      <c r="A942" s="13" t="s">
        <v>254</v>
      </c>
      <c r="B942" s="8"/>
      <c r="C942" s="9"/>
      <c r="D942" s="10"/>
      <c r="E942" s="21"/>
      <c r="F942" s="22"/>
      <c r="G942" s="6"/>
    </row>
    <row r="943" spans="1:7" x14ac:dyDescent="0.35">
      <c r="A943" s="13" t="s">
        <v>255</v>
      </c>
      <c r="B943" s="8"/>
      <c r="C943" s="9"/>
      <c r="D943" s="10"/>
      <c r="E943" s="21"/>
      <c r="F943" s="22"/>
      <c r="G943" s="6"/>
    </row>
    <row r="944" spans="1:7" x14ac:dyDescent="0.35">
      <c r="A944" s="13" t="s">
        <v>256</v>
      </c>
      <c r="B944" s="8"/>
      <c r="C944" s="9"/>
      <c r="D944" s="10"/>
      <c r="E944" s="21"/>
      <c r="F944" s="22"/>
      <c r="G944" s="6"/>
    </row>
    <row r="945" spans="1:7" x14ac:dyDescent="0.35">
      <c r="A945" s="13" t="s">
        <v>257</v>
      </c>
      <c r="B945" s="8"/>
      <c r="C945" s="9"/>
      <c r="D945" s="10"/>
      <c r="E945" s="21"/>
      <c r="F945" s="22"/>
      <c r="G945" s="6"/>
    </row>
    <row r="946" spans="1:7" x14ac:dyDescent="0.35">
      <c r="A946" s="13" t="s">
        <v>258</v>
      </c>
      <c r="B946" s="8"/>
      <c r="C946" s="9"/>
      <c r="D946" s="10"/>
      <c r="E946" s="21"/>
      <c r="F946" s="22"/>
      <c r="G946" s="6"/>
    </row>
    <row r="947" spans="1:7" x14ac:dyDescent="0.35">
      <c r="A947" s="13" t="s">
        <v>259</v>
      </c>
      <c r="B947" s="8"/>
      <c r="C947" s="9"/>
      <c r="D947" s="10"/>
      <c r="E947" s="21"/>
      <c r="F947" s="22"/>
      <c r="G947" s="6"/>
    </row>
    <row r="948" spans="1:7" x14ac:dyDescent="0.35">
      <c r="A948" s="13" t="s">
        <v>260</v>
      </c>
      <c r="B948" s="8"/>
      <c r="C948" s="9"/>
      <c r="D948" s="10"/>
      <c r="E948" s="21"/>
      <c r="F948" s="22"/>
      <c r="G948" s="6"/>
    </row>
    <row r="949" spans="1:7" x14ac:dyDescent="0.35">
      <c r="A949" s="13" t="s">
        <v>261</v>
      </c>
      <c r="B949" s="8"/>
      <c r="C949" s="9"/>
      <c r="D949" s="10"/>
      <c r="E949" s="21"/>
      <c r="F949" s="22"/>
      <c r="G949" s="6"/>
    </row>
    <row r="950" spans="1:7" x14ac:dyDescent="0.35">
      <c r="A950" s="13" t="s">
        <v>262</v>
      </c>
      <c r="B950" s="8"/>
      <c r="C950" s="9"/>
      <c r="D950" s="10"/>
      <c r="E950" s="21"/>
      <c r="F950" s="22"/>
      <c r="G950" s="6"/>
    </row>
    <row r="951" spans="1:7" x14ac:dyDescent="0.35">
      <c r="A951" s="13" t="s">
        <v>263</v>
      </c>
      <c r="B951" s="8"/>
      <c r="C951" s="9"/>
      <c r="D951" s="10"/>
      <c r="E951" s="21"/>
      <c r="F951" s="22"/>
      <c r="G951" s="6"/>
    </row>
    <row r="952" spans="1:7" x14ac:dyDescent="0.35">
      <c r="A952" s="13" t="s">
        <v>264</v>
      </c>
      <c r="B952" s="8"/>
      <c r="C952" s="9"/>
      <c r="D952" s="10"/>
      <c r="E952" s="21"/>
      <c r="F952" s="22"/>
      <c r="G952" s="6"/>
    </row>
    <row r="953" spans="1:7" x14ac:dyDescent="0.35">
      <c r="A953" s="13" t="s">
        <v>265</v>
      </c>
      <c r="B953" s="8"/>
      <c r="C953" s="9"/>
      <c r="D953" s="10"/>
      <c r="E953" s="21"/>
      <c r="F953" s="22"/>
      <c r="G953" s="6"/>
    </row>
    <row r="954" spans="1:7" x14ac:dyDescent="0.35">
      <c r="A954" s="13" t="s">
        <v>266</v>
      </c>
      <c r="B954" s="8"/>
      <c r="C954" s="9"/>
      <c r="D954" s="10"/>
      <c r="E954" s="21"/>
      <c r="F954" s="22"/>
      <c r="G954" s="6"/>
    </row>
    <row r="955" spans="1:7" x14ac:dyDescent="0.35">
      <c r="A955" s="13" t="s">
        <v>267</v>
      </c>
      <c r="B955" s="8"/>
      <c r="C955" s="9"/>
      <c r="D955" s="10"/>
      <c r="E955" s="21"/>
      <c r="F955" s="22"/>
      <c r="G955" s="6"/>
    </row>
    <row r="956" spans="1:7" x14ac:dyDescent="0.35">
      <c r="A956" s="13" t="s">
        <v>268</v>
      </c>
      <c r="B956" s="8"/>
      <c r="C956" s="9"/>
      <c r="D956" s="10"/>
      <c r="E956" s="21"/>
      <c r="F956" s="22"/>
      <c r="G956" s="6"/>
    </row>
    <row r="957" spans="1:7" x14ac:dyDescent="0.35">
      <c r="A957" s="13" t="s">
        <v>269</v>
      </c>
      <c r="B957" s="8"/>
      <c r="C957" s="9"/>
      <c r="D957" s="10"/>
      <c r="E957" s="21"/>
      <c r="F957" s="22"/>
      <c r="G957" s="6"/>
    </row>
    <row r="958" spans="1:7" x14ac:dyDescent="0.35">
      <c r="A958" s="13" t="s">
        <v>270</v>
      </c>
      <c r="B958" s="8"/>
      <c r="C958" s="9"/>
      <c r="D958" s="10"/>
      <c r="E958" s="21"/>
      <c r="F958" s="22"/>
      <c r="G958" s="6"/>
    </row>
    <row r="959" spans="1:7" x14ac:dyDescent="0.35">
      <c r="A959" s="13" t="s">
        <v>271</v>
      </c>
      <c r="B959" s="8"/>
      <c r="C959" s="9"/>
      <c r="D959" s="10"/>
      <c r="E959" s="21"/>
      <c r="F959" s="22"/>
      <c r="G959" s="6"/>
    </row>
    <row r="960" spans="1:7" x14ac:dyDescent="0.35">
      <c r="A960" s="2"/>
      <c r="B960" s="2"/>
      <c r="C960" s="2"/>
      <c r="D960" s="2"/>
      <c r="E960" s="2"/>
      <c r="F960" s="2"/>
      <c r="G960" s="2"/>
    </row>
    <row r="961" spans="1:7" x14ac:dyDescent="0.35">
      <c r="A961" s="13" t="s">
        <v>36</v>
      </c>
      <c r="B961" s="15" t="s">
        <v>0</v>
      </c>
      <c r="C961" s="16" t="s">
        <v>1</v>
      </c>
      <c r="D961" s="17" t="s">
        <v>2</v>
      </c>
      <c r="E961" s="24" t="s">
        <v>3</v>
      </c>
      <c r="F961" s="23" t="s">
        <v>4</v>
      </c>
      <c r="G961" s="18" t="s">
        <v>5</v>
      </c>
    </row>
    <row r="962" spans="1:7" x14ac:dyDescent="0.35">
      <c r="A962" s="13" t="s">
        <v>242</v>
      </c>
      <c r="B962" s="8"/>
      <c r="C962" s="9"/>
      <c r="D962" s="10"/>
      <c r="E962" s="21"/>
      <c r="F962" s="22"/>
      <c r="G962" s="6"/>
    </row>
    <row r="963" spans="1:7" x14ac:dyDescent="0.35">
      <c r="A963" s="13" t="s">
        <v>243</v>
      </c>
      <c r="B963" s="8"/>
      <c r="C963" s="9"/>
      <c r="D963" s="10"/>
      <c r="E963" s="21"/>
      <c r="F963" s="22"/>
      <c r="G963" s="6"/>
    </row>
    <row r="964" spans="1:7" x14ac:dyDescent="0.35">
      <c r="A964" s="13" t="s">
        <v>244</v>
      </c>
      <c r="B964" s="8"/>
      <c r="C964" s="9"/>
      <c r="D964" s="10"/>
      <c r="E964" s="21"/>
      <c r="F964" s="22"/>
      <c r="G964" s="6"/>
    </row>
    <row r="965" spans="1:7" x14ac:dyDescent="0.35">
      <c r="A965" s="13" t="s">
        <v>245</v>
      </c>
      <c r="B965" s="8"/>
      <c r="C965" s="9"/>
      <c r="D965" s="10"/>
      <c r="E965" s="21"/>
      <c r="F965" s="22"/>
      <c r="G965" s="6"/>
    </row>
    <row r="966" spans="1:7" x14ac:dyDescent="0.35">
      <c r="A966" s="13" t="s">
        <v>246</v>
      </c>
      <c r="B966" s="8"/>
      <c r="C966" s="9"/>
      <c r="D966" s="10"/>
      <c r="E966" s="21"/>
      <c r="F966" s="22"/>
      <c r="G966" s="6"/>
    </row>
    <row r="967" spans="1:7" x14ac:dyDescent="0.35">
      <c r="A967" s="13" t="s">
        <v>247</v>
      </c>
      <c r="B967" s="8"/>
      <c r="C967" s="9"/>
      <c r="D967" s="10"/>
      <c r="E967" s="21"/>
      <c r="F967" s="22"/>
      <c r="G967" s="6"/>
    </row>
    <row r="968" spans="1:7" x14ac:dyDescent="0.35">
      <c r="A968" s="13" t="s">
        <v>248</v>
      </c>
      <c r="B968" s="8"/>
      <c r="C968" s="9"/>
      <c r="D968" s="10"/>
      <c r="E968" s="21"/>
      <c r="F968" s="22"/>
      <c r="G968" s="6"/>
    </row>
    <row r="969" spans="1:7" x14ac:dyDescent="0.35">
      <c r="A969" s="13" t="s">
        <v>249</v>
      </c>
      <c r="B969" s="8"/>
      <c r="C969" s="9"/>
      <c r="D969" s="10"/>
      <c r="E969" s="21"/>
      <c r="F969" s="22"/>
      <c r="G969" s="6"/>
    </row>
    <row r="970" spans="1:7" x14ac:dyDescent="0.35">
      <c r="A970" s="13" t="s">
        <v>250</v>
      </c>
      <c r="B970" s="8"/>
      <c r="C970" s="9"/>
      <c r="D970" s="10"/>
      <c r="E970" s="21"/>
      <c r="F970" s="22"/>
      <c r="G970" s="6"/>
    </row>
    <row r="971" spans="1:7" x14ac:dyDescent="0.35">
      <c r="A971" s="13" t="s">
        <v>251</v>
      </c>
      <c r="B971" s="8"/>
      <c r="C971" s="9"/>
      <c r="D971" s="10"/>
      <c r="E971" s="21"/>
      <c r="F971" s="22"/>
      <c r="G971" s="6"/>
    </row>
    <row r="972" spans="1:7" x14ac:dyDescent="0.35">
      <c r="A972" s="13" t="s">
        <v>252</v>
      </c>
      <c r="B972" s="8"/>
      <c r="C972" s="9"/>
      <c r="D972" s="10"/>
      <c r="E972" s="21"/>
      <c r="F972" s="22"/>
      <c r="G972" s="6"/>
    </row>
    <row r="973" spans="1:7" x14ac:dyDescent="0.35">
      <c r="A973" s="13" t="s">
        <v>253</v>
      </c>
      <c r="B973" s="8"/>
      <c r="C973" s="9"/>
      <c r="D973" s="10"/>
      <c r="E973" s="21"/>
      <c r="F973" s="22"/>
      <c r="G973" s="6"/>
    </row>
    <row r="974" spans="1:7" x14ac:dyDescent="0.35">
      <c r="A974" s="13" t="s">
        <v>254</v>
      </c>
      <c r="B974" s="8"/>
      <c r="C974" s="9"/>
      <c r="D974" s="10"/>
      <c r="E974" s="21"/>
      <c r="F974" s="22"/>
      <c r="G974" s="6"/>
    </row>
    <row r="975" spans="1:7" x14ac:dyDescent="0.35">
      <c r="A975" s="13" t="s">
        <v>255</v>
      </c>
      <c r="B975" s="8"/>
      <c r="C975" s="9"/>
      <c r="D975" s="10"/>
      <c r="E975" s="21"/>
      <c r="F975" s="22"/>
      <c r="G975" s="6"/>
    </row>
    <row r="976" spans="1:7" x14ac:dyDescent="0.35">
      <c r="A976" s="13" t="s">
        <v>256</v>
      </c>
      <c r="B976" s="8"/>
      <c r="C976" s="9"/>
      <c r="D976" s="10"/>
      <c r="E976" s="21"/>
      <c r="F976" s="22"/>
      <c r="G976" s="6"/>
    </row>
    <row r="977" spans="1:7" x14ac:dyDescent="0.35">
      <c r="A977" s="13" t="s">
        <v>257</v>
      </c>
      <c r="B977" s="8"/>
      <c r="C977" s="9"/>
      <c r="D977" s="10"/>
      <c r="E977" s="21"/>
      <c r="F977" s="22"/>
      <c r="G977" s="6"/>
    </row>
    <row r="978" spans="1:7" x14ac:dyDescent="0.35">
      <c r="A978" s="13" t="s">
        <v>258</v>
      </c>
      <c r="B978" s="8"/>
      <c r="C978" s="9"/>
      <c r="D978" s="10"/>
      <c r="E978" s="21"/>
      <c r="F978" s="22"/>
      <c r="G978" s="6"/>
    </row>
    <row r="979" spans="1:7" x14ac:dyDescent="0.35">
      <c r="A979" s="13" t="s">
        <v>259</v>
      </c>
      <c r="B979" s="8"/>
      <c r="C979" s="9"/>
      <c r="D979" s="10"/>
      <c r="E979" s="21"/>
      <c r="F979" s="22"/>
      <c r="G979" s="6"/>
    </row>
    <row r="980" spans="1:7" x14ac:dyDescent="0.35">
      <c r="A980" s="13" t="s">
        <v>260</v>
      </c>
      <c r="B980" s="8"/>
      <c r="C980" s="9"/>
      <c r="D980" s="10"/>
      <c r="E980" s="21"/>
      <c r="F980" s="22"/>
      <c r="G980" s="6"/>
    </row>
    <row r="981" spans="1:7" x14ac:dyDescent="0.35">
      <c r="A981" s="13" t="s">
        <v>261</v>
      </c>
      <c r="B981" s="8"/>
      <c r="C981" s="9"/>
      <c r="D981" s="10"/>
      <c r="E981" s="21"/>
      <c r="F981" s="22"/>
      <c r="G981" s="6"/>
    </row>
    <row r="982" spans="1:7" x14ac:dyDescent="0.35">
      <c r="A982" s="13" t="s">
        <v>262</v>
      </c>
      <c r="B982" s="8"/>
      <c r="C982" s="9"/>
      <c r="D982" s="10"/>
      <c r="E982" s="21"/>
      <c r="F982" s="22"/>
      <c r="G982" s="6"/>
    </row>
    <row r="983" spans="1:7" x14ac:dyDescent="0.35">
      <c r="A983" s="13" t="s">
        <v>263</v>
      </c>
      <c r="B983" s="8"/>
      <c r="C983" s="9"/>
      <c r="D983" s="10"/>
      <c r="E983" s="21"/>
      <c r="F983" s="22"/>
      <c r="G983" s="6"/>
    </row>
    <row r="984" spans="1:7" x14ac:dyDescent="0.35">
      <c r="A984" s="13" t="s">
        <v>264</v>
      </c>
      <c r="B984" s="8"/>
      <c r="C984" s="9"/>
      <c r="D984" s="10"/>
      <c r="E984" s="21"/>
      <c r="F984" s="22"/>
      <c r="G984" s="6"/>
    </row>
    <row r="985" spans="1:7" x14ac:dyDescent="0.35">
      <c r="A985" s="13" t="s">
        <v>265</v>
      </c>
      <c r="B985" s="8"/>
      <c r="C985" s="9"/>
      <c r="D985" s="10"/>
      <c r="E985" s="21"/>
      <c r="F985" s="22"/>
      <c r="G985" s="6"/>
    </row>
    <row r="986" spans="1:7" x14ac:dyDescent="0.35">
      <c r="A986" s="13" t="s">
        <v>266</v>
      </c>
      <c r="B986" s="8"/>
      <c r="C986" s="9"/>
      <c r="D986" s="10"/>
      <c r="E986" s="21"/>
      <c r="F986" s="22"/>
      <c r="G986" s="6"/>
    </row>
    <row r="987" spans="1:7" x14ac:dyDescent="0.35">
      <c r="A987" s="13" t="s">
        <v>267</v>
      </c>
      <c r="B987" s="8"/>
      <c r="C987" s="9"/>
      <c r="D987" s="10"/>
      <c r="E987" s="21"/>
      <c r="F987" s="22"/>
      <c r="G987" s="6"/>
    </row>
    <row r="988" spans="1:7" x14ac:dyDescent="0.35">
      <c r="A988" s="13" t="s">
        <v>268</v>
      </c>
      <c r="B988" s="8"/>
      <c r="C988" s="9"/>
      <c r="D988" s="10"/>
      <c r="E988" s="21"/>
      <c r="F988" s="22"/>
      <c r="G988" s="6"/>
    </row>
    <row r="989" spans="1:7" x14ac:dyDescent="0.35">
      <c r="A989" s="13" t="s">
        <v>269</v>
      </c>
      <c r="B989" s="8"/>
      <c r="C989" s="9"/>
      <c r="D989" s="10"/>
      <c r="E989" s="21"/>
      <c r="F989" s="22"/>
      <c r="G989" s="6"/>
    </row>
    <row r="990" spans="1:7" x14ac:dyDescent="0.35">
      <c r="A990" s="13" t="s">
        <v>270</v>
      </c>
      <c r="B990" s="8"/>
      <c r="C990" s="9"/>
      <c r="D990" s="10"/>
      <c r="E990" s="21"/>
      <c r="F990" s="22"/>
      <c r="G990" s="6"/>
    </row>
    <row r="991" spans="1:7" x14ac:dyDescent="0.35">
      <c r="A991" s="13" t="s">
        <v>271</v>
      </c>
      <c r="B991" s="8"/>
      <c r="C991" s="9"/>
      <c r="D991" s="10"/>
      <c r="E991" s="21"/>
      <c r="F991" s="22"/>
      <c r="G991" s="6"/>
    </row>
    <row r="992" spans="1:7" x14ac:dyDescent="0.35">
      <c r="A992" s="2"/>
      <c r="B992" s="2"/>
      <c r="C992" s="2"/>
      <c r="D992" s="2"/>
      <c r="E992" s="2"/>
      <c r="F992" s="2"/>
      <c r="G992" s="2"/>
    </row>
    <row r="993" spans="1:7" x14ac:dyDescent="0.35">
      <c r="A993" s="13" t="s">
        <v>37</v>
      </c>
      <c r="B993" s="15" t="s">
        <v>0</v>
      </c>
      <c r="C993" s="16" t="s">
        <v>1</v>
      </c>
      <c r="D993" s="17" t="s">
        <v>2</v>
      </c>
      <c r="E993" s="24" t="s">
        <v>3</v>
      </c>
      <c r="F993" s="23" t="s">
        <v>4</v>
      </c>
      <c r="G993" s="18" t="s">
        <v>5</v>
      </c>
    </row>
    <row r="994" spans="1:7" x14ac:dyDescent="0.35">
      <c r="A994" s="13" t="s">
        <v>242</v>
      </c>
      <c r="B994" s="8"/>
      <c r="C994" s="9"/>
      <c r="D994" s="10"/>
      <c r="E994" s="21"/>
      <c r="F994" s="22"/>
      <c r="G994" s="6"/>
    </row>
    <row r="995" spans="1:7" x14ac:dyDescent="0.35">
      <c r="A995" s="13" t="s">
        <v>243</v>
      </c>
      <c r="B995" s="8"/>
      <c r="C995" s="9"/>
      <c r="D995" s="10"/>
      <c r="E995" s="21"/>
      <c r="F995" s="22"/>
      <c r="G995" s="6"/>
    </row>
    <row r="996" spans="1:7" x14ac:dyDescent="0.35">
      <c r="A996" s="13" t="s">
        <v>244</v>
      </c>
      <c r="B996" s="8"/>
      <c r="C996" s="9"/>
      <c r="D996" s="10"/>
      <c r="E996" s="21"/>
      <c r="F996" s="22"/>
      <c r="G996" s="6"/>
    </row>
    <row r="997" spans="1:7" x14ac:dyDescent="0.35">
      <c r="A997" s="13" t="s">
        <v>245</v>
      </c>
      <c r="B997" s="8"/>
      <c r="C997" s="9"/>
      <c r="D997" s="10"/>
      <c r="E997" s="21"/>
      <c r="F997" s="22"/>
      <c r="G997" s="6"/>
    </row>
    <row r="998" spans="1:7" x14ac:dyDescent="0.35">
      <c r="A998" s="13" t="s">
        <v>246</v>
      </c>
      <c r="B998" s="8"/>
      <c r="C998" s="9"/>
      <c r="D998" s="10"/>
      <c r="E998" s="21"/>
      <c r="F998" s="22"/>
      <c r="G998" s="6"/>
    </row>
    <row r="999" spans="1:7" x14ac:dyDescent="0.35">
      <c r="A999" s="13" t="s">
        <v>247</v>
      </c>
      <c r="B999" s="8"/>
      <c r="C999" s="9"/>
      <c r="D999" s="10"/>
      <c r="E999" s="21"/>
      <c r="F999" s="22"/>
      <c r="G999" s="6"/>
    </row>
    <row r="1000" spans="1:7" x14ac:dyDescent="0.35">
      <c r="A1000" s="13" t="s">
        <v>248</v>
      </c>
      <c r="B1000" s="8"/>
      <c r="C1000" s="9"/>
      <c r="D1000" s="10"/>
      <c r="E1000" s="21"/>
      <c r="F1000" s="22"/>
      <c r="G1000" s="6"/>
    </row>
    <row r="1001" spans="1:7" x14ac:dyDescent="0.35">
      <c r="A1001" s="13" t="s">
        <v>249</v>
      </c>
      <c r="B1001" s="8"/>
      <c r="C1001" s="9"/>
      <c r="D1001" s="10"/>
      <c r="E1001" s="21"/>
      <c r="F1001" s="22"/>
      <c r="G1001" s="6"/>
    </row>
    <row r="1002" spans="1:7" x14ac:dyDescent="0.35">
      <c r="A1002" s="13" t="s">
        <v>250</v>
      </c>
      <c r="B1002" s="8"/>
      <c r="C1002" s="9"/>
      <c r="D1002" s="10"/>
      <c r="E1002" s="21"/>
      <c r="F1002" s="22"/>
      <c r="G1002" s="6"/>
    </row>
    <row r="1003" spans="1:7" x14ac:dyDescent="0.35">
      <c r="A1003" s="13" t="s">
        <v>251</v>
      </c>
      <c r="B1003" s="8"/>
      <c r="C1003" s="9"/>
      <c r="D1003" s="10"/>
      <c r="E1003" s="21"/>
      <c r="F1003" s="22"/>
      <c r="G1003" s="6"/>
    </row>
    <row r="1004" spans="1:7" x14ac:dyDescent="0.35">
      <c r="A1004" s="13" t="s">
        <v>252</v>
      </c>
      <c r="B1004" s="8"/>
      <c r="C1004" s="9"/>
      <c r="D1004" s="10"/>
      <c r="E1004" s="21"/>
      <c r="F1004" s="22"/>
      <c r="G1004" s="6"/>
    </row>
    <row r="1005" spans="1:7" x14ac:dyDescent="0.35">
      <c r="A1005" s="13" t="s">
        <v>253</v>
      </c>
      <c r="B1005" s="8"/>
      <c r="C1005" s="9"/>
      <c r="D1005" s="10"/>
      <c r="E1005" s="21"/>
      <c r="F1005" s="22"/>
      <c r="G1005" s="6"/>
    </row>
    <row r="1006" spans="1:7" x14ac:dyDescent="0.35">
      <c r="A1006" s="13" t="s">
        <v>254</v>
      </c>
      <c r="B1006" s="8"/>
      <c r="C1006" s="9"/>
      <c r="D1006" s="10"/>
      <c r="E1006" s="21"/>
      <c r="F1006" s="22"/>
      <c r="G1006" s="6"/>
    </row>
    <row r="1007" spans="1:7" x14ac:dyDescent="0.35">
      <c r="A1007" s="13" t="s">
        <v>255</v>
      </c>
      <c r="B1007" s="8"/>
      <c r="C1007" s="9"/>
      <c r="D1007" s="10"/>
      <c r="E1007" s="21"/>
      <c r="F1007" s="22"/>
      <c r="G1007" s="6"/>
    </row>
    <row r="1008" spans="1:7" x14ac:dyDescent="0.35">
      <c r="A1008" s="13" t="s">
        <v>256</v>
      </c>
      <c r="B1008" s="8"/>
      <c r="C1008" s="9"/>
      <c r="D1008" s="10"/>
      <c r="E1008" s="21"/>
      <c r="F1008" s="22"/>
      <c r="G1008" s="6"/>
    </row>
    <row r="1009" spans="1:7" x14ac:dyDescent="0.35">
      <c r="A1009" s="13" t="s">
        <v>257</v>
      </c>
      <c r="B1009" s="8"/>
      <c r="C1009" s="9"/>
      <c r="D1009" s="10"/>
      <c r="E1009" s="21"/>
      <c r="F1009" s="22"/>
      <c r="G1009" s="6"/>
    </row>
    <row r="1010" spans="1:7" x14ac:dyDescent="0.35">
      <c r="A1010" s="13" t="s">
        <v>258</v>
      </c>
      <c r="B1010" s="8"/>
      <c r="C1010" s="9"/>
      <c r="D1010" s="10"/>
      <c r="E1010" s="21"/>
      <c r="F1010" s="22"/>
      <c r="G1010" s="6"/>
    </row>
    <row r="1011" spans="1:7" x14ac:dyDescent="0.35">
      <c r="A1011" s="13" t="s">
        <v>259</v>
      </c>
      <c r="B1011" s="8"/>
      <c r="C1011" s="9"/>
      <c r="D1011" s="10"/>
      <c r="E1011" s="21"/>
      <c r="F1011" s="22"/>
      <c r="G1011" s="6"/>
    </row>
    <row r="1012" spans="1:7" x14ac:dyDescent="0.35">
      <c r="A1012" s="13" t="s">
        <v>260</v>
      </c>
      <c r="B1012" s="8"/>
      <c r="C1012" s="9"/>
      <c r="D1012" s="10"/>
      <c r="E1012" s="21"/>
      <c r="F1012" s="22"/>
      <c r="G1012" s="6"/>
    </row>
    <row r="1013" spans="1:7" x14ac:dyDescent="0.35">
      <c r="A1013" s="13" t="s">
        <v>261</v>
      </c>
      <c r="B1013" s="8"/>
      <c r="C1013" s="9"/>
      <c r="D1013" s="10"/>
      <c r="E1013" s="21"/>
      <c r="F1013" s="22"/>
      <c r="G1013" s="6"/>
    </row>
    <row r="1014" spans="1:7" x14ac:dyDescent="0.35">
      <c r="A1014" s="13" t="s">
        <v>262</v>
      </c>
      <c r="B1014" s="8"/>
      <c r="C1014" s="9"/>
      <c r="D1014" s="10"/>
      <c r="E1014" s="21"/>
      <c r="F1014" s="22"/>
      <c r="G1014" s="6"/>
    </row>
    <row r="1015" spans="1:7" x14ac:dyDescent="0.35">
      <c r="A1015" s="13" t="s">
        <v>263</v>
      </c>
      <c r="B1015" s="8"/>
      <c r="C1015" s="9"/>
      <c r="D1015" s="10"/>
      <c r="E1015" s="21"/>
      <c r="F1015" s="22"/>
      <c r="G1015" s="6"/>
    </row>
    <row r="1016" spans="1:7" x14ac:dyDescent="0.35">
      <c r="A1016" s="13" t="s">
        <v>264</v>
      </c>
      <c r="B1016" s="8"/>
      <c r="C1016" s="9"/>
      <c r="D1016" s="10"/>
      <c r="E1016" s="21"/>
      <c r="F1016" s="22"/>
      <c r="G1016" s="6"/>
    </row>
    <row r="1017" spans="1:7" x14ac:dyDescent="0.35">
      <c r="A1017" s="13" t="s">
        <v>265</v>
      </c>
      <c r="B1017" s="8"/>
      <c r="C1017" s="9"/>
      <c r="D1017" s="10"/>
      <c r="E1017" s="21"/>
      <c r="F1017" s="22"/>
      <c r="G1017" s="6"/>
    </row>
    <row r="1018" spans="1:7" x14ac:dyDescent="0.35">
      <c r="A1018" s="13" t="s">
        <v>266</v>
      </c>
      <c r="B1018" s="8"/>
      <c r="C1018" s="9"/>
      <c r="D1018" s="10"/>
      <c r="E1018" s="21"/>
      <c r="F1018" s="22"/>
      <c r="G1018" s="6"/>
    </row>
    <row r="1019" spans="1:7" x14ac:dyDescent="0.35">
      <c r="A1019" s="13" t="s">
        <v>267</v>
      </c>
      <c r="B1019" s="8"/>
      <c r="C1019" s="9"/>
      <c r="D1019" s="10"/>
      <c r="E1019" s="21"/>
      <c r="F1019" s="22"/>
      <c r="G1019" s="6"/>
    </row>
    <row r="1020" spans="1:7" x14ac:dyDescent="0.35">
      <c r="A1020" s="13" t="s">
        <v>268</v>
      </c>
      <c r="B1020" s="8"/>
      <c r="C1020" s="9"/>
      <c r="D1020" s="10"/>
      <c r="E1020" s="21"/>
      <c r="F1020" s="22"/>
      <c r="G1020" s="6"/>
    </row>
    <row r="1021" spans="1:7" x14ac:dyDescent="0.35">
      <c r="A1021" s="13" t="s">
        <v>269</v>
      </c>
      <c r="B1021" s="8"/>
      <c r="C1021" s="9"/>
      <c r="D1021" s="10"/>
      <c r="E1021" s="21"/>
      <c r="F1021" s="22"/>
      <c r="G1021" s="6"/>
    </row>
    <row r="1022" spans="1:7" x14ac:dyDescent="0.35">
      <c r="A1022" s="13" t="s">
        <v>270</v>
      </c>
      <c r="B1022" s="8"/>
      <c r="C1022" s="9"/>
      <c r="D1022" s="10"/>
      <c r="E1022" s="21"/>
      <c r="F1022" s="22"/>
      <c r="G1022" s="6"/>
    </row>
    <row r="1023" spans="1:7" x14ac:dyDescent="0.35">
      <c r="A1023" s="13" t="s">
        <v>271</v>
      </c>
      <c r="B1023" s="8"/>
      <c r="C1023" s="9"/>
      <c r="D1023" s="10"/>
      <c r="E1023" s="21"/>
      <c r="F1023" s="22"/>
      <c r="G1023" s="6"/>
    </row>
    <row r="1024" spans="1:7" x14ac:dyDescent="0.35">
      <c r="A1024" s="2"/>
      <c r="B1024" s="2"/>
      <c r="C1024" s="2"/>
      <c r="D1024" s="2"/>
      <c r="E1024" s="2"/>
      <c r="F1024" s="2"/>
      <c r="G1024" s="2"/>
    </row>
    <row r="1025" spans="1:7" x14ac:dyDescent="0.35">
      <c r="A1025" s="13" t="s">
        <v>38</v>
      </c>
      <c r="B1025" s="15" t="s">
        <v>0</v>
      </c>
      <c r="C1025" s="16" t="s">
        <v>1</v>
      </c>
      <c r="D1025" s="17" t="s">
        <v>2</v>
      </c>
      <c r="E1025" s="24" t="s">
        <v>3</v>
      </c>
      <c r="F1025" s="23" t="s">
        <v>4</v>
      </c>
      <c r="G1025" s="18" t="s">
        <v>5</v>
      </c>
    </row>
    <row r="1026" spans="1:7" x14ac:dyDescent="0.35">
      <c r="A1026" s="13" t="s">
        <v>242</v>
      </c>
      <c r="B1026" s="8"/>
      <c r="C1026" s="9"/>
      <c r="D1026" s="10"/>
      <c r="E1026" s="21"/>
      <c r="F1026" s="22"/>
      <c r="G1026" s="6"/>
    </row>
    <row r="1027" spans="1:7" x14ac:dyDescent="0.35">
      <c r="A1027" s="13" t="s">
        <v>243</v>
      </c>
      <c r="B1027" s="8"/>
      <c r="C1027" s="9"/>
      <c r="D1027" s="10"/>
      <c r="E1027" s="21"/>
      <c r="F1027" s="22"/>
      <c r="G1027" s="6"/>
    </row>
    <row r="1028" spans="1:7" x14ac:dyDescent="0.35">
      <c r="A1028" s="13" t="s">
        <v>244</v>
      </c>
      <c r="B1028" s="8"/>
      <c r="C1028" s="9"/>
      <c r="D1028" s="10"/>
      <c r="E1028" s="21"/>
      <c r="F1028" s="22"/>
      <c r="G1028" s="6"/>
    </row>
    <row r="1029" spans="1:7" x14ac:dyDescent="0.35">
      <c r="A1029" s="13" t="s">
        <v>245</v>
      </c>
      <c r="B1029" s="8"/>
      <c r="C1029" s="9"/>
      <c r="D1029" s="10"/>
      <c r="E1029" s="21"/>
      <c r="F1029" s="22"/>
      <c r="G1029" s="6"/>
    </row>
    <row r="1030" spans="1:7" x14ac:dyDescent="0.35">
      <c r="A1030" s="13" t="s">
        <v>246</v>
      </c>
      <c r="B1030" s="8"/>
      <c r="C1030" s="9"/>
      <c r="D1030" s="10"/>
      <c r="E1030" s="21"/>
      <c r="F1030" s="22"/>
      <c r="G1030" s="6"/>
    </row>
    <row r="1031" spans="1:7" x14ac:dyDescent="0.35">
      <c r="A1031" s="13" t="s">
        <v>247</v>
      </c>
      <c r="B1031" s="8"/>
      <c r="C1031" s="9"/>
      <c r="D1031" s="10"/>
      <c r="E1031" s="21"/>
      <c r="F1031" s="22"/>
      <c r="G1031" s="6"/>
    </row>
    <row r="1032" spans="1:7" x14ac:dyDescent="0.35">
      <c r="A1032" s="13" t="s">
        <v>248</v>
      </c>
      <c r="B1032" s="8"/>
      <c r="C1032" s="9"/>
      <c r="D1032" s="10"/>
      <c r="E1032" s="21"/>
      <c r="F1032" s="22"/>
      <c r="G1032" s="6"/>
    </row>
    <row r="1033" spans="1:7" x14ac:dyDescent="0.35">
      <c r="A1033" s="13" t="s">
        <v>249</v>
      </c>
      <c r="B1033" s="8"/>
      <c r="C1033" s="9"/>
      <c r="D1033" s="10"/>
      <c r="E1033" s="21"/>
      <c r="F1033" s="22"/>
      <c r="G1033" s="6"/>
    </row>
    <row r="1034" spans="1:7" x14ac:dyDescent="0.35">
      <c r="A1034" s="13" t="s">
        <v>250</v>
      </c>
      <c r="B1034" s="8"/>
      <c r="C1034" s="9"/>
      <c r="D1034" s="10"/>
      <c r="E1034" s="21"/>
      <c r="F1034" s="22"/>
      <c r="G1034" s="6"/>
    </row>
    <row r="1035" spans="1:7" x14ac:dyDescent="0.35">
      <c r="A1035" s="13" t="s">
        <v>251</v>
      </c>
      <c r="B1035" s="8"/>
      <c r="C1035" s="9"/>
      <c r="D1035" s="10"/>
      <c r="E1035" s="21"/>
      <c r="F1035" s="22"/>
      <c r="G1035" s="6"/>
    </row>
    <row r="1036" spans="1:7" x14ac:dyDescent="0.35">
      <c r="A1036" s="13" t="s">
        <v>252</v>
      </c>
      <c r="B1036" s="8"/>
      <c r="C1036" s="9"/>
      <c r="D1036" s="10"/>
      <c r="E1036" s="21"/>
      <c r="F1036" s="22"/>
      <c r="G1036" s="6"/>
    </row>
    <row r="1037" spans="1:7" x14ac:dyDescent="0.35">
      <c r="A1037" s="13" t="s">
        <v>253</v>
      </c>
      <c r="B1037" s="8"/>
      <c r="C1037" s="9"/>
      <c r="D1037" s="10"/>
      <c r="E1037" s="21"/>
      <c r="F1037" s="22"/>
      <c r="G1037" s="6"/>
    </row>
    <row r="1038" spans="1:7" x14ac:dyDescent="0.35">
      <c r="A1038" s="13" t="s">
        <v>254</v>
      </c>
      <c r="B1038" s="8"/>
      <c r="C1038" s="9"/>
      <c r="D1038" s="10"/>
      <c r="E1038" s="21"/>
      <c r="F1038" s="22"/>
      <c r="G1038" s="6"/>
    </row>
    <row r="1039" spans="1:7" x14ac:dyDescent="0.35">
      <c r="A1039" s="13" t="s">
        <v>255</v>
      </c>
      <c r="B1039" s="8"/>
      <c r="C1039" s="9"/>
      <c r="D1039" s="10"/>
      <c r="E1039" s="21"/>
      <c r="F1039" s="22"/>
      <c r="G1039" s="6"/>
    </row>
    <row r="1040" spans="1:7" x14ac:dyDescent="0.35">
      <c r="A1040" s="13" t="s">
        <v>256</v>
      </c>
      <c r="B1040" s="8"/>
      <c r="C1040" s="9"/>
      <c r="D1040" s="10"/>
      <c r="E1040" s="21"/>
      <c r="F1040" s="22"/>
      <c r="G1040" s="6"/>
    </row>
    <row r="1041" spans="1:7" x14ac:dyDescent="0.35">
      <c r="A1041" s="13" t="s">
        <v>257</v>
      </c>
      <c r="B1041" s="8"/>
      <c r="C1041" s="9"/>
      <c r="D1041" s="10"/>
      <c r="E1041" s="21"/>
      <c r="F1041" s="22"/>
      <c r="G1041" s="6"/>
    </row>
    <row r="1042" spans="1:7" x14ac:dyDescent="0.35">
      <c r="A1042" s="13" t="s">
        <v>258</v>
      </c>
      <c r="B1042" s="8"/>
      <c r="C1042" s="9"/>
      <c r="D1042" s="10"/>
      <c r="E1042" s="21"/>
      <c r="F1042" s="22"/>
      <c r="G1042" s="6"/>
    </row>
    <row r="1043" spans="1:7" x14ac:dyDescent="0.35">
      <c r="A1043" s="13" t="s">
        <v>259</v>
      </c>
      <c r="B1043" s="8"/>
      <c r="C1043" s="9"/>
      <c r="D1043" s="10"/>
      <c r="E1043" s="21"/>
      <c r="F1043" s="22"/>
      <c r="G1043" s="6"/>
    </row>
    <row r="1044" spans="1:7" x14ac:dyDescent="0.35">
      <c r="A1044" s="13" t="s">
        <v>260</v>
      </c>
      <c r="B1044" s="8"/>
      <c r="C1044" s="9"/>
      <c r="D1044" s="10"/>
      <c r="E1044" s="21"/>
      <c r="F1044" s="22"/>
      <c r="G1044" s="6"/>
    </row>
    <row r="1045" spans="1:7" x14ac:dyDescent="0.35">
      <c r="A1045" s="13" t="s">
        <v>261</v>
      </c>
      <c r="B1045" s="8"/>
      <c r="C1045" s="9"/>
      <c r="D1045" s="10"/>
      <c r="E1045" s="21"/>
      <c r="F1045" s="22"/>
      <c r="G1045" s="6"/>
    </row>
    <row r="1046" spans="1:7" x14ac:dyDescent="0.35">
      <c r="A1046" s="13" t="s">
        <v>262</v>
      </c>
      <c r="B1046" s="8"/>
      <c r="C1046" s="9"/>
      <c r="D1046" s="10"/>
      <c r="E1046" s="21"/>
      <c r="F1046" s="22"/>
      <c r="G1046" s="6"/>
    </row>
    <row r="1047" spans="1:7" x14ac:dyDescent="0.35">
      <c r="A1047" s="13" t="s">
        <v>263</v>
      </c>
      <c r="B1047" s="8"/>
      <c r="C1047" s="9"/>
      <c r="D1047" s="10"/>
      <c r="E1047" s="21"/>
      <c r="F1047" s="22"/>
      <c r="G1047" s="6"/>
    </row>
    <row r="1048" spans="1:7" x14ac:dyDescent="0.35">
      <c r="A1048" s="13" t="s">
        <v>264</v>
      </c>
      <c r="B1048" s="8"/>
      <c r="C1048" s="9"/>
      <c r="D1048" s="10"/>
      <c r="E1048" s="21"/>
      <c r="F1048" s="22"/>
      <c r="G1048" s="6"/>
    </row>
    <row r="1049" spans="1:7" x14ac:dyDescent="0.35">
      <c r="A1049" s="13" t="s">
        <v>265</v>
      </c>
      <c r="B1049" s="8"/>
      <c r="C1049" s="9"/>
      <c r="D1049" s="10"/>
      <c r="E1049" s="21"/>
      <c r="F1049" s="22"/>
      <c r="G1049" s="6"/>
    </row>
    <row r="1050" spans="1:7" x14ac:dyDescent="0.35">
      <c r="A1050" s="13" t="s">
        <v>266</v>
      </c>
      <c r="B1050" s="8"/>
      <c r="C1050" s="9"/>
      <c r="D1050" s="10"/>
      <c r="E1050" s="21"/>
      <c r="F1050" s="22"/>
      <c r="G1050" s="6"/>
    </row>
    <row r="1051" spans="1:7" x14ac:dyDescent="0.35">
      <c r="A1051" s="13" t="s">
        <v>267</v>
      </c>
      <c r="B1051" s="8"/>
      <c r="C1051" s="9"/>
      <c r="D1051" s="10"/>
      <c r="E1051" s="21"/>
      <c r="F1051" s="22"/>
      <c r="G1051" s="6"/>
    </row>
    <row r="1052" spans="1:7" x14ac:dyDescent="0.35">
      <c r="A1052" s="13" t="s">
        <v>268</v>
      </c>
      <c r="B1052" s="8"/>
      <c r="C1052" s="9"/>
      <c r="D1052" s="10"/>
      <c r="E1052" s="21"/>
      <c r="F1052" s="22"/>
      <c r="G1052" s="6"/>
    </row>
    <row r="1053" spans="1:7" x14ac:dyDescent="0.35">
      <c r="A1053" s="13" t="s">
        <v>269</v>
      </c>
      <c r="B1053" s="8"/>
      <c r="C1053" s="9"/>
      <c r="D1053" s="10"/>
      <c r="E1053" s="21"/>
      <c r="F1053" s="22"/>
      <c r="G1053" s="6"/>
    </row>
    <row r="1054" spans="1:7" x14ac:dyDescent="0.35">
      <c r="A1054" s="13" t="s">
        <v>270</v>
      </c>
      <c r="B1054" s="8"/>
      <c r="C1054" s="9"/>
      <c r="D1054" s="10"/>
      <c r="E1054" s="21"/>
      <c r="F1054" s="22"/>
      <c r="G1054" s="6"/>
    </row>
    <row r="1055" spans="1:7" x14ac:dyDescent="0.35">
      <c r="A1055" s="13" t="s">
        <v>271</v>
      </c>
      <c r="B1055" s="8"/>
      <c r="C1055" s="9"/>
      <c r="D1055" s="10"/>
      <c r="E1055" s="21"/>
      <c r="F1055" s="22"/>
      <c r="G1055" s="6"/>
    </row>
    <row r="1056" spans="1:7" x14ac:dyDescent="0.35">
      <c r="A1056" s="2"/>
      <c r="B1056" s="2"/>
      <c r="C1056" s="2"/>
      <c r="D1056" s="2"/>
      <c r="E1056" s="2"/>
      <c r="F1056" s="2"/>
      <c r="G1056" s="2"/>
    </row>
    <row r="1057" spans="1:7" x14ac:dyDescent="0.35">
      <c r="A1057" s="13" t="s">
        <v>39</v>
      </c>
      <c r="B1057" s="15" t="s">
        <v>0</v>
      </c>
      <c r="C1057" s="16" t="s">
        <v>1</v>
      </c>
      <c r="D1057" s="17" t="s">
        <v>2</v>
      </c>
      <c r="E1057" s="24" t="s">
        <v>3</v>
      </c>
      <c r="F1057" s="23" t="s">
        <v>4</v>
      </c>
      <c r="G1057" s="18" t="s">
        <v>5</v>
      </c>
    </row>
    <row r="1058" spans="1:7" x14ac:dyDescent="0.35">
      <c r="A1058" s="13" t="s">
        <v>242</v>
      </c>
      <c r="B1058" s="8"/>
      <c r="C1058" s="9"/>
      <c r="D1058" s="10"/>
      <c r="E1058" s="21"/>
      <c r="F1058" s="22"/>
      <c r="G1058" s="6"/>
    </row>
    <row r="1059" spans="1:7" x14ac:dyDescent="0.35">
      <c r="A1059" s="13" t="s">
        <v>243</v>
      </c>
      <c r="B1059" s="8"/>
      <c r="C1059" s="9"/>
      <c r="D1059" s="10"/>
      <c r="E1059" s="21"/>
      <c r="F1059" s="22"/>
      <c r="G1059" s="6"/>
    </row>
    <row r="1060" spans="1:7" x14ac:dyDescent="0.35">
      <c r="A1060" s="13" t="s">
        <v>244</v>
      </c>
      <c r="B1060" s="8"/>
      <c r="C1060" s="9"/>
      <c r="D1060" s="10"/>
      <c r="E1060" s="21"/>
      <c r="F1060" s="22"/>
      <c r="G1060" s="6"/>
    </row>
    <row r="1061" spans="1:7" x14ac:dyDescent="0.35">
      <c r="A1061" s="13" t="s">
        <v>245</v>
      </c>
      <c r="B1061" s="8"/>
      <c r="C1061" s="9"/>
      <c r="D1061" s="10"/>
      <c r="E1061" s="21"/>
      <c r="F1061" s="22"/>
      <c r="G1061" s="6"/>
    </row>
    <row r="1062" spans="1:7" x14ac:dyDescent="0.35">
      <c r="A1062" s="13" t="s">
        <v>246</v>
      </c>
      <c r="B1062" s="8"/>
      <c r="C1062" s="9"/>
      <c r="D1062" s="10"/>
      <c r="E1062" s="21"/>
      <c r="F1062" s="22"/>
      <c r="G1062" s="6"/>
    </row>
    <row r="1063" spans="1:7" x14ac:dyDescent="0.35">
      <c r="A1063" s="13" t="s">
        <v>247</v>
      </c>
      <c r="B1063" s="8"/>
      <c r="C1063" s="9"/>
      <c r="D1063" s="10"/>
      <c r="E1063" s="21"/>
      <c r="F1063" s="22"/>
      <c r="G1063" s="6"/>
    </row>
    <row r="1064" spans="1:7" x14ac:dyDescent="0.35">
      <c r="A1064" s="13" t="s">
        <v>248</v>
      </c>
      <c r="B1064" s="8"/>
      <c r="C1064" s="9"/>
      <c r="D1064" s="10"/>
      <c r="E1064" s="21"/>
      <c r="F1064" s="22"/>
      <c r="G1064" s="6"/>
    </row>
    <row r="1065" spans="1:7" x14ac:dyDescent="0.35">
      <c r="A1065" s="13" t="s">
        <v>249</v>
      </c>
      <c r="B1065" s="8"/>
      <c r="C1065" s="9"/>
      <c r="D1065" s="10"/>
      <c r="E1065" s="21"/>
      <c r="F1065" s="22"/>
      <c r="G1065" s="6"/>
    </row>
    <row r="1066" spans="1:7" x14ac:dyDescent="0.35">
      <c r="A1066" s="13" t="s">
        <v>250</v>
      </c>
      <c r="B1066" s="8"/>
      <c r="C1066" s="9"/>
      <c r="D1066" s="10"/>
      <c r="E1066" s="21"/>
      <c r="F1066" s="22"/>
      <c r="G1066" s="6"/>
    </row>
    <row r="1067" spans="1:7" x14ac:dyDescent="0.35">
      <c r="A1067" s="13" t="s">
        <v>251</v>
      </c>
      <c r="B1067" s="8"/>
      <c r="C1067" s="9"/>
      <c r="D1067" s="10"/>
      <c r="E1067" s="21"/>
      <c r="F1067" s="22"/>
      <c r="G1067" s="6"/>
    </row>
    <row r="1068" spans="1:7" x14ac:dyDescent="0.35">
      <c r="A1068" s="13" t="s">
        <v>252</v>
      </c>
      <c r="B1068" s="8"/>
      <c r="C1068" s="9"/>
      <c r="D1068" s="10"/>
      <c r="E1068" s="21"/>
      <c r="F1068" s="22"/>
      <c r="G1068" s="6"/>
    </row>
    <row r="1069" spans="1:7" x14ac:dyDescent="0.35">
      <c r="A1069" s="13" t="s">
        <v>253</v>
      </c>
      <c r="B1069" s="8"/>
      <c r="C1069" s="9"/>
      <c r="D1069" s="10"/>
      <c r="E1069" s="21"/>
      <c r="F1069" s="22"/>
      <c r="G1069" s="6"/>
    </row>
    <row r="1070" spans="1:7" x14ac:dyDescent="0.35">
      <c r="A1070" s="13" t="s">
        <v>254</v>
      </c>
      <c r="B1070" s="8"/>
      <c r="C1070" s="9"/>
      <c r="D1070" s="10"/>
      <c r="E1070" s="21"/>
      <c r="F1070" s="22"/>
      <c r="G1070" s="6"/>
    </row>
    <row r="1071" spans="1:7" x14ac:dyDescent="0.35">
      <c r="A1071" s="13" t="s">
        <v>255</v>
      </c>
      <c r="B1071" s="8"/>
      <c r="C1071" s="9"/>
      <c r="D1071" s="10"/>
      <c r="E1071" s="21"/>
      <c r="F1071" s="22"/>
      <c r="G1071" s="6"/>
    </row>
    <row r="1072" spans="1:7" x14ac:dyDescent="0.35">
      <c r="A1072" s="13" t="s">
        <v>256</v>
      </c>
      <c r="B1072" s="8"/>
      <c r="C1072" s="9"/>
      <c r="D1072" s="10"/>
      <c r="E1072" s="21"/>
      <c r="F1072" s="22"/>
      <c r="G1072" s="6"/>
    </row>
    <row r="1073" spans="1:7" x14ac:dyDescent="0.35">
      <c r="A1073" s="13" t="s">
        <v>257</v>
      </c>
      <c r="B1073" s="8"/>
      <c r="C1073" s="9"/>
      <c r="D1073" s="10"/>
      <c r="E1073" s="21"/>
      <c r="F1073" s="22"/>
      <c r="G1073" s="6"/>
    </row>
    <row r="1074" spans="1:7" x14ac:dyDescent="0.35">
      <c r="A1074" s="13" t="s">
        <v>258</v>
      </c>
      <c r="B1074" s="8"/>
      <c r="C1074" s="9"/>
      <c r="D1074" s="10"/>
      <c r="E1074" s="21"/>
      <c r="F1074" s="22"/>
      <c r="G1074" s="6"/>
    </row>
    <row r="1075" spans="1:7" x14ac:dyDescent="0.35">
      <c r="A1075" s="13" t="s">
        <v>259</v>
      </c>
      <c r="B1075" s="8"/>
      <c r="C1075" s="9"/>
      <c r="D1075" s="10"/>
      <c r="E1075" s="21"/>
      <c r="F1075" s="22"/>
      <c r="G1075" s="6"/>
    </row>
    <row r="1076" spans="1:7" x14ac:dyDescent="0.35">
      <c r="A1076" s="13" t="s">
        <v>260</v>
      </c>
      <c r="B1076" s="8"/>
      <c r="C1076" s="9"/>
      <c r="D1076" s="10"/>
      <c r="E1076" s="21"/>
      <c r="F1076" s="22"/>
      <c r="G1076" s="6"/>
    </row>
    <row r="1077" spans="1:7" x14ac:dyDescent="0.35">
      <c r="A1077" s="13" t="s">
        <v>261</v>
      </c>
      <c r="B1077" s="8"/>
      <c r="C1077" s="9"/>
      <c r="D1077" s="10"/>
      <c r="E1077" s="21"/>
      <c r="F1077" s="22"/>
      <c r="G1077" s="6"/>
    </row>
    <row r="1078" spans="1:7" x14ac:dyDescent="0.35">
      <c r="A1078" s="13" t="s">
        <v>262</v>
      </c>
      <c r="B1078" s="8"/>
      <c r="C1078" s="9"/>
      <c r="D1078" s="10"/>
      <c r="E1078" s="21"/>
      <c r="F1078" s="22"/>
      <c r="G1078" s="6"/>
    </row>
    <row r="1079" spans="1:7" x14ac:dyDescent="0.35">
      <c r="A1079" s="13" t="s">
        <v>263</v>
      </c>
      <c r="B1079" s="8"/>
      <c r="C1079" s="9"/>
      <c r="D1079" s="10"/>
      <c r="E1079" s="21"/>
      <c r="F1079" s="22"/>
      <c r="G1079" s="6"/>
    </row>
    <row r="1080" spans="1:7" x14ac:dyDescent="0.35">
      <c r="A1080" s="13" t="s">
        <v>264</v>
      </c>
      <c r="B1080" s="8"/>
      <c r="C1080" s="9"/>
      <c r="D1080" s="10"/>
      <c r="E1080" s="21"/>
      <c r="F1080" s="22"/>
      <c r="G1080" s="6"/>
    </row>
    <row r="1081" spans="1:7" x14ac:dyDescent="0.35">
      <c r="A1081" s="13" t="s">
        <v>265</v>
      </c>
      <c r="B1081" s="8"/>
      <c r="C1081" s="9"/>
      <c r="D1081" s="10"/>
      <c r="E1081" s="21"/>
      <c r="F1081" s="22"/>
      <c r="G1081" s="6"/>
    </row>
    <row r="1082" spans="1:7" x14ac:dyDescent="0.35">
      <c r="A1082" s="13" t="s">
        <v>266</v>
      </c>
      <c r="B1082" s="8"/>
      <c r="C1082" s="9"/>
      <c r="D1082" s="10"/>
      <c r="E1082" s="21"/>
      <c r="F1082" s="22"/>
      <c r="G1082" s="6"/>
    </row>
    <row r="1083" spans="1:7" x14ac:dyDescent="0.35">
      <c r="A1083" s="13" t="s">
        <v>267</v>
      </c>
      <c r="B1083" s="8"/>
      <c r="C1083" s="9"/>
      <c r="D1083" s="10"/>
      <c r="E1083" s="21"/>
      <c r="F1083" s="22"/>
      <c r="G1083" s="6"/>
    </row>
    <row r="1084" spans="1:7" x14ac:dyDescent="0.35">
      <c r="A1084" s="13" t="s">
        <v>268</v>
      </c>
      <c r="B1084" s="8"/>
      <c r="C1084" s="9"/>
      <c r="D1084" s="10"/>
      <c r="E1084" s="21"/>
      <c r="F1084" s="22"/>
      <c r="G1084" s="6"/>
    </row>
    <row r="1085" spans="1:7" x14ac:dyDescent="0.35">
      <c r="A1085" s="13" t="s">
        <v>269</v>
      </c>
      <c r="B1085" s="8"/>
      <c r="C1085" s="9"/>
      <c r="D1085" s="10"/>
      <c r="E1085" s="21"/>
      <c r="F1085" s="22"/>
      <c r="G1085" s="6"/>
    </row>
    <row r="1086" spans="1:7" x14ac:dyDescent="0.35">
      <c r="A1086" s="13" t="s">
        <v>270</v>
      </c>
      <c r="B1086" s="8"/>
      <c r="C1086" s="9"/>
      <c r="D1086" s="10"/>
      <c r="E1086" s="21"/>
      <c r="F1086" s="22"/>
      <c r="G1086" s="6"/>
    </row>
    <row r="1087" spans="1:7" x14ac:dyDescent="0.35">
      <c r="A1087" s="13" t="s">
        <v>271</v>
      </c>
      <c r="B1087" s="8"/>
      <c r="C1087" s="9"/>
      <c r="D1087" s="10"/>
      <c r="E1087" s="21"/>
      <c r="F1087" s="22"/>
      <c r="G1087" s="6"/>
    </row>
    <row r="1088" spans="1:7" x14ac:dyDescent="0.35">
      <c r="A1088" s="2"/>
      <c r="B1088" s="2"/>
      <c r="C1088" s="2"/>
      <c r="D1088" s="2"/>
      <c r="E1088" s="2"/>
      <c r="F1088" s="2"/>
      <c r="G1088" s="2"/>
    </row>
    <row r="1089" spans="1:7" x14ac:dyDescent="0.35">
      <c r="A1089" s="13" t="s">
        <v>40</v>
      </c>
      <c r="B1089" s="15" t="s">
        <v>0</v>
      </c>
      <c r="C1089" s="16" t="s">
        <v>1</v>
      </c>
      <c r="D1089" s="17" t="s">
        <v>2</v>
      </c>
      <c r="E1089" s="24" t="s">
        <v>3</v>
      </c>
      <c r="F1089" s="23" t="s">
        <v>4</v>
      </c>
      <c r="G1089" s="18" t="s">
        <v>5</v>
      </c>
    </row>
    <row r="1090" spans="1:7" x14ac:dyDescent="0.35">
      <c r="A1090" s="13" t="s">
        <v>242</v>
      </c>
      <c r="B1090" s="8"/>
      <c r="C1090" s="9"/>
      <c r="D1090" s="10"/>
      <c r="E1090" s="21"/>
      <c r="F1090" s="22"/>
      <c r="G1090" s="6"/>
    </row>
    <row r="1091" spans="1:7" x14ac:dyDescent="0.35">
      <c r="A1091" s="13" t="s">
        <v>243</v>
      </c>
      <c r="B1091" s="8"/>
      <c r="C1091" s="9"/>
      <c r="D1091" s="10"/>
      <c r="E1091" s="21"/>
      <c r="F1091" s="22"/>
      <c r="G1091" s="6"/>
    </row>
    <row r="1092" spans="1:7" x14ac:dyDescent="0.35">
      <c r="A1092" s="13" t="s">
        <v>244</v>
      </c>
      <c r="B1092" s="8"/>
      <c r="C1092" s="9"/>
      <c r="D1092" s="10"/>
      <c r="E1092" s="21"/>
      <c r="F1092" s="22"/>
      <c r="G1092" s="6"/>
    </row>
    <row r="1093" spans="1:7" x14ac:dyDescent="0.35">
      <c r="A1093" s="13" t="s">
        <v>245</v>
      </c>
      <c r="B1093" s="8"/>
      <c r="C1093" s="9"/>
      <c r="D1093" s="10"/>
      <c r="E1093" s="21"/>
      <c r="F1093" s="22"/>
      <c r="G1093" s="6"/>
    </row>
    <row r="1094" spans="1:7" x14ac:dyDescent="0.35">
      <c r="A1094" s="13" t="s">
        <v>246</v>
      </c>
      <c r="B1094" s="8"/>
      <c r="C1094" s="9"/>
      <c r="D1094" s="10"/>
      <c r="E1094" s="21"/>
      <c r="F1094" s="22"/>
      <c r="G1094" s="6"/>
    </row>
    <row r="1095" spans="1:7" x14ac:dyDescent="0.35">
      <c r="A1095" s="13" t="s">
        <v>247</v>
      </c>
      <c r="B1095" s="8"/>
      <c r="C1095" s="9"/>
      <c r="D1095" s="10"/>
      <c r="E1095" s="21"/>
      <c r="F1095" s="22"/>
      <c r="G1095" s="6"/>
    </row>
    <row r="1096" spans="1:7" x14ac:dyDescent="0.35">
      <c r="A1096" s="13" t="s">
        <v>248</v>
      </c>
      <c r="B1096" s="8"/>
      <c r="C1096" s="9"/>
      <c r="D1096" s="10"/>
      <c r="E1096" s="21"/>
      <c r="F1096" s="22"/>
      <c r="G1096" s="6"/>
    </row>
    <row r="1097" spans="1:7" x14ac:dyDescent="0.35">
      <c r="A1097" s="13" t="s">
        <v>249</v>
      </c>
      <c r="B1097" s="8"/>
      <c r="C1097" s="9"/>
      <c r="D1097" s="10"/>
      <c r="E1097" s="21"/>
      <c r="F1097" s="22"/>
      <c r="G1097" s="6"/>
    </row>
    <row r="1098" spans="1:7" x14ac:dyDescent="0.35">
      <c r="A1098" s="13" t="s">
        <v>250</v>
      </c>
      <c r="B1098" s="8"/>
      <c r="C1098" s="9"/>
      <c r="D1098" s="10"/>
      <c r="E1098" s="21"/>
      <c r="F1098" s="22"/>
      <c r="G1098" s="6"/>
    </row>
    <row r="1099" spans="1:7" x14ac:dyDescent="0.35">
      <c r="A1099" s="13" t="s">
        <v>251</v>
      </c>
      <c r="B1099" s="8"/>
      <c r="C1099" s="9"/>
      <c r="D1099" s="10"/>
      <c r="E1099" s="21"/>
      <c r="F1099" s="22"/>
      <c r="G1099" s="6"/>
    </row>
    <row r="1100" spans="1:7" x14ac:dyDescent="0.35">
      <c r="A1100" s="13" t="s">
        <v>252</v>
      </c>
      <c r="B1100" s="8"/>
      <c r="C1100" s="9"/>
      <c r="D1100" s="10"/>
      <c r="E1100" s="21"/>
      <c r="F1100" s="22"/>
      <c r="G1100" s="6"/>
    </row>
    <row r="1101" spans="1:7" x14ac:dyDescent="0.35">
      <c r="A1101" s="13" t="s">
        <v>253</v>
      </c>
      <c r="B1101" s="8"/>
      <c r="C1101" s="9"/>
      <c r="D1101" s="10"/>
      <c r="E1101" s="21"/>
      <c r="F1101" s="22"/>
      <c r="G1101" s="6"/>
    </row>
    <row r="1102" spans="1:7" x14ac:dyDescent="0.35">
      <c r="A1102" s="13" t="s">
        <v>254</v>
      </c>
      <c r="B1102" s="8"/>
      <c r="C1102" s="9"/>
      <c r="D1102" s="10"/>
      <c r="E1102" s="21"/>
      <c r="F1102" s="22"/>
      <c r="G1102" s="6"/>
    </row>
    <row r="1103" spans="1:7" x14ac:dyDescent="0.35">
      <c r="A1103" s="13" t="s">
        <v>255</v>
      </c>
      <c r="B1103" s="8"/>
      <c r="C1103" s="9"/>
      <c r="D1103" s="10"/>
      <c r="E1103" s="21"/>
      <c r="F1103" s="22"/>
      <c r="G1103" s="6"/>
    </row>
    <row r="1104" spans="1:7" x14ac:dyDescent="0.35">
      <c r="A1104" s="13" t="s">
        <v>256</v>
      </c>
      <c r="B1104" s="8"/>
      <c r="C1104" s="9"/>
      <c r="D1104" s="10"/>
      <c r="E1104" s="21"/>
      <c r="F1104" s="22"/>
      <c r="G1104" s="6"/>
    </row>
    <row r="1105" spans="1:7" x14ac:dyDescent="0.35">
      <c r="A1105" s="13" t="s">
        <v>257</v>
      </c>
      <c r="B1105" s="8"/>
      <c r="C1105" s="9"/>
      <c r="D1105" s="10"/>
      <c r="E1105" s="21"/>
      <c r="F1105" s="22"/>
      <c r="G1105" s="6"/>
    </row>
    <row r="1106" spans="1:7" x14ac:dyDescent="0.35">
      <c r="A1106" s="13" t="s">
        <v>258</v>
      </c>
      <c r="B1106" s="8"/>
      <c r="C1106" s="9"/>
      <c r="D1106" s="10"/>
      <c r="E1106" s="21"/>
      <c r="F1106" s="22"/>
      <c r="G1106" s="6"/>
    </row>
    <row r="1107" spans="1:7" x14ac:dyDescent="0.35">
      <c r="A1107" s="13" t="s">
        <v>259</v>
      </c>
      <c r="B1107" s="8"/>
      <c r="C1107" s="9"/>
      <c r="D1107" s="10"/>
      <c r="E1107" s="21"/>
      <c r="F1107" s="22"/>
      <c r="G1107" s="6"/>
    </row>
    <row r="1108" spans="1:7" x14ac:dyDescent="0.35">
      <c r="A1108" s="13" t="s">
        <v>260</v>
      </c>
      <c r="B1108" s="8"/>
      <c r="C1108" s="9"/>
      <c r="D1108" s="10"/>
      <c r="E1108" s="21"/>
      <c r="F1108" s="22"/>
      <c r="G1108" s="6"/>
    </row>
    <row r="1109" spans="1:7" x14ac:dyDescent="0.35">
      <c r="A1109" s="13" t="s">
        <v>261</v>
      </c>
      <c r="B1109" s="8"/>
      <c r="C1109" s="9"/>
      <c r="D1109" s="10"/>
      <c r="E1109" s="21"/>
      <c r="F1109" s="22"/>
      <c r="G1109" s="6"/>
    </row>
    <row r="1110" spans="1:7" x14ac:dyDescent="0.35">
      <c r="A1110" s="13" t="s">
        <v>262</v>
      </c>
      <c r="B1110" s="8"/>
      <c r="C1110" s="9"/>
      <c r="D1110" s="10"/>
      <c r="E1110" s="21"/>
      <c r="F1110" s="22"/>
      <c r="G1110" s="6"/>
    </row>
    <row r="1111" spans="1:7" x14ac:dyDescent="0.35">
      <c r="A1111" s="13" t="s">
        <v>263</v>
      </c>
      <c r="B1111" s="8"/>
      <c r="C1111" s="9"/>
      <c r="D1111" s="10"/>
      <c r="E1111" s="21"/>
      <c r="F1111" s="22"/>
      <c r="G1111" s="6"/>
    </row>
    <row r="1112" spans="1:7" x14ac:dyDescent="0.35">
      <c r="A1112" s="13" t="s">
        <v>264</v>
      </c>
      <c r="B1112" s="8"/>
      <c r="C1112" s="9"/>
      <c r="D1112" s="10"/>
      <c r="E1112" s="21"/>
      <c r="F1112" s="22"/>
      <c r="G1112" s="6"/>
    </row>
    <row r="1113" spans="1:7" x14ac:dyDescent="0.35">
      <c r="A1113" s="13" t="s">
        <v>265</v>
      </c>
      <c r="B1113" s="8"/>
      <c r="C1113" s="9"/>
      <c r="D1113" s="10"/>
      <c r="E1113" s="21"/>
      <c r="F1113" s="22"/>
      <c r="G1113" s="6"/>
    </row>
    <row r="1114" spans="1:7" x14ac:dyDescent="0.35">
      <c r="A1114" s="13" t="s">
        <v>266</v>
      </c>
      <c r="B1114" s="8"/>
      <c r="C1114" s="9"/>
      <c r="D1114" s="10"/>
      <c r="E1114" s="21"/>
      <c r="F1114" s="22"/>
      <c r="G1114" s="6"/>
    </row>
    <row r="1115" spans="1:7" x14ac:dyDescent="0.35">
      <c r="A1115" s="13" t="s">
        <v>267</v>
      </c>
      <c r="B1115" s="8"/>
      <c r="C1115" s="9"/>
      <c r="D1115" s="10"/>
      <c r="E1115" s="21"/>
      <c r="F1115" s="22"/>
      <c r="G1115" s="6"/>
    </row>
    <row r="1116" spans="1:7" x14ac:dyDescent="0.35">
      <c r="A1116" s="13" t="s">
        <v>268</v>
      </c>
      <c r="B1116" s="8"/>
      <c r="C1116" s="9"/>
      <c r="D1116" s="10"/>
      <c r="E1116" s="21"/>
      <c r="F1116" s="22"/>
      <c r="G1116" s="6"/>
    </row>
    <row r="1117" spans="1:7" x14ac:dyDescent="0.35">
      <c r="A1117" s="13" t="s">
        <v>269</v>
      </c>
      <c r="B1117" s="8"/>
      <c r="C1117" s="9"/>
      <c r="D1117" s="10"/>
      <c r="E1117" s="21"/>
      <c r="F1117" s="22"/>
      <c r="G1117" s="6"/>
    </row>
    <row r="1118" spans="1:7" x14ac:dyDescent="0.35">
      <c r="A1118" s="13" t="s">
        <v>270</v>
      </c>
      <c r="B1118" s="8"/>
      <c r="C1118" s="9"/>
      <c r="D1118" s="10"/>
      <c r="E1118" s="21"/>
      <c r="F1118" s="22"/>
      <c r="G1118" s="6"/>
    </row>
    <row r="1119" spans="1:7" x14ac:dyDescent="0.35">
      <c r="A1119" s="13" t="s">
        <v>271</v>
      </c>
      <c r="B1119" s="8"/>
      <c r="C1119" s="9"/>
      <c r="D1119" s="10"/>
      <c r="E1119" s="21"/>
      <c r="F1119" s="22"/>
      <c r="G1119" s="6"/>
    </row>
    <row r="1120" spans="1:7" x14ac:dyDescent="0.35">
      <c r="A1120" s="2"/>
      <c r="B1120" s="2"/>
      <c r="C1120" s="2"/>
      <c r="D1120" s="2"/>
      <c r="E1120" s="2"/>
      <c r="F1120" s="2"/>
      <c r="G1120" s="2"/>
    </row>
    <row r="1121" spans="1:7" x14ac:dyDescent="0.35">
      <c r="A1121" s="13" t="s">
        <v>41</v>
      </c>
      <c r="B1121" s="15" t="s">
        <v>0</v>
      </c>
      <c r="C1121" s="16" t="s">
        <v>1</v>
      </c>
      <c r="D1121" s="17" t="s">
        <v>2</v>
      </c>
      <c r="E1121" s="24" t="s">
        <v>3</v>
      </c>
      <c r="F1121" s="23" t="s">
        <v>4</v>
      </c>
      <c r="G1121" s="18" t="s">
        <v>5</v>
      </c>
    </row>
    <row r="1122" spans="1:7" x14ac:dyDescent="0.35">
      <c r="A1122" s="13" t="s">
        <v>242</v>
      </c>
      <c r="B1122" s="8"/>
      <c r="C1122" s="9"/>
      <c r="D1122" s="10"/>
      <c r="E1122" s="21"/>
      <c r="F1122" s="22"/>
      <c r="G1122" s="6"/>
    </row>
    <row r="1123" spans="1:7" x14ac:dyDescent="0.35">
      <c r="A1123" s="13" t="s">
        <v>243</v>
      </c>
      <c r="B1123" s="8"/>
      <c r="C1123" s="9"/>
      <c r="D1123" s="10"/>
      <c r="E1123" s="21"/>
      <c r="F1123" s="22"/>
      <c r="G1123" s="6"/>
    </row>
    <row r="1124" spans="1:7" x14ac:dyDescent="0.35">
      <c r="A1124" s="13" t="s">
        <v>244</v>
      </c>
      <c r="B1124" s="8"/>
      <c r="C1124" s="9"/>
      <c r="D1124" s="10"/>
      <c r="E1124" s="21"/>
      <c r="F1124" s="22"/>
      <c r="G1124" s="6"/>
    </row>
    <row r="1125" spans="1:7" x14ac:dyDescent="0.35">
      <c r="A1125" s="13" t="s">
        <v>245</v>
      </c>
      <c r="B1125" s="8"/>
      <c r="C1125" s="9"/>
      <c r="D1125" s="10"/>
      <c r="E1125" s="21"/>
      <c r="F1125" s="22"/>
      <c r="G1125" s="6"/>
    </row>
    <row r="1126" spans="1:7" x14ac:dyDescent="0.35">
      <c r="A1126" s="13" t="s">
        <v>246</v>
      </c>
      <c r="B1126" s="8"/>
      <c r="C1126" s="9"/>
      <c r="D1126" s="10"/>
      <c r="E1126" s="21"/>
      <c r="F1126" s="22"/>
      <c r="G1126" s="6"/>
    </row>
    <row r="1127" spans="1:7" x14ac:dyDescent="0.35">
      <c r="A1127" s="13" t="s">
        <v>247</v>
      </c>
      <c r="B1127" s="8"/>
      <c r="C1127" s="9"/>
      <c r="D1127" s="10"/>
      <c r="E1127" s="21"/>
      <c r="F1127" s="22"/>
      <c r="G1127" s="6"/>
    </row>
    <row r="1128" spans="1:7" x14ac:dyDescent="0.35">
      <c r="A1128" s="13" t="s">
        <v>248</v>
      </c>
      <c r="B1128" s="8"/>
      <c r="C1128" s="9"/>
      <c r="D1128" s="10"/>
      <c r="E1128" s="21"/>
      <c r="F1128" s="22"/>
      <c r="G1128" s="6"/>
    </row>
    <row r="1129" spans="1:7" x14ac:dyDescent="0.35">
      <c r="A1129" s="13" t="s">
        <v>249</v>
      </c>
      <c r="B1129" s="8"/>
      <c r="C1129" s="9"/>
      <c r="D1129" s="10"/>
      <c r="E1129" s="21"/>
      <c r="F1129" s="22"/>
      <c r="G1129" s="6"/>
    </row>
    <row r="1130" spans="1:7" x14ac:dyDescent="0.35">
      <c r="A1130" s="13" t="s">
        <v>250</v>
      </c>
      <c r="B1130" s="8"/>
      <c r="C1130" s="9"/>
      <c r="D1130" s="10"/>
      <c r="E1130" s="21"/>
      <c r="F1130" s="22"/>
      <c r="G1130" s="6"/>
    </row>
    <row r="1131" spans="1:7" x14ac:dyDescent="0.35">
      <c r="A1131" s="13" t="s">
        <v>251</v>
      </c>
      <c r="B1131" s="8"/>
      <c r="C1131" s="9"/>
      <c r="D1131" s="10"/>
      <c r="E1131" s="21"/>
      <c r="F1131" s="22"/>
      <c r="G1131" s="6"/>
    </row>
    <row r="1132" spans="1:7" x14ac:dyDescent="0.35">
      <c r="A1132" s="13" t="s">
        <v>252</v>
      </c>
      <c r="B1132" s="8"/>
      <c r="C1132" s="9"/>
      <c r="D1132" s="10"/>
      <c r="E1132" s="21"/>
      <c r="F1132" s="22"/>
      <c r="G1132" s="6"/>
    </row>
    <row r="1133" spans="1:7" x14ac:dyDescent="0.35">
      <c r="A1133" s="13" t="s">
        <v>253</v>
      </c>
      <c r="B1133" s="8"/>
      <c r="C1133" s="9"/>
      <c r="D1133" s="10"/>
      <c r="E1133" s="21"/>
      <c r="F1133" s="22"/>
      <c r="G1133" s="6"/>
    </row>
    <row r="1134" spans="1:7" x14ac:dyDescent="0.35">
      <c r="A1134" s="13" t="s">
        <v>254</v>
      </c>
      <c r="B1134" s="8"/>
      <c r="C1134" s="9"/>
      <c r="D1134" s="10"/>
      <c r="E1134" s="21"/>
      <c r="F1134" s="22"/>
      <c r="G1134" s="6"/>
    </row>
    <row r="1135" spans="1:7" x14ac:dyDescent="0.35">
      <c r="A1135" s="13" t="s">
        <v>255</v>
      </c>
      <c r="B1135" s="8"/>
      <c r="C1135" s="9"/>
      <c r="D1135" s="10"/>
      <c r="E1135" s="21"/>
      <c r="F1135" s="22"/>
      <c r="G1135" s="6"/>
    </row>
    <row r="1136" spans="1:7" x14ac:dyDescent="0.35">
      <c r="A1136" s="13" t="s">
        <v>256</v>
      </c>
      <c r="B1136" s="8"/>
      <c r="C1136" s="9"/>
      <c r="D1136" s="10"/>
      <c r="E1136" s="21"/>
      <c r="F1136" s="22"/>
      <c r="G1136" s="6"/>
    </row>
    <row r="1137" spans="1:7" x14ac:dyDescent="0.35">
      <c r="A1137" s="13" t="s">
        <v>257</v>
      </c>
      <c r="B1137" s="8"/>
      <c r="C1137" s="9"/>
      <c r="D1137" s="10"/>
      <c r="E1137" s="21"/>
      <c r="F1137" s="22"/>
      <c r="G1137" s="6"/>
    </row>
    <row r="1138" spans="1:7" x14ac:dyDescent="0.35">
      <c r="A1138" s="13" t="s">
        <v>258</v>
      </c>
      <c r="B1138" s="8"/>
      <c r="C1138" s="9"/>
      <c r="D1138" s="10"/>
      <c r="E1138" s="21"/>
      <c r="F1138" s="22"/>
      <c r="G1138" s="6"/>
    </row>
    <row r="1139" spans="1:7" x14ac:dyDescent="0.35">
      <c r="A1139" s="13" t="s">
        <v>259</v>
      </c>
      <c r="B1139" s="8"/>
      <c r="C1139" s="9"/>
      <c r="D1139" s="10"/>
      <c r="E1139" s="21"/>
      <c r="F1139" s="22"/>
      <c r="G1139" s="6"/>
    </row>
    <row r="1140" spans="1:7" x14ac:dyDescent="0.35">
      <c r="A1140" s="13" t="s">
        <v>260</v>
      </c>
      <c r="B1140" s="8"/>
      <c r="C1140" s="9"/>
      <c r="D1140" s="10"/>
      <c r="E1140" s="21"/>
      <c r="F1140" s="22"/>
      <c r="G1140" s="6"/>
    </row>
    <row r="1141" spans="1:7" x14ac:dyDescent="0.35">
      <c r="A1141" s="13" t="s">
        <v>261</v>
      </c>
      <c r="B1141" s="8"/>
      <c r="C1141" s="9"/>
      <c r="D1141" s="10"/>
      <c r="E1141" s="21"/>
      <c r="F1141" s="22"/>
      <c r="G1141" s="6"/>
    </row>
    <row r="1142" spans="1:7" x14ac:dyDescent="0.35">
      <c r="A1142" s="13" t="s">
        <v>262</v>
      </c>
      <c r="B1142" s="8"/>
      <c r="C1142" s="9"/>
      <c r="D1142" s="10"/>
      <c r="E1142" s="21"/>
      <c r="F1142" s="22"/>
      <c r="G1142" s="6"/>
    </row>
    <row r="1143" spans="1:7" x14ac:dyDescent="0.35">
      <c r="A1143" s="13" t="s">
        <v>263</v>
      </c>
      <c r="B1143" s="8"/>
      <c r="C1143" s="9"/>
      <c r="D1143" s="10"/>
      <c r="E1143" s="21"/>
      <c r="F1143" s="22"/>
      <c r="G1143" s="6"/>
    </row>
    <row r="1144" spans="1:7" x14ac:dyDescent="0.35">
      <c r="A1144" s="13" t="s">
        <v>264</v>
      </c>
      <c r="B1144" s="8"/>
      <c r="C1144" s="9"/>
      <c r="D1144" s="10"/>
      <c r="E1144" s="21"/>
      <c r="F1144" s="22"/>
      <c r="G1144" s="6"/>
    </row>
    <row r="1145" spans="1:7" x14ac:dyDescent="0.35">
      <c r="A1145" s="13" t="s">
        <v>265</v>
      </c>
      <c r="B1145" s="8"/>
      <c r="C1145" s="9"/>
      <c r="D1145" s="10"/>
      <c r="E1145" s="21"/>
      <c r="F1145" s="22"/>
      <c r="G1145" s="6"/>
    </row>
    <row r="1146" spans="1:7" x14ac:dyDescent="0.35">
      <c r="A1146" s="13" t="s">
        <v>266</v>
      </c>
      <c r="B1146" s="8"/>
      <c r="C1146" s="9"/>
      <c r="D1146" s="10"/>
      <c r="E1146" s="21"/>
      <c r="F1146" s="22"/>
      <c r="G1146" s="6"/>
    </row>
    <row r="1147" spans="1:7" x14ac:dyDescent="0.35">
      <c r="A1147" s="13" t="s">
        <v>267</v>
      </c>
      <c r="B1147" s="8"/>
      <c r="C1147" s="9"/>
      <c r="D1147" s="10"/>
      <c r="E1147" s="21"/>
      <c r="F1147" s="22"/>
      <c r="G1147" s="6"/>
    </row>
    <row r="1148" spans="1:7" x14ac:dyDescent="0.35">
      <c r="A1148" s="13" t="s">
        <v>268</v>
      </c>
      <c r="B1148" s="8"/>
      <c r="C1148" s="9"/>
      <c r="D1148" s="10"/>
      <c r="E1148" s="21"/>
      <c r="F1148" s="22"/>
      <c r="G1148" s="6"/>
    </row>
    <row r="1149" spans="1:7" x14ac:dyDescent="0.35">
      <c r="A1149" s="13" t="s">
        <v>269</v>
      </c>
      <c r="B1149" s="8"/>
      <c r="C1149" s="9"/>
      <c r="D1149" s="10"/>
      <c r="E1149" s="21"/>
      <c r="F1149" s="22"/>
      <c r="G1149" s="6"/>
    </row>
    <row r="1150" spans="1:7" x14ac:dyDescent="0.35">
      <c r="A1150" s="13" t="s">
        <v>270</v>
      </c>
      <c r="B1150" s="8"/>
      <c r="C1150" s="9"/>
      <c r="D1150" s="10"/>
      <c r="E1150" s="21"/>
      <c r="F1150" s="22"/>
      <c r="G1150" s="6"/>
    </row>
    <row r="1151" spans="1:7" x14ac:dyDescent="0.35">
      <c r="A1151" s="13" t="s">
        <v>271</v>
      </c>
      <c r="B1151" s="8"/>
      <c r="C1151" s="9"/>
      <c r="D1151" s="10"/>
      <c r="E1151" s="21"/>
      <c r="F1151" s="22"/>
      <c r="G1151" s="6"/>
    </row>
  </sheetData>
  <pageMargins left="0.7" right="0.7" top="0.75" bottom="0.75" header="0.3" footer="0.3"/>
  <pageSetup orientation="portrait" r:id="rId1"/>
  <headerFooter>
    <oddHeader>&amp;L&amp;"Aptos"&amp;12&amp;K03C03C Public&amp;1#_x000D_</oddHeader>
  </headerFooter>
  <ignoredErrors>
    <ignoredError sqref="E63" formula="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A8BD2-C084-4C8E-B66F-2657C76B76D7}">
  <dimension ref="A1:P1151"/>
  <sheetViews>
    <sheetView zoomScaleNormal="100" workbookViewId="0">
      <selection activeCell="P54" sqref="P54"/>
    </sheetView>
  </sheetViews>
  <sheetFormatPr defaultRowHeight="14.5" x14ac:dyDescent="0.35"/>
  <cols>
    <col min="1" max="1" width="16.81640625" customWidth="1"/>
    <col min="2" max="2" width="17.81640625" bestFit="1" customWidth="1"/>
    <col min="3" max="4" width="20.7265625" bestFit="1" customWidth="1"/>
    <col min="5" max="7" width="18.54296875" customWidth="1"/>
    <col min="8" max="8" width="9.1796875" style="2"/>
    <col min="11" max="16" width="14.54296875" customWidth="1"/>
  </cols>
  <sheetData>
    <row r="1" spans="1:16" x14ac:dyDescent="0.35">
      <c r="A1" s="13" t="s">
        <v>335</v>
      </c>
      <c r="B1" s="15" t="s">
        <v>0</v>
      </c>
      <c r="C1" s="16" t="s">
        <v>1</v>
      </c>
      <c r="D1" s="17" t="s">
        <v>2</v>
      </c>
      <c r="E1" s="24" t="s">
        <v>3</v>
      </c>
      <c r="F1" s="23" t="s">
        <v>4</v>
      </c>
      <c r="G1" s="18" t="s">
        <v>5</v>
      </c>
      <c r="J1" s="190" t="s">
        <v>335</v>
      </c>
      <c r="K1" s="191" t="s">
        <v>0</v>
      </c>
      <c r="L1" s="192" t="s">
        <v>1</v>
      </c>
      <c r="M1" s="193" t="s">
        <v>2</v>
      </c>
      <c r="N1" s="194" t="s">
        <v>3</v>
      </c>
      <c r="O1" s="195" t="s">
        <v>4</v>
      </c>
      <c r="P1" s="196" t="s">
        <v>5</v>
      </c>
    </row>
    <row r="2" spans="1:16" x14ac:dyDescent="0.35">
      <c r="A2" s="13">
        <v>25</v>
      </c>
      <c r="B2" s="136">
        <v>10</v>
      </c>
      <c r="C2" s="110">
        <v>10</v>
      </c>
      <c r="D2" s="111">
        <v>10</v>
      </c>
      <c r="E2" s="112">
        <v>10</v>
      </c>
      <c r="F2" s="113">
        <v>10</v>
      </c>
      <c r="G2" s="177"/>
      <c r="J2" s="190">
        <v>7</v>
      </c>
      <c r="K2" s="197" t="e">
        <f>DAVERAGE($A$1:$G$1151,"JOHN",J1:J2)</f>
        <v>#DIV/0!</v>
      </c>
      <c r="L2" s="58" t="e">
        <f>DAVERAGE($A$1:$G$1151,"NICK",J1:J2)</f>
        <v>#DIV/0!</v>
      </c>
      <c r="M2" s="62" t="e">
        <f>DAVERAGE($A$1:$G$1151,"MIKE",J1:J2)</f>
        <v>#DIV/0!</v>
      </c>
      <c r="N2" s="67" t="e">
        <f>DAVERAGE($A$1:$G$1151,"ERIC",J1:J2)</f>
        <v>#DIV/0!</v>
      </c>
      <c r="O2" s="71" t="e">
        <f>DAVERAGE($A$1:$G$1151,"GREENMAN",J1:J2)</f>
        <v>#DIV/0!</v>
      </c>
      <c r="P2" s="229" t="e">
        <f>DAVERAGE($A$1:$G$1151,"RON",J1:J2)</f>
        <v>#DIV/0!</v>
      </c>
    </row>
    <row r="3" spans="1:16" x14ac:dyDescent="0.35">
      <c r="A3" s="13">
        <v>26</v>
      </c>
      <c r="B3" s="136">
        <v>10</v>
      </c>
      <c r="C3" s="110">
        <v>10</v>
      </c>
      <c r="D3" s="111">
        <v>10</v>
      </c>
      <c r="E3" s="112">
        <v>10</v>
      </c>
      <c r="F3" s="113">
        <v>10</v>
      </c>
      <c r="G3" s="177"/>
      <c r="J3" s="190" t="s">
        <v>335</v>
      </c>
      <c r="K3" s="191"/>
      <c r="L3" s="192"/>
      <c r="M3" s="193"/>
      <c r="N3" s="194"/>
      <c r="O3" s="195"/>
      <c r="P3" s="196"/>
    </row>
    <row r="4" spans="1:16" x14ac:dyDescent="0.35">
      <c r="A4" s="13">
        <v>25</v>
      </c>
      <c r="B4" s="136">
        <v>10</v>
      </c>
      <c r="C4" s="110">
        <v>10</v>
      </c>
      <c r="D4" s="111">
        <v>10</v>
      </c>
      <c r="E4" s="112">
        <v>10</v>
      </c>
      <c r="F4" s="113">
        <v>10</v>
      </c>
      <c r="G4" s="177"/>
      <c r="J4" s="190">
        <v>8</v>
      </c>
      <c r="K4" s="197" t="e">
        <f>DAVERAGE($A$1:$G$1151,"JOHN",J3:J4)</f>
        <v>#DIV/0!</v>
      </c>
      <c r="L4" s="58" t="e">
        <f>DAVERAGE($A$1:$G$1151,"NICK",J3:J4)</f>
        <v>#DIV/0!</v>
      </c>
      <c r="M4" s="62" t="e">
        <f>DAVERAGE($A$1:$G$1151,"MIKE",J3:J4)</f>
        <v>#DIV/0!</v>
      </c>
      <c r="N4" s="67" t="e">
        <f>DAVERAGE($A$1:$G$1151,"ERIC",J3:J4)</f>
        <v>#DIV/0!</v>
      </c>
      <c r="O4" s="71" t="e">
        <f>DAVERAGE($A$1:$G$1151,"GREENMAN",J3:J4)</f>
        <v>#DIV/0!</v>
      </c>
      <c r="P4" s="229" t="e">
        <f>DAVERAGE($A$1:$G$1151,"RON",J3:J4)</f>
        <v>#DIV/0!</v>
      </c>
    </row>
    <row r="5" spans="1:16" x14ac:dyDescent="0.35">
      <c r="A5" s="13">
        <v>26</v>
      </c>
      <c r="B5" s="136">
        <v>10</v>
      </c>
      <c r="C5" s="110">
        <v>10</v>
      </c>
      <c r="D5" s="111">
        <v>10</v>
      </c>
      <c r="E5" s="112">
        <v>9</v>
      </c>
      <c r="F5" s="113">
        <v>10</v>
      </c>
      <c r="G5" s="177"/>
      <c r="J5" s="190" t="s">
        <v>335</v>
      </c>
      <c r="K5" s="191"/>
      <c r="L5" s="192"/>
      <c r="M5" s="193"/>
      <c r="N5" s="194"/>
      <c r="O5" s="195"/>
      <c r="P5" s="196"/>
    </row>
    <row r="6" spans="1:16" x14ac:dyDescent="0.35">
      <c r="A6" s="13">
        <v>25</v>
      </c>
      <c r="B6" s="136">
        <v>10</v>
      </c>
      <c r="C6" s="110">
        <v>10</v>
      </c>
      <c r="D6" s="111">
        <v>10</v>
      </c>
      <c r="E6" s="112">
        <v>8</v>
      </c>
      <c r="F6" s="113">
        <v>10</v>
      </c>
      <c r="G6" s="177"/>
      <c r="J6" s="190">
        <v>9</v>
      </c>
      <c r="K6" s="197" t="e">
        <f>DAVERAGE($A$1:$G$1151,"JOHN",J5:J6)</f>
        <v>#DIV/0!</v>
      </c>
      <c r="L6" s="58" t="e">
        <f>DAVERAGE($A$1:$G$1151,"NICK",J5:J6)</f>
        <v>#DIV/0!</v>
      </c>
      <c r="M6" s="62" t="e">
        <f>DAVERAGE($A$1:$G$1151,"MIKE",J5:J6)</f>
        <v>#DIV/0!</v>
      </c>
      <c r="N6" s="67" t="e">
        <f>DAVERAGE($A$1:$G$1151,"ERIC",J5:J6)</f>
        <v>#DIV/0!</v>
      </c>
      <c r="O6" s="71" t="e">
        <f>DAVERAGE($A$1:$G$1151,"GREENMAN",J5:J6)</f>
        <v>#DIV/0!</v>
      </c>
      <c r="P6" s="229" t="e">
        <f>DAVERAGE($A$1:$G$1151,"RON",J5:J6)</f>
        <v>#DIV/0!</v>
      </c>
    </row>
    <row r="7" spans="1:16" x14ac:dyDescent="0.35">
      <c r="A7" s="13">
        <v>26</v>
      </c>
      <c r="B7" s="136">
        <v>10</v>
      </c>
      <c r="C7" s="110">
        <v>9</v>
      </c>
      <c r="D7" s="111">
        <v>10</v>
      </c>
      <c r="E7" s="112">
        <v>10</v>
      </c>
      <c r="F7" s="113">
        <v>10</v>
      </c>
      <c r="G7" s="177"/>
      <c r="J7" s="190" t="s">
        <v>335</v>
      </c>
      <c r="K7" s="191"/>
      <c r="L7" s="192"/>
      <c r="M7" s="193"/>
      <c r="N7" s="194"/>
      <c r="O7" s="195"/>
      <c r="P7" s="196"/>
    </row>
    <row r="8" spans="1:16" x14ac:dyDescent="0.35">
      <c r="A8" s="13">
        <v>25</v>
      </c>
      <c r="B8" s="136">
        <v>10</v>
      </c>
      <c r="C8" s="110">
        <v>10</v>
      </c>
      <c r="D8" s="111">
        <v>10</v>
      </c>
      <c r="E8" s="112">
        <v>10</v>
      </c>
      <c r="F8" s="113">
        <v>10</v>
      </c>
      <c r="G8" s="177"/>
      <c r="J8" s="190">
        <v>10</v>
      </c>
      <c r="K8" s="197" t="e">
        <f>DAVERAGE($A$1:$G$1151,"JOHN",J7:J8)</f>
        <v>#DIV/0!</v>
      </c>
      <c r="L8" s="58" t="e">
        <f>DAVERAGE($A$1:$G$1151,"NICK",J7:J8)</f>
        <v>#DIV/0!</v>
      </c>
      <c r="M8" s="62" t="e">
        <f>DAVERAGE($A$1:$G$1151,"MIKE",J7:J8)</f>
        <v>#DIV/0!</v>
      </c>
      <c r="N8" s="67" t="e">
        <f>DAVERAGE($A$1:$G$1151,"ERIC",J7:J8)</f>
        <v>#DIV/0!</v>
      </c>
      <c r="O8" s="71" t="e">
        <f>DAVERAGE($A$1:$G$1151,"GREENMAN",J7:J8)</f>
        <v>#DIV/0!</v>
      </c>
      <c r="P8" s="229" t="e">
        <f>DAVERAGE($A$1:$G$1151,"RON",J7:J8)</f>
        <v>#DIV/0!</v>
      </c>
    </row>
    <row r="9" spans="1:16" x14ac:dyDescent="0.35">
      <c r="A9" s="13">
        <v>26</v>
      </c>
      <c r="B9" s="136">
        <v>10</v>
      </c>
      <c r="C9" s="110">
        <v>10</v>
      </c>
      <c r="D9" s="111">
        <v>10</v>
      </c>
      <c r="E9" s="112">
        <v>10</v>
      </c>
      <c r="F9" s="113">
        <v>10</v>
      </c>
      <c r="G9" s="177"/>
      <c r="J9" s="190" t="s">
        <v>335</v>
      </c>
      <c r="K9" s="191"/>
      <c r="L9" s="192"/>
      <c r="M9" s="193"/>
      <c r="N9" s="194"/>
      <c r="O9" s="195"/>
      <c r="P9" s="196"/>
    </row>
    <row r="10" spans="1:16" x14ac:dyDescent="0.35">
      <c r="A10" s="13">
        <v>25</v>
      </c>
      <c r="B10" s="136">
        <v>10</v>
      </c>
      <c r="C10" s="110">
        <v>10</v>
      </c>
      <c r="D10" s="111">
        <v>10</v>
      </c>
      <c r="E10" s="112">
        <v>10</v>
      </c>
      <c r="F10" s="113">
        <v>10</v>
      </c>
      <c r="G10" s="177"/>
      <c r="J10" s="190">
        <v>11</v>
      </c>
      <c r="K10" s="197">
        <f>DAVERAGE($A$1:$G$1151,"JOHN",J9:J10)</f>
        <v>9.8000000000000007</v>
      </c>
      <c r="L10" s="58">
        <f>DAVERAGE($A$1:$G$1151,"NICK",J9:J10)</f>
        <v>9.9333333333333336</v>
      </c>
      <c r="M10" s="62">
        <f>DAVERAGE($A$1:$G$1151,"MIKE",J9:J10)</f>
        <v>9.9666666666666668</v>
      </c>
      <c r="N10" s="67">
        <f>DAVERAGE($A$1:$G$1151,"ERIC",J9:J10)</f>
        <v>9.7111111111111104</v>
      </c>
      <c r="O10" s="71">
        <f>DAVERAGE($A$1:$G$1151,"GREENMAN",J9:J10)</f>
        <v>9.3333333333333339</v>
      </c>
      <c r="P10" s="229" t="e">
        <f>DAVERAGE($A$1:$G$1151,"RON",J9:J10)</f>
        <v>#DIV/0!</v>
      </c>
    </row>
    <row r="11" spans="1:16" x14ac:dyDescent="0.35">
      <c r="A11" s="13">
        <v>26</v>
      </c>
      <c r="B11" s="136">
        <f>19/2</f>
        <v>9.5</v>
      </c>
      <c r="C11" s="110">
        <f>20/2</f>
        <v>10</v>
      </c>
      <c r="D11" s="111">
        <f>16/2</f>
        <v>8</v>
      </c>
      <c r="E11" s="112">
        <v>8</v>
      </c>
      <c r="F11" s="113">
        <f>20/2</f>
        <v>10</v>
      </c>
      <c r="G11" s="177"/>
      <c r="J11" s="190" t="s">
        <v>335</v>
      </c>
      <c r="K11" s="191"/>
      <c r="L11" s="192"/>
      <c r="M11" s="193"/>
      <c r="N11" s="194"/>
      <c r="O11" s="195"/>
      <c r="P11" s="196"/>
    </row>
    <row r="12" spans="1:16" x14ac:dyDescent="0.35">
      <c r="A12" s="13">
        <v>26</v>
      </c>
      <c r="B12" s="136">
        <v>10</v>
      </c>
      <c r="C12" s="110">
        <v>10</v>
      </c>
      <c r="D12" s="111">
        <v>7</v>
      </c>
      <c r="E12" s="112">
        <v>10</v>
      </c>
      <c r="F12" s="113">
        <v>10</v>
      </c>
      <c r="G12" s="177"/>
      <c r="J12" s="190">
        <v>12</v>
      </c>
      <c r="K12" s="197">
        <f>DAVERAGE($A$1:$G$1151,"JOHN",J11:J12)</f>
        <v>9.6666666666666661</v>
      </c>
      <c r="L12" s="58">
        <f>DAVERAGE($A$1:$G$1151,"NICK",J11:J12)</f>
        <v>9.8666666666666671</v>
      </c>
      <c r="M12" s="62">
        <f>DAVERAGE($A$1:$G$1151,"MIKE",J11:J12)</f>
        <v>9.9333333333333336</v>
      </c>
      <c r="N12" s="67">
        <f>DAVERAGE($A$1:$G$1151,"ERIC",J11:J12)</f>
        <v>9.6</v>
      </c>
      <c r="O12" s="71">
        <f>DAVERAGE($A$1:$G$1151,"GREENMAN",J11:J12)</f>
        <v>9.5333333333333332</v>
      </c>
      <c r="P12" s="229" t="e">
        <f>DAVERAGE($A$1:$G$1151,"RON",J11:J12)</f>
        <v>#DIV/0!</v>
      </c>
    </row>
    <row r="13" spans="1:16" x14ac:dyDescent="0.35">
      <c r="A13" s="13">
        <v>25</v>
      </c>
      <c r="B13" s="136">
        <v>10</v>
      </c>
      <c r="C13" s="110">
        <v>10</v>
      </c>
      <c r="D13" s="111">
        <v>10</v>
      </c>
      <c r="E13" s="112">
        <v>10</v>
      </c>
      <c r="F13" s="113">
        <v>9</v>
      </c>
      <c r="G13" s="177"/>
      <c r="J13" s="190" t="s">
        <v>335</v>
      </c>
      <c r="K13" s="191"/>
      <c r="L13" s="192"/>
      <c r="M13" s="193"/>
      <c r="N13" s="194"/>
      <c r="O13" s="195"/>
      <c r="P13" s="196"/>
    </row>
    <row r="14" spans="1:16" x14ac:dyDescent="0.35">
      <c r="A14" s="13">
        <v>26</v>
      </c>
      <c r="B14" s="136">
        <v>10</v>
      </c>
      <c r="C14" s="110">
        <v>10</v>
      </c>
      <c r="D14" s="111">
        <v>10</v>
      </c>
      <c r="E14" s="112">
        <v>10</v>
      </c>
      <c r="F14" s="113">
        <v>10</v>
      </c>
      <c r="G14" s="177"/>
      <c r="J14" s="190">
        <v>13</v>
      </c>
      <c r="K14" s="197" t="e">
        <f>DAVERAGE($A$1:$G$1151,"JOHN",J13:J14)</f>
        <v>#DIV/0!</v>
      </c>
      <c r="L14" s="58" t="e">
        <f>DAVERAGE($A$1:$G$1151,"NICK",J13:J14)</f>
        <v>#DIV/0!</v>
      </c>
      <c r="M14" s="62" t="e">
        <f>DAVERAGE($A$1:$G$1151,"MIKE",J13:J14)</f>
        <v>#DIV/0!</v>
      </c>
      <c r="N14" s="67" t="e">
        <f>DAVERAGE($A$1:$G$1151,"ERIC",J13:J14)</f>
        <v>#DIV/0!</v>
      </c>
      <c r="O14" s="71" t="e">
        <f>DAVERAGE($A$1:$G$1151,"GREENMAN",J13:J14)</f>
        <v>#DIV/0!</v>
      </c>
      <c r="P14" s="229" t="e">
        <f>DAVERAGE($A$1:$G$1151,"RON",J13:J14)</f>
        <v>#DIV/0!</v>
      </c>
    </row>
    <row r="15" spans="1:16" x14ac:dyDescent="0.35">
      <c r="A15" s="13">
        <v>25</v>
      </c>
      <c r="B15" s="136">
        <v>10</v>
      </c>
      <c r="C15" s="110">
        <v>10</v>
      </c>
      <c r="D15" s="111">
        <v>10</v>
      </c>
      <c r="E15" s="112">
        <v>10</v>
      </c>
      <c r="F15" s="113">
        <v>10</v>
      </c>
      <c r="G15" s="177"/>
      <c r="J15" s="190" t="s">
        <v>335</v>
      </c>
      <c r="K15" s="191"/>
      <c r="L15" s="192"/>
      <c r="M15" s="193"/>
      <c r="N15" s="194"/>
      <c r="O15" s="195"/>
      <c r="P15" s="196"/>
    </row>
    <row r="16" spans="1:16" x14ac:dyDescent="0.35">
      <c r="A16" s="13">
        <v>26</v>
      </c>
      <c r="B16" s="136">
        <v>10</v>
      </c>
      <c r="C16" s="110">
        <v>10</v>
      </c>
      <c r="D16" s="111">
        <v>10</v>
      </c>
      <c r="E16" s="112">
        <v>10</v>
      </c>
      <c r="F16" s="113">
        <v>8</v>
      </c>
      <c r="G16" s="177"/>
      <c r="J16" s="190">
        <v>14</v>
      </c>
      <c r="K16" s="197" t="e">
        <f>DAVERAGE($A$1:$G$1151,"JOHN",J15:J16)</f>
        <v>#DIV/0!</v>
      </c>
      <c r="L16" s="58" t="e">
        <f>DAVERAGE($A$1:$G$1151,"NICK",J15:J16)</f>
        <v>#DIV/0!</v>
      </c>
      <c r="M16" s="62" t="e">
        <f>DAVERAGE($A$1:$G$1151,"MIKE",J15:J16)</f>
        <v>#DIV/0!</v>
      </c>
      <c r="N16" s="67" t="e">
        <f>DAVERAGE($A$1:$G$1151,"ERIC",J15:J16)</f>
        <v>#DIV/0!</v>
      </c>
      <c r="O16" s="71" t="e">
        <f>DAVERAGE($A$1:$G$1151,"GREENMAN",J15:J16)</f>
        <v>#DIV/0!</v>
      </c>
      <c r="P16" s="229" t="e">
        <f>DAVERAGE($A$1:$G$1151,"RON",J15:J16)</f>
        <v>#DIV/0!</v>
      </c>
    </row>
    <row r="17" spans="1:16" x14ac:dyDescent="0.35">
      <c r="A17" s="13">
        <v>25</v>
      </c>
      <c r="B17" s="136">
        <v>9</v>
      </c>
      <c r="C17" s="110">
        <v>10</v>
      </c>
      <c r="D17" s="111">
        <v>10</v>
      </c>
      <c r="E17" s="112">
        <v>10</v>
      </c>
      <c r="F17" s="113">
        <v>8</v>
      </c>
      <c r="G17" s="177"/>
      <c r="J17" s="190" t="s">
        <v>335</v>
      </c>
      <c r="K17" s="191"/>
      <c r="L17" s="192"/>
      <c r="M17" s="193"/>
      <c r="N17" s="194"/>
      <c r="O17" s="195"/>
      <c r="P17" s="196"/>
    </row>
    <row r="18" spans="1:16" x14ac:dyDescent="0.35">
      <c r="A18" s="13">
        <v>26</v>
      </c>
      <c r="B18" s="136">
        <v>10</v>
      </c>
      <c r="C18" s="110">
        <v>10</v>
      </c>
      <c r="D18" s="111">
        <v>10</v>
      </c>
      <c r="E18" s="112">
        <v>10</v>
      </c>
      <c r="F18" s="113">
        <v>10</v>
      </c>
      <c r="G18" s="177"/>
      <c r="J18" s="190">
        <v>15</v>
      </c>
      <c r="K18" s="197" t="e">
        <f>DAVERAGE($A$1:$G$1151,"JOHN",J17:J18)</f>
        <v>#DIV/0!</v>
      </c>
      <c r="L18" s="58" t="e">
        <f>DAVERAGE($A$1:$G$1151,"NICK",J17:J18)</f>
        <v>#DIV/0!</v>
      </c>
      <c r="M18" s="62" t="e">
        <f>DAVERAGE($A$1:$G$1151,"MIKE",J17:J18)</f>
        <v>#DIV/0!</v>
      </c>
      <c r="N18" s="67" t="e">
        <f>DAVERAGE($A$1:$G$1151,"ERIC",J17:J18)</f>
        <v>#DIV/0!</v>
      </c>
      <c r="O18" s="71" t="e">
        <f>DAVERAGE($A$1:$G$1151,"GREENMAN",J17:J18)</f>
        <v>#DIV/0!</v>
      </c>
      <c r="P18" s="229" t="e">
        <f>DAVERAGE($A$1:$G$1151,"RON",J17:J18)</f>
        <v>#DIV/0!</v>
      </c>
    </row>
    <row r="19" spans="1:16" x14ac:dyDescent="0.35">
      <c r="A19" s="13">
        <v>25</v>
      </c>
      <c r="B19" s="136">
        <v>10</v>
      </c>
      <c r="C19" s="110">
        <v>10</v>
      </c>
      <c r="D19" s="111">
        <v>9</v>
      </c>
      <c r="E19" s="112">
        <v>10</v>
      </c>
      <c r="F19" s="113">
        <v>8</v>
      </c>
      <c r="G19" s="177"/>
      <c r="J19" s="190" t="s">
        <v>335</v>
      </c>
      <c r="K19" s="191"/>
      <c r="L19" s="192"/>
      <c r="M19" s="193"/>
      <c r="N19" s="194"/>
      <c r="O19" s="195"/>
      <c r="P19" s="196"/>
    </row>
    <row r="20" spans="1:16" x14ac:dyDescent="0.35">
      <c r="A20" s="13">
        <v>26</v>
      </c>
      <c r="B20" s="136">
        <v>10</v>
      </c>
      <c r="C20" s="110">
        <v>10</v>
      </c>
      <c r="D20" s="111">
        <v>10</v>
      </c>
      <c r="E20" s="112">
        <v>10</v>
      </c>
      <c r="F20" s="113">
        <v>10</v>
      </c>
      <c r="G20" s="177"/>
      <c r="J20" s="190">
        <v>16</v>
      </c>
      <c r="K20" s="197" t="e">
        <f>DAVERAGE($A$1:$G$1151,"JOHN",J19:J20)</f>
        <v>#DIV/0!</v>
      </c>
      <c r="L20" s="58" t="e">
        <f>DAVERAGE($A$1:$G$1151,"NICK",J19:J20)</f>
        <v>#DIV/0!</v>
      </c>
      <c r="M20" s="62" t="e">
        <f>DAVERAGE($A$1:$G$1151,"MIKE",J19:J20)</f>
        <v>#DIV/0!</v>
      </c>
      <c r="N20" s="67" t="e">
        <f>DAVERAGE($A$1:$G$1151,"ERIC",J19:J20)</f>
        <v>#DIV/0!</v>
      </c>
      <c r="O20" s="71" t="e">
        <f>DAVERAGE($A$1:$G$1151,"GREENMAN",J19:J20)</f>
        <v>#DIV/0!</v>
      </c>
      <c r="P20" s="229" t="e">
        <f>DAVERAGE($A$1:$G$1151,"RON",J19:J20)</f>
        <v>#DIV/0!</v>
      </c>
    </row>
    <row r="21" spans="1:16" x14ac:dyDescent="0.35">
      <c r="A21" s="13">
        <v>25</v>
      </c>
      <c r="B21" s="136">
        <f>19/2</f>
        <v>9.5</v>
      </c>
      <c r="C21" s="110">
        <f>20/2</f>
        <v>10</v>
      </c>
      <c r="D21" s="111">
        <v>8</v>
      </c>
      <c r="E21" s="112">
        <f>30/3</f>
        <v>10</v>
      </c>
      <c r="F21" s="113">
        <f>20/3</f>
        <v>6.666666666666667</v>
      </c>
      <c r="G21" s="177"/>
      <c r="J21" s="190" t="s">
        <v>335</v>
      </c>
      <c r="K21" s="191"/>
      <c r="L21" s="192"/>
      <c r="M21" s="193"/>
      <c r="N21" s="194"/>
      <c r="O21" s="195"/>
      <c r="P21" s="196"/>
    </row>
    <row r="22" spans="1:16" x14ac:dyDescent="0.35">
      <c r="A22" s="13">
        <v>25</v>
      </c>
      <c r="B22" s="136">
        <v>10</v>
      </c>
      <c r="C22" s="110">
        <v>10</v>
      </c>
      <c r="D22" s="111">
        <v>10</v>
      </c>
      <c r="E22" s="112">
        <v>10</v>
      </c>
      <c r="F22" s="113">
        <v>10</v>
      </c>
      <c r="G22" s="177"/>
      <c r="J22" s="190">
        <v>17</v>
      </c>
      <c r="K22" s="197" t="e">
        <f>DAVERAGE($A$1:$G$1151,"JOHN",J21:J22)</f>
        <v>#DIV/0!</v>
      </c>
      <c r="L22" s="58" t="e">
        <f>DAVERAGE($A$1:$G$1151,"NICK",J21:J22)</f>
        <v>#DIV/0!</v>
      </c>
      <c r="M22" s="62" t="e">
        <f>DAVERAGE($A$1:$G$1151,"MIKE",J21:J22)</f>
        <v>#DIV/0!</v>
      </c>
      <c r="N22" s="67" t="e">
        <f>DAVERAGE($A$1:$G$1151,"ERIC",J21:J22)</f>
        <v>#DIV/0!</v>
      </c>
      <c r="O22" s="71" t="e">
        <f>DAVERAGE($A$1:$G$1151,"GREENMAN",J21:J22)</f>
        <v>#DIV/0!</v>
      </c>
      <c r="P22" s="229" t="e">
        <f>DAVERAGE($A$1:$G$1151,"RON",J21:J22)</f>
        <v>#DIV/0!</v>
      </c>
    </row>
    <row r="23" spans="1:16" x14ac:dyDescent="0.35">
      <c r="A23" s="13">
        <v>26</v>
      </c>
      <c r="B23" s="136">
        <v>10</v>
      </c>
      <c r="C23" s="110">
        <v>10</v>
      </c>
      <c r="D23" s="111">
        <v>9</v>
      </c>
      <c r="E23" s="112">
        <v>10</v>
      </c>
      <c r="F23" s="113">
        <v>10</v>
      </c>
      <c r="G23" s="177"/>
      <c r="J23" s="190" t="s">
        <v>335</v>
      </c>
      <c r="K23" s="191"/>
      <c r="L23" s="192"/>
      <c r="M23" s="193"/>
      <c r="N23" s="194"/>
      <c r="O23" s="195"/>
      <c r="P23" s="196"/>
    </row>
    <row r="24" spans="1:16" x14ac:dyDescent="0.35">
      <c r="A24" s="13">
        <v>25</v>
      </c>
      <c r="B24" s="136">
        <v>10</v>
      </c>
      <c r="C24" s="110">
        <v>10</v>
      </c>
      <c r="D24" s="111">
        <v>10</v>
      </c>
      <c r="E24" s="112">
        <v>9</v>
      </c>
      <c r="F24" s="113">
        <v>9</v>
      </c>
      <c r="G24" s="177"/>
      <c r="J24" s="190">
        <v>18</v>
      </c>
      <c r="K24" s="197" t="e">
        <f>DAVERAGE($A$1:$G$1151,"JOHN",J23:J24)</f>
        <v>#DIV/0!</v>
      </c>
      <c r="L24" s="58" t="e">
        <f>DAVERAGE($A$1:$G$1151,"NICK",J23:J24)</f>
        <v>#DIV/0!</v>
      </c>
      <c r="M24" s="62" t="e">
        <f>DAVERAGE($A$1:$G$1151,"MIKE",J23:J24)</f>
        <v>#DIV/0!</v>
      </c>
      <c r="N24" s="67" t="e">
        <f>DAVERAGE($A$1:$G$1151,"ERIC",J23:J24)</f>
        <v>#DIV/0!</v>
      </c>
      <c r="O24" s="71" t="e">
        <f>DAVERAGE($A$1:$G$1151,"GREENMAN",J23:J24)</f>
        <v>#DIV/0!</v>
      </c>
      <c r="P24" s="229" t="e">
        <f>DAVERAGE($A$1:$G$1151,"RON",J23:J24)</f>
        <v>#DIV/0!</v>
      </c>
    </row>
    <row r="25" spans="1:16" x14ac:dyDescent="0.35">
      <c r="A25" s="13">
        <v>26</v>
      </c>
      <c r="B25" s="136">
        <v>10</v>
      </c>
      <c r="C25" s="110">
        <v>10</v>
      </c>
      <c r="D25" s="111">
        <v>10</v>
      </c>
      <c r="E25" s="112">
        <v>10</v>
      </c>
      <c r="F25" s="113">
        <v>10</v>
      </c>
      <c r="G25" s="177"/>
      <c r="J25" s="190" t="s">
        <v>335</v>
      </c>
      <c r="K25" s="191"/>
      <c r="L25" s="192"/>
      <c r="M25" s="193"/>
      <c r="N25" s="194"/>
      <c r="O25" s="195"/>
      <c r="P25" s="196"/>
    </row>
    <row r="26" spans="1:16" x14ac:dyDescent="0.35">
      <c r="A26" s="13">
        <v>25</v>
      </c>
      <c r="B26" s="136">
        <v>10</v>
      </c>
      <c r="C26" s="110">
        <v>10</v>
      </c>
      <c r="D26" s="111">
        <v>9</v>
      </c>
      <c r="E26" s="112">
        <v>10</v>
      </c>
      <c r="F26" s="113">
        <v>10</v>
      </c>
      <c r="G26" s="177"/>
      <c r="J26" s="190">
        <v>19</v>
      </c>
      <c r="K26" s="197" t="e">
        <f>DAVERAGE($A$1:$G$1151,"JOHN",J25:J26)</f>
        <v>#DIV/0!</v>
      </c>
      <c r="L26" s="58" t="e">
        <f>DAVERAGE($A$1:$G$1151,"NICK",J25:J26)</f>
        <v>#DIV/0!</v>
      </c>
      <c r="M26" s="62" t="e">
        <f>DAVERAGE($A$1:$G$1151,"MIKE",J25:J26)</f>
        <v>#DIV/0!</v>
      </c>
      <c r="N26" s="67" t="e">
        <f>DAVERAGE($A$1:$G$1151,"ERIC",J25:J26)</f>
        <v>#DIV/0!</v>
      </c>
      <c r="O26" s="71" t="e">
        <f>DAVERAGE($A$1:$G$1151,"GREENMAN",J25:J26)</f>
        <v>#DIV/0!</v>
      </c>
      <c r="P26" s="229" t="e">
        <f>DAVERAGE($A$1:$G$1151,"RON",J25:J26)</f>
        <v>#DIV/0!</v>
      </c>
    </row>
    <row r="27" spans="1:16" x14ac:dyDescent="0.35">
      <c r="A27" s="13">
        <v>26</v>
      </c>
      <c r="B27" s="136">
        <v>10</v>
      </c>
      <c r="C27" s="110">
        <v>10</v>
      </c>
      <c r="D27" s="111">
        <v>9</v>
      </c>
      <c r="E27" s="112">
        <v>10</v>
      </c>
      <c r="F27" s="113">
        <v>10</v>
      </c>
      <c r="G27" s="177"/>
      <c r="J27" s="190" t="s">
        <v>335</v>
      </c>
      <c r="K27" s="191"/>
      <c r="L27" s="192"/>
      <c r="M27" s="193"/>
      <c r="N27" s="194"/>
      <c r="O27" s="195"/>
      <c r="P27" s="196"/>
    </row>
    <row r="28" spans="1:16" x14ac:dyDescent="0.35">
      <c r="A28" s="13">
        <v>25</v>
      </c>
      <c r="B28" s="136">
        <v>10</v>
      </c>
      <c r="C28" s="110">
        <v>10</v>
      </c>
      <c r="D28" s="111">
        <v>9</v>
      </c>
      <c r="E28" s="112">
        <v>10</v>
      </c>
      <c r="F28" s="113">
        <v>10</v>
      </c>
      <c r="G28" s="177"/>
      <c r="J28" s="190">
        <v>20</v>
      </c>
      <c r="K28" s="197" t="e">
        <f>DAVERAGE($A$1:$G$1151,"JOHN",J27:J28)</f>
        <v>#DIV/0!</v>
      </c>
      <c r="L28" s="58" t="e">
        <f>DAVERAGE($A$1:$G$1151,"NICK",J27:J28)</f>
        <v>#DIV/0!</v>
      </c>
      <c r="M28" s="62" t="e">
        <f>DAVERAGE($A$1:$G$1151,"MIKE",J27:J28)</f>
        <v>#DIV/0!</v>
      </c>
      <c r="N28" s="67" t="e">
        <f>DAVERAGE($A$1:$G$1151,"ERIC",J27:J28)</f>
        <v>#DIV/0!</v>
      </c>
      <c r="O28" s="71" t="e">
        <f>DAVERAGE($A$1:$G$1151,"GREENMAN",J27:J28)</f>
        <v>#DIV/0!</v>
      </c>
      <c r="P28" s="229" t="e">
        <f>DAVERAGE($A$1:$G$1151,"RON",J27:J28)</f>
        <v>#DIV/0!</v>
      </c>
    </row>
    <row r="29" spans="1:16" x14ac:dyDescent="0.35">
      <c r="A29" s="13">
        <v>26</v>
      </c>
      <c r="B29" s="136">
        <v>10</v>
      </c>
      <c r="C29" s="110">
        <v>9</v>
      </c>
      <c r="D29" s="111">
        <v>10</v>
      </c>
      <c r="E29" s="112">
        <v>10</v>
      </c>
      <c r="F29" s="113">
        <v>10</v>
      </c>
      <c r="G29" s="177"/>
      <c r="J29" s="190" t="s">
        <v>335</v>
      </c>
      <c r="K29" s="191"/>
      <c r="L29" s="192"/>
      <c r="M29" s="193"/>
      <c r="N29" s="194"/>
      <c r="O29" s="195"/>
      <c r="P29" s="196"/>
    </row>
    <row r="30" spans="1:16" x14ac:dyDescent="0.35">
      <c r="A30" s="13">
        <v>25</v>
      </c>
      <c r="B30" s="136">
        <v>10</v>
      </c>
      <c r="C30" s="110">
        <v>10</v>
      </c>
      <c r="D30" s="111">
        <v>10</v>
      </c>
      <c r="E30" s="112">
        <v>9</v>
      </c>
      <c r="F30" s="113">
        <v>10</v>
      </c>
      <c r="G30" s="177"/>
      <c r="J30" s="190">
        <v>21</v>
      </c>
      <c r="K30" s="197" t="e">
        <f>DAVERAGE($A$1:$G$1151,"JOHN",J29:J30)</f>
        <v>#DIV/0!</v>
      </c>
      <c r="L30" s="58">
        <f>DAVERAGE($A$1:$G$1151,"NICK",J29:J30)</f>
        <v>9.8000000000000007</v>
      </c>
      <c r="M30" s="62">
        <f>DAVERAGE($A$1:$G$1151,"MIKE",J29:J30)</f>
        <v>9.7333333333333325</v>
      </c>
      <c r="N30" s="67">
        <f>DAVERAGE($A$1:$G$1151,"ERIC",J29:J30)</f>
        <v>9.4666666666666668</v>
      </c>
      <c r="O30" s="71" t="e">
        <f>DAVERAGE($A$1:$G$1151,"GREENMAN",J29:J30)</f>
        <v>#DIV/0!</v>
      </c>
      <c r="P30" s="229">
        <f>DAVERAGE($A$1:$G$1151,"RON",J29:J30)</f>
        <v>9.6</v>
      </c>
    </row>
    <row r="31" spans="1:16" x14ac:dyDescent="0.35">
      <c r="A31" s="13">
        <v>26</v>
      </c>
      <c r="B31" s="136">
        <f>19/2</f>
        <v>9.5</v>
      </c>
      <c r="C31" s="110">
        <f>17/2</f>
        <v>8.5</v>
      </c>
      <c r="D31" s="111">
        <f>28/3</f>
        <v>9.3333333333333339</v>
      </c>
      <c r="E31" s="112">
        <f>20/2</f>
        <v>10</v>
      </c>
      <c r="F31" s="113">
        <f>19/2</f>
        <v>9.5</v>
      </c>
      <c r="G31" s="177"/>
      <c r="J31" s="190" t="s">
        <v>335</v>
      </c>
      <c r="K31" s="191"/>
      <c r="L31" s="192"/>
      <c r="M31" s="193"/>
      <c r="N31" s="194"/>
      <c r="O31" s="195"/>
      <c r="P31" s="196"/>
    </row>
    <row r="32" spans="1:16" x14ac:dyDescent="0.35">
      <c r="A32" s="29"/>
      <c r="B32" s="177"/>
      <c r="C32" s="177"/>
      <c r="D32" s="177"/>
      <c r="E32" s="177"/>
      <c r="F32" s="177"/>
      <c r="G32" s="177"/>
      <c r="J32" s="190">
        <v>22</v>
      </c>
      <c r="K32" s="197" t="e">
        <f>DAVERAGE($A$1:$G$1151,"JOHN",J31:J32)</f>
        <v>#DIV/0!</v>
      </c>
      <c r="L32" s="58">
        <f>DAVERAGE($A$1:$G$1151,"NICK",J31:J32)</f>
        <v>9.7333333333333325</v>
      </c>
      <c r="M32" s="62">
        <f>DAVERAGE($A$1:$G$1151,"MIKE",J31:J32)</f>
        <v>9.9333333333333336</v>
      </c>
      <c r="N32" s="67">
        <f>DAVERAGE($A$1:$G$1151,"ERIC",J31:J32)</f>
        <v>9.7333333333333325</v>
      </c>
      <c r="O32" s="71" t="e">
        <f>DAVERAGE($A$1:$G$1151,"GREENMAN",J31:J32)</f>
        <v>#DIV/0!</v>
      </c>
      <c r="P32" s="227">
        <f>DAVERAGE($A$1:$G$1151,"RON",J31:J32)</f>
        <v>9.8333333333333339</v>
      </c>
    </row>
    <row r="33" spans="1:16" x14ac:dyDescent="0.35">
      <c r="A33" s="13" t="s">
        <v>335</v>
      </c>
      <c r="B33" s="15" t="s">
        <v>0</v>
      </c>
      <c r="C33" s="16" t="s">
        <v>1</v>
      </c>
      <c r="D33" s="17" t="s">
        <v>2</v>
      </c>
      <c r="E33" s="24" t="s">
        <v>3</v>
      </c>
      <c r="F33" s="23" t="s">
        <v>4</v>
      </c>
      <c r="G33" s="18" t="s">
        <v>5</v>
      </c>
      <c r="J33" s="190" t="s">
        <v>335</v>
      </c>
      <c r="K33" s="191"/>
      <c r="L33" s="192"/>
      <c r="M33" s="193"/>
      <c r="N33" s="194"/>
      <c r="O33" s="195"/>
      <c r="P33" s="196"/>
    </row>
    <row r="34" spans="1:16" x14ac:dyDescent="0.35">
      <c r="A34" s="13">
        <v>12</v>
      </c>
      <c r="B34" s="136">
        <v>10</v>
      </c>
      <c r="C34" s="110">
        <v>10</v>
      </c>
      <c r="D34" s="111">
        <v>9</v>
      </c>
      <c r="E34" s="112">
        <v>10</v>
      </c>
      <c r="F34" s="113">
        <v>10</v>
      </c>
      <c r="G34" s="177"/>
      <c r="J34" s="190">
        <v>23</v>
      </c>
      <c r="K34" s="197" t="e">
        <f>DAVERAGE($A$1:$G$1151,"JOHN",J33:J34)</f>
        <v>#DIV/0!</v>
      </c>
      <c r="L34" s="58" t="e">
        <f>DAVERAGE($A$1:$G$1151,"NICK",J33:J34)</f>
        <v>#DIV/0!</v>
      </c>
      <c r="M34" s="62" t="e">
        <f>DAVERAGE($A$1:$G$1151,"MIKE",J33:J34)</f>
        <v>#DIV/0!</v>
      </c>
      <c r="N34" s="67" t="e">
        <f>DAVERAGE($A$1:$G$1151,"ERIC",J33:J34)</f>
        <v>#DIV/0!</v>
      </c>
      <c r="O34" s="71" t="e">
        <f>DAVERAGE($A$1:$G$1151,"GREENMAN",J33:J34)</f>
        <v>#DIV/0!</v>
      </c>
      <c r="P34" s="229" t="e">
        <f>DAVERAGE($A$1:$G$1151,"RON",J33:J34)</f>
        <v>#DIV/0!</v>
      </c>
    </row>
    <row r="35" spans="1:16" x14ac:dyDescent="0.35">
      <c r="A35" s="13">
        <v>11</v>
      </c>
      <c r="B35" s="136">
        <v>10</v>
      </c>
      <c r="C35" s="110">
        <v>10</v>
      </c>
      <c r="D35" s="111">
        <v>10</v>
      </c>
      <c r="E35" s="112">
        <v>10</v>
      </c>
      <c r="F35" s="113">
        <v>8</v>
      </c>
      <c r="G35" s="177"/>
      <c r="J35" s="190" t="s">
        <v>335</v>
      </c>
      <c r="K35" s="191"/>
      <c r="L35" s="192"/>
      <c r="M35" s="193"/>
      <c r="N35" s="194"/>
      <c r="O35" s="195"/>
      <c r="P35" s="196"/>
    </row>
    <row r="36" spans="1:16" x14ac:dyDescent="0.35">
      <c r="A36" s="13">
        <v>12</v>
      </c>
      <c r="B36" s="136">
        <v>10</v>
      </c>
      <c r="C36" s="110">
        <v>9</v>
      </c>
      <c r="D36" s="111">
        <v>10</v>
      </c>
      <c r="E36" s="112">
        <v>10</v>
      </c>
      <c r="F36" s="113">
        <v>9</v>
      </c>
      <c r="G36" s="177"/>
      <c r="J36" s="190">
        <v>24</v>
      </c>
      <c r="K36" s="197" t="e">
        <f>DAVERAGE($A$1:$G$1151,"JOHN",J35:J36)</f>
        <v>#DIV/0!</v>
      </c>
      <c r="L36" s="58" t="e">
        <f>DAVERAGE($A$1:$G$1151,"NICK",J35:J36)</f>
        <v>#DIV/0!</v>
      </c>
      <c r="M36" s="62" t="e">
        <f>DAVERAGE($A$1:$G$1151,"MIKE",J35:J36)</f>
        <v>#DIV/0!</v>
      </c>
      <c r="N36" s="67" t="e">
        <f>DAVERAGE($A$1:$G$1151,"ERIC",J35:J36)</f>
        <v>#DIV/0!</v>
      </c>
      <c r="O36" s="71" t="e">
        <f>DAVERAGE($A$1:$G$1151,"GREENMAN",J35:J36)</f>
        <v>#DIV/0!</v>
      </c>
      <c r="P36" s="229" t="e">
        <f>DAVERAGE($A$1:$G$1151,"RON",J35:J36)</f>
        <v>#DIV/0!</v>
      </c>
    </row>
    <row r="37" spans="1:16" x14ac:dyDescent="0.35">
      <c r="A37" s="13">
        <v>11</v>
      </c>
      <c r="B37" s="136">
        <v>10</v>
      </c>
      <c r="C37" s="110">
        <v>10</v>
      </c>
      <c r="D37" s="111">
        <v>10</v>
      </c>
      <c r="E37" s="112">
        <v>10</v>
      </c>
      <c r="F37" s="113">
        <v>10</v>
      </c>
      <c r="G37" s="177"/>
      <c r="J37" s="190" t="s">
        <v>335</v>
      </c>
      <c r="K37" s="191"/>
      <c r="L37" s="192"/>
      <c r="M37" s="193"/>
      <c r="N37" s="194"/>
      <c r="O37" s="195"/>
      <c r="P37" s="196"/>
    </row>
    <row r="38" spans="1:16" x14ac:dyDescent="0.35">
      <c r="A38" s="13">
        <v>12</v>
      </c>
      <c r="B38" s="136">
        <v>10</v>
      </c>
      <c r="C38" s="110">
        <v>10</v>
      </c>
      <c r="D38" s="111">
        <v>10</v>
      </c>
      <c r="E38" s="112">
        <v>9</v>
      </c>
      <c r="F38" s="113">
        <v>10</v>
      </c>
      <c r="G38" s="177"/>
      <c r="J38" s="190">
        <v>25</v>
      </c>
      <c r="K38" s="197">
        <f>DAVERAGE($A$1:$G$1151,"JOHN",J37:J38)</f>
        <v>9.9</v>
      </c>
      <c r="L38" s="58">
        <f>DAVERAGE($A$1:$G$1151,"NICK",J37:J38)</f>
        <v>10</v>
      </c>
      <c r="M38" s="62">
        <f>DAVERAGE($A$1:$G$1151,"MIKE",J37:J38)</f>
        <v>9.6666666666666661</v>
      </c>
      <c r="N38" s="67">
        <f>DAVERAGE($A$1:$G$1151,"ERIC",J37:J38)</f>
        <v>9.7333333333333325</v>
      </c>
      <c r="O38" s="71">
        <f>DAVERAGE($A$1:$G$1151,"GREENMAN",J37:J38)</f>
        <v>9.3777777777777782</v>
      </c>
      <c r="P38" s="229" t="e">
        <f>DAVERAGE($A$1:$G$1151,"RON",J37:J38)</f>
        <v>#DIV/0!</v>
      </c>
    </row>
    <row r="39" spans="1:16" x14ac:dyDescent="0.35">
      <c r="A39" s="13">
        <v>11</v>
      </c>
      <c r="B39" s="136">
        <v>10</v>
      </c>
      <c r="C39" s="110">
        <v>10</v>
      </c>
      <c r="D39" s="111">
        <v>10</v>
      </c>
      <c r="E39" s="112">
        <v>10</v>
      </c>
      <c r="F39" s="113">
        <v>9</v>
      </c>
      <c r="G39" s="177"/>
      <c r="J39" s="190" t="s">
        <v>335</v>
      </c>
      <c r="K39" s="191"/>
      <c r="L39" s="192"/>
      <c r="M39" s="193"/>
      <c r="N39" s="194"/>
      <c r="O39" s="195"/>
      <c r="P39" s="196"/>
    </row>
    <row r="40" spans="1:16" x14ac:dyDescent="0.35">
      <c r="A40" s="13">
        <v>12</v>
      </c>
      <c r="B40" s="136">
        <v>9</v>
      </c>
      <c r="C40" s="110">
        <v>10</v>
      </c>
      <c r="D40" s="111">
        <v>10</v>
      </c>
      <c r="E40" s="112">
        <v>10</v>
      </c>
      <c r="F40" s="113">
        <v>10</v>
      </c>
      <c r="G40" s="177"/>
      <c r="J40" s="190">
        <v>26</v>
      </c>
      <c r="K40" s="197">
        <f>DAVERAGE($A$1:$G$1151,"JOHN",J39:J40)</f>
        <v>9.9333333333333336</v>
      </c>
      <c r="L40" s="58">
        <f>DAVERAGE($A$1:$G$1151,"NICK",J39:J40)</f>
        <v>9.7666666666666675</v>
      </c>
      <c r="M40" s="62">
        <f>DAVERAGE($A$1:$G$1151,"MIKE",J39:J40)</f>
        <v>9.4888888888888889</v>
      </c>
      <c r="N40" s="67">
        <f>DAVERAGE($A$1:$G$1151,"ERIC",J39:J40)</f>
        <v>9.8000000000000007</v>
      </c>
      <c r="O40" s="71">
        <f>DAVERAGE($A$1:$G$1151,"GREENMAN",J39:J40)</f>
        <v>9.8333333333333339</v>
      </c>
      <c r="P40" s="229" t="e">
        <f>DAVERAGE($A$1:$G$1151,"RON",J39:J40)</f>
        <v>#DIV/0!</v>
      </c>
    </row>
    <row r="41" spans="1:16" x14ac:dyDescent="0.35">
      <c r="A41" s="13">
        <v>11</v>
      </c>
      <c r="B41" s="136">
        <v>10</v>
      </c>
      <c r="C41" s="110">
        <v>10</v>
      </c>
      <c r="D41" s="111">
        <v>10</v>
      </c>
      <c r="E41" s="112">
        <v>10</v>
      </c>
      <c r="F41" s="113">
        <v>9</v>
      </c>
      <c r="G41" s="177"/>
      <c r="J41" s="190" t="s">
        <v>335</v>
      </c>
      <c r="K41" s="191"/>
      <c r="L41" s="192"/>
      <c r="M41" s="193"/>
      <c r="N41" s="194"/>
      <c r="O41" s="195"/>
      <c r="P41" s="196"/>
    </row>
    <row r="42" spans="1:16" x14ac:dyDescent="0.35">
      <c r="A42" s="13">
        <v>12</v>
      </c>
      <c r="B42" s="136">
        <v>10</v>
      </c>
      <c r="C42" s="110">
        <v>10</v>
      </c>
      <c r="D42" s="111">
        <v>10</v>
      </c>
      <c r="E42" s="112">
        <v>10</v>
      </c>
      <c r="F42" s="113">
        <v>7</v>
      </c>
      <c r="G42" s="177"/>
      <c r="J42" s="190">
        <v>27</v>
      </c>
      <c r="K42" s="197" t="e">
        <f>DAVERAGE($A$1:$G$1151,"JOHN",J41:J42)</f>
        <v>#DIV/0!</v>
      </c>
      <c r="L42" s="58" t="e">
        <f>DAVERAGE($A$1:$G$1151,"NICK",J41:J42)</f>
        <v>#DIV/0!</v>
      </c>
      <c r="M42" s="62" t="e">
        <f>DAVERAGE($A$1:$G$1151,"MIKE",J41:J42)</f>
        <v>#DIV/0!</v>
      </c>
      <c r="N42" s="67" t="e">
        <f>DAVERAGE($A$1:$G$1151,"ERIC",J41:J42)</f>
        <v>#DIV/0!</v>
      </c>
      <c r="O42" s="71" t="e">
        <f>DAVERAGE($A$1:$G$1151,"GREENMAN",J41:J42)</f>
        <v>#DIV/0!</v>
      </c>
      <c r="P42" s="229" t="e">
        <f>DAVERAGE($A$1:$G$1151,"RON",J41:J42)</f>
        <v>#DIV/0!</v>
      </c>
    </row>
    <row r="43" spans="1:16" x14ac:dyDescent="0.35">
      <c r="A43" s="13">
        <v>11</v>
      </c>
      <c r="B43" s="136">
        <f>20/2</f>
        <v>10</v>
      </c>
      <c r="C43" s="110">
        <f>20/2</f>
        <v>10</v>
      </c>
      <c r="D43" s="111">
        <f>19/2</f>
        <v>9.5</v>
      </c>
      <c r="E43" s="112">
        <f>30/3</f>
        <v>10</v>
      </c>
      <c r="F43" s="113">
        <f>27/3</f>
        <v>9</v>
      </c>
      <c r="G43" s="177"/>
      <c r="J43" s="190" t="s">
        <v>335</v>
      </c>
      <c r="K43" s="191"/>
      <c r="L43" s="192"/>
      <c r="M43" s="193"/>
      <c r="N43" s="194"/>
      <c r="O43" s="195"/>
      <c r="P43" s="196"/>
    </row>
    <row r="44" spans="1:16" x14ac:dyDescent="0.35">
      <c r="A44" s="13">
        <v>11</v>
      </c>
      <c r="B44" s="136">
        <v>10</v>
      </c>
      <c r="C44" s="110">
        <v>10</v>
      </c>
      <c r="D44" s="111">
        <v>10</v>
      </c>
      <c r="E44" s="112">
        <v>10</v>
      </c>
      <c r="F44" s="113">
        <v>9</v>
      </c>
      <c r="G44" s="177"/>
      <c r="J44" s="190">
        <v>28</v>
      </c>
      <c r="K44" s="197" t="e">
        <f>DAVERAGE($A$1:$G$1151,"JOHN",J43:J44)</f>
        <v>#DIV/0!</v>
      </c>
      <c r="L44" s="58" t="e">
        <f>DAVERAGE($A$1:$G$1151,"NICK",J43:J44)</f>
        <v>#DIV/0!</v>
      </c>
      <c r="M44" s="62" t="e">
        <f>DAVERAGE($A$1:$G$1151,"MIKE",J43:J44)</f>
        <v>#DIV/0!</v>
      </c>
      <c r="N44" s="67" t="e">
        <f>DAVERAGE($A$1:$G$1151,"ERIC",J43:J44)</f>
        <v>#DIV/0!</v>
      </c>
      <c r="O44" s="71" t="e">
        <f>DAVERAGE($A$1:$G$1151,"GREENMAN",J43:J44)</f>
        <v>#DIV/0!</v>
      </c>
      <c r="P44" s="229" t="e">
        <f>DAVERAGE($A$1:$G$1151,"RON",J43:J44)</f>
        <v>#DIV/0!</v>
      </c>
    </row>
    <row r="45" spans="1:16" x14ac:dyDescent="0.35">
      <c r="A45" s="13">
        <v>12</v>
      </c>
      <c r="B45" s="136">
        <v>10</v>
      </c>
      <c r="C45" s="110">
        <v>10</v>
      </c>
      <c r="D45" s="111">
        <v>10</v>
      </c>
      <c r="E45" s="112">
        <v>10</v>
      </c>
      <c r="F45" s="113">
        <v>9</v>
      </c>
      <c r="G45" s="177"/>
      <c r="J45" s="190" t="s">
        <v>335</v>
      </c>
      <c r="K45" s="191"/>
      <c r="L45" s="192"/>
      <c r="M45" s="193"/>
      <c r="N45" s="194"/>
      <c r="O45" s="195"/>
      <c r="P45" s="196"/>
    </row>
    <row r="46" spans="1:16" x14ac:dyDescent="0.35">
      <c r="A46" s="13">
        <v>11</v>
      </c>
      <c r="B46" s="136">
        <v>10</v>
      </c>
      <c r="C46" s="110">
        <v>10</v>
      </c>
      <c r="D46" s="111">
        <v>10</v>
      </c>
      <c r="E46" s="112">
        <v>10</v>
      </c>
      <c r="F46" s="113">
        <v>10</v>
      </c>
      <c r="G46" s="177"/>
      <c r="J46" s="190">
        <v>29</v>
      </c>
      <c r="K46" s="197" t="e">
        <f>DAVERAGE($A$1:$G$1151,"JOHN",J45:J46)</f>
        <v>#DIV/0!</v>
      </c>
      <c r="L46" s="58" t="e">
        <f>DAVERAGE($A$1:$G$1151,"NICK",J45:J46)</f>
        <v>#DIV/0!</v>
      </c>
      <c r="M46" s="62" t="e">
        <f>DAVERAGE($A$1:$G$1151,"MIKE",J45:J46)</f>
        <v>#DIV/0!</v>
      </c>
      <c r="N46" s="67" t="e">
        <f>DAVERAGE($A$1:$G$1151,"ERIC",J45:J46)</f>
        <v>#DIV/0!</v>
      </c>
      <c r="O46" s="71" t="e">
        <f>DAVERAGE($A$1:$G$1151,"GREENMAN",J45:J46)</f>
        <v>#DIV/0!</v>
      </c>
      <c r="P46" s="229" t="e">
        <f>DAVERAGE($A$1:$G$1151,"RON",J45:J46)</f>
        <v>#DIV/0!</v>
      </c>
    </row>
    <row r="47" spans="1:16" x14ac:dyDescent="0.35">
      <c r="A47" s="13">
        <v>12</v>
      </c>
      <c r="B47" s="136">
        <v>10</v>
      </c>
      <c r="C47" s="110">
        <v>10</v>
      </c>
      <c r="D47" s="111">
        <v>10</v>
      </c>
      <c r="E47" s="112">
        <v>9</v>
      </c>
      <c r="F47" s="113">
        <v>10</v>
      </c>
      <c r="G47" s="177"/>
      <c r="J47" s="190" t="s">
        <v>335</v>
      </c>
      <c r="K47" s="191"/>
      <c r="L47" s="192"/>
      <c r="M47" s="193"/>
      <c r="N47" s="194"/>
      <c r="O47" s="195"/>
      <c r="P47" s="196"/>
    </row>
    <row r="48" spans="1:16" x14ac:dyDescent="0.35">
      <c r="A48" s="13">
        <v>11</v>
      </c>
      <c r="B48" s="136">
        <v>10</v>
      </c>
      <c r="C48" s="110">
        <v>10</v>
      </c>
      <c r="D48" s="111">
        <v>10</v>
      </c>
      <c r="E48" s="112">
        <v>8</v>
      </c>
      <c r="F48" s="113">
        <v>10</v>
      </c>
      <c r="G48" s="177"/>
      <c r="J48" s="190">
        <v>30</v>
      </c>
      <c r="K48" s="197" t="e">
        <f>DAVERAGE($A$1:$G$1151,"JOHN",J47:J48)</f>
        <v>#DIV/0!</v>
      </c>
      <c r="L48" s="58" t="e">
        <f>DAVERAGE($A$1:$G$1151,"NICK",J47:J48)</f>
        <v>#DIV/0!</v>
      </c>
      <c r="M48" s="62" t="e">
        <f>DAVERAGE($A$1:$G$1151,"MIKE",J47:J48)</f>
        <v>#DIV/0!</v>
      </c>
      <c r="N48" s="67" t="e">
        <f>DAVERAGE($A$1:$G$1151,"ERIC",J47:J48)</f>
        <v>#DIV/0!</v>
      </c>
      <c r="O48" s="71" t="e">
        <f>DAVERAGE($A$1:$G$1151,"GREENMAN",J47:J48)</f>
        <v>#DIV/0!</v>
      </c>
      <c r="P48" s="229" t="e">
        <f>DAVERAGE($A$1:$G$1151,"RON",J47:J48)</f>
        <v>#DIV/0!</v>
      </c>
    </row>
    <row r="49" spans="1:16" x14ac:dyDescent="0.35">
      <c r="A49" s="13">
        <v>12</v>
      </c>
      <c r="B49" s="136">
        <v>9</v>
      </c>
      <c r="C49" s="110">
        <v>10</v>
      </c>
      <c r="D49" s="111">
        <v>10</v>
      </c>
      <c r="E49" s="112">
        <v>9</v>
      </c>
      <c r="F49" s="113">
        <v>9</v>
      </c>
      <c r="G49" s="177"/>
      <c r="J49" s="190" t="s">
        <v>335</v>
      </c>
      <c r="K49" s="191"/>
      <c r="L49" s="192"/>
      <c r="M49" s="193"/>
      <c r="N49" s="194"/>
      <c r="O49" s="195"/>
      <c r="P49" s="196"/>
    </row>
    <row r="50" spans="1:16" x14ac:dyDescent="0.35">
      <c r="A50" s="13">
        <v>11</v>
      </c>
      <c r="B50" s="136">
        <v>10</v>
      </c>
      <c r="C50" s="110">
        <v>10</v>
      </c>
      <c r="D50" s="111">
        <v>10</v>
      </c>
      <c r="E50" s="112">
        <v>10</v>
      </c>
      <c r="F50" s="113">
        <v>10</v>
      </c>
      <c r="G50" s="177"/>
      <c r="J50" s="190">
        <v>31</v>
      </c>
      <c r="K50" s="197" t="e">
        <f>DAVERAGE($A$1:$G$1151,"JOHN",J49:J50)</f>
        <v>#DIV/0!</v>
      </c>
      <c r="L50" s="58" t="e">
        <f>DAVERAGE($A$1:$G$1151,"NICK",J49:J50)</f>
        <v>#DIV/0!</v>
      </c>
      <c r="M50" s="62" t="e">
        <f>DAVERAGE($A$1:$G$1151,"MIKE",J49:J50)</f>
        <v>#DIV/0!</v>
      </c>
      <c r="N50" s="67" t="e">
        <f>DAVERAGE($A$1:$G$1151,"ERIC",J49:J50)</f>
        <v>#DIV/0!</v>
      </c>
      <c r="O50" s="71" t="e">
        <f>DAVERAGE($A$1:$G$1151,"GREENMAN",J49:J50)</f>
        <v>#DIV/0!</v>
      </c>
      <c r="P50" s="229" t="e">
        <f>DAVERAGE($A$1:$G$1151,"RON",J49:J50)</f>
        <v>#DIV/0!</v>
      </c>
    </row>
    <row r="51" spans="1:16" x14ac:dyDescent="0.35">
      <c r="A51" s="13">
        <v>12</v>
      </c>
      <c r="B51" s="136">
        <v>8</v>
      </c>
      <c r="C51" s="110">
        <v>10</v>
      </c>
      <c r="D51" s="111">
        <v>10</v>
      </c>
      <c r="E51" s="112">
        <v>10</v>
      </c>
      <c r="F51" s="113">
        <v>10</v>
      </c>
      <c r="G51" s="177"/>
      <c r="J51" s="190" t="s">
        <v>335</v>
      </c>
      <c r="K51" s="191"/>
      <c r="L51" s="192"/>
      <c r="M51" s="193"/>
      <c r="N51" s="194"/>
      <c r="O51" s="195"/>
      <c r="P51" s="196"/>
    </row>
    <row r="52" spans="1:16" x14ac:dyDescent="0.35">
      <c r="A52" s="13">
        <v>11</v>
      </c>
      <c r="B52" s="136">
        <v>10</v>
      </c>
      <c r="C52" s="110">
        <v>10</v>
      </c>
      <c r="D52" s="111">
        <v>10</v>
      </c>
      <c r="E52" s="112">
        <v>10</v>
      </c>
      <c r="F52" s="113">
        <v>10</v>
      </c>
      <c r="G52" s="177"/>
      <c r="J52" s="190">
        <v>32</v>
      </c>
      <c r="K52" s="197" t="e">
        <f>DAVERAGE($A$1:$G$1151,"JOHN",J51:J52)</f>
        <v>#DIV/0!</v>
      </c>
      <c r="L52" s="58" t="e">
        <f>DAVERAGE($A$1:$G$1151,"NICK",J51:J52)</f>
        <v>#DIV/0!</v>
      </c>
      <c r="M52" s="62" t="e">
        <f>DAVERAGE($A$1:$G$1151,"MIKE",J51:J52)</f>
        <v>#DIV/0!</v>
      </c>
      <c r="N52" s="67" t="e">
        <f>DAVERAGE($A$1:$G$1151,"ERIC",J51:J52)</f>
        <v>#DIV/0!</v>
      </c>
      <c r="O52" s="71" t="e">
        <f>DAVERAGE($A$1:$G$1151,"GREENMAN",J51:J52)</f>
        <v>#DIV/0!</v>
      </c>
      <c r="P52" s="229" t="e">
        <f>DAVERAGE($A$1:$G$1151,"RON",J51:J52)</f>
        <v>#DIV/0!</v>
      </c>
    </row>
    <row r="53" spans="1:16" x14ac:dyDescent="0.35">
      <c r="A53" s="13">
        <v>12</v>
      </c>
      <c r="B53" s="136">
        <f>20/2</f>
        <v>10</v>
      </c>
      <c r="C53" s="110">
        <f>20/2</f>
        <v>10</v>
      </c>
      <c r="D53" s="111">
        <f>20/2</f>
        <v>10</v>
      </c>
      <c r="E53" s="112">
        <v>9</v>
      </c>
      <c r="F53" s="113">
        <f>20/2</f>
        <v>10</v>
      </c>
      <c r="G53" s="177"/>
    </row>
    <row r="54" spans="1:16" x14ac:dyDescent="0.35">
      <c r="A54" s="13">
        <v>12</v>
      </c>
      <c r="B54" s="136">
        <v>9</v>
      </c>
      <c r="C54" s="110">
        <v>10</v>
      </c>
      <c r="D54" s="111">
        <v>10</v>
      </c>
      <c r="E54" s="112">
        <v>10</v>
      </c>
      <c r="F54" s="113">
        <v>10</v>
      </c>
      <c r="G54" s="177"/>
    </row>
    <row r="55" spans="1:16" x14ac:dyDescent="0.35">
      <c r="A55" s="13">
        <v>11</v>
      </c>
      <c r="B55" s="136">
        <v>8</v>
      </c>
      <c r="C55" s="110">
        <v>9</v>
      </c>
      <c r="D55" s="111">
        <v>10</v>
      </c>
      <c r="E55" s="112">
        <v>10</v>
      </c>
      <c r="F55" s="113">
        <v>9</v>
      </c>
      <c r="G55" s="177"/>
    </row>
    <row r="56" spans="1:16" x14ac:dyDescent="0.35">
      <c r="A56" s="13">
        <v>12</v>
      </c>
      <c r="B56" s="136">
        <v>10</v>
      </c>
      <c r="C56" s="110">
        <v>10</v>
      </c>
      <c r="D56" s="111">
        <v>10</v>
      </c>
      <c r="E56" s="112">
        <v>9</v>
      </c>
      <c r="F56" s="113">
        <v>10</v>
      </c>
      <c r="G56" s="177"/>
    </row>
    <row r="57" spans="1:16" x14ac:dyDescent="0.35">
      <c r="A57" s="13">
        <v>11</v>
      </c>
      <c r="B57" s="136">
        <v>9</v>
      </c>
      <c r="C57" s="110">
        <v>10</v>
      </c>
      <c r="D57" s="111">
        <v>10</v>
      </c>
      <c r="E57" s="112">
        <v>8</v>
      </c>
      <c r="F57" s="113">
        <v>10</v>
      </c>
      <c r="G57" s="177"/>
    </row>
    <row r="58" spans="1:16" x14ac:dyDescent="0.35">
      <c r="A58" s="13">
        <v>12</v>
      </c>
      <c r="B58" s="136">
        <v>10</v>
      </c>
      <c r="C58" s="110">
        <v>9</v>
      </c>
      <c r="D58" s="111">
        <v>10</v>
      </c>
      <c r="E58" s="112">
        <v>10</v>
      </c>
      <c r="F58" s="113">
        <v>9</v>
      </c>
      <c r="G58" s="177"/>
    </row>
    <row r="59" spans="1:16" x14ac:dyDescent="0.35">
      <c r="A59" s="13">
        <v>11</v>
      </c>
      <c r="B59" s="136">
        <v>10</v>
      </c>
      <c r="C59" s="110">
        <v>10</v>
      </c>
      <c r="D59" s="111">
        <v>10</v>
      </c>
      <c r="E59" s="112">
        <v>10</v>
      </c>
      <c r="F59" s="113">
        <v>10</v>
      </c>
      <c r="G59" s="177"/>
    </row>
    <row r="60" spans="1:16" x14ac:dyDescent="0.35">
      <c r="A60" s="13">
        <v>12</v>
      </c>
      <c r="B60" s="136">
        <v>10</v>
      </c>
      <c r="C60" s="110">
        <v>10</v>
      </c>
      <c r="D60" s="111">
        <v>10</v>
      </c>
      <c r="E60" s="112">
        <v>10</v>
      </c>
      <c r="F60" s="113">
        <v>10</v>
      </c>
      <c r="G60" s="177"/>
    </row>
    <row r="61" spans="1:16" x14ac:dyDescent="0.35">
      <c r="A61" s="13">
        <v>11</v>
      </c>
      <c r="B61" s="136">
        <v>10</v>
      </c>
      <c r="C61" s="110">
        <v>10</v>
      </c>
      <c r="D61" s="111">
        <v>10</v>
      </c>
      <c r="E61" s="112">
        <v>10</v>
      </c>
      <c r="F61" s="113">
        <v>7</v>
      </c>
      <c r="G61" s="177"/>
    </row>
    <row r="62" spans="1:16" x14ac:dyDescent="0.35">
      <c r="A62" s="13">
        <v>12</v>
      </c>
      <c r="B62" s="136">
        <v>10</v>
      </c>
      <c r="C62" s="110">
        <v>10</v>
      </c>
      <c r="D62" s="111">
        <v>10</v>
      </c>
      <c r="E62" s="112">
        <v>9</v>
      </c>
      <c r="F62" s="113">
        <v>10</v>
      </c>
      <c r="G62" s="177"/>
    </row>
    <row r="63" spans="1:16" x14ac:dyDescent="0.35">
      <c r="A63" s="13">
        <v>11</v>
      </c>
      <c r="B63" s="136">
        <f>30/3</f>
        <v>10</v>
      </c>
      <c r="C63" s="110">
        <f>30/3</f>
        <v>10</v>
      </c>
      <c r="D63" s="111">
        <f>30/3</f>
        <v>10</v>
      </c>
      <c r="E63" s="112">
        <f>29/3</f>
        <v>9.6666666666666661</v>
      </c>
      <c r="F63" s="113">
        <f>30/3</f>
        <v>10</v>
      </c>
      <c r="G63" s="177"/>
    </row>
    <row r="64" spans="1:16" x14ac:dyDescent="0.35">
      <c r="A64" s="29" t="s">
        <v>111</v>
      </c>
      <c r="B64" s="177"/>
      <c r="C64" s="177"/>
      <c r="D64" s="177"/>
      <c r="E64" s="177"/>
      <c r="F64" s="177"/>
      <c r="G64" s="177"/>
    </row>
    <row r="65" spans="1:7" x14ac:dyDescent="0.35">
      <c r="A65" s="13" t="s">
        <v>335</v>
      </c>
      <c r="B65" s="15" t="s">
        <v>0</v>
      </c>
      <c r="C65" s="16" t="s">
        <v>1</v>
      </c>
      <c r="D65" s="17" t="s">
        <v>2</v>
      </c>
      <c r="E65" s="24" t="s">
        <v>3</v>
      </c>
      <c r="F65" s="23" t="s">
        <v>4</v>
      </c>
      <c r="G65" s="18" t="s">
        <v>5</v>
      </c>
    </row>
    <row r="66" spans="1:7" x14ac:dyDescent="0.35">
      <c r="A66" s="13">
        <v>21</v>
      </c>
      <c r="B66" s="177"/>
      <c r="C66" s="110">
        <v>10</v>
      </c>
      <c r="D66" s="111">
        <v>10</v>
      </c>
      <c r="E66" s="112">
        <v>10</v>
      </c>
      <c r="F66" s="228"/>
      <c r="G66" s="138">
        <v>8</v>
      </c>
    </row>
    <row r="67" spans="1:7" x14ac:dyDescent="0.35">
      <c r="A67" s="13">
        <v>22</v>
      </c>
      <c r="B67" s="177"/>
      <c r="C67" s="110">
        <v>10</v>
      </c>
      <c r="D67" s="111">
        <v>10</v>
      </c>
      <c r="E67" s="112">
        <v>10</v>
      </c>
      <c r="F67" s="228"/>
      <c r="G67" s="138">
        <v>10</v>
      </c>
    </row>
    <row r="68" spans="1:7" x14ac:dyDescent="0.35">
      <c r="A68" s="13">
        <v>21</v>
      </c>
      <c r="B68" s="177"/>
      <c r="C68" s="110">
        <v>10</v>
      </c>
      <c r="D68" s="111">
        <v>10</v>
      </c>
      <c r="E68" s="112">
        <v>10</v>
      </c>
      <c r="F68" s="228"/>
      <c r="G68" s="138">
        <v>8</v>
      </c>
    </row>
    <row r="69" spans="1:7" x14ac:dyDescent="0.35">
      <c r="A69" s="13">
        <v>22</v>
      </c>
      <c r="B69" s="177"/>
      <c r="C69" s="110">
        <v>10</v>
      </c>
      <c r="D69" s="111">
        <v>10</v>
      </c>
      <c r="E69" s="112">
        <v>10</v>
      </c>
      <c r="F69" s="228"/>
      <c r="G69" s="138">
        <v>10</v>
      </c>
    </row>
    <row r="70" spans="1:7" x14ac:dyDescent="0.35">
      <c r="A70" s="13">
        <v>21</v>
      </c>
      <c r="B70" s="177"/>
      <c r="C70" s="110">
        <v>10</v>
      </c>
      <c r="D70" s="111">
        <v>10</v>
      </c>
      <c r="E70" s="112">
        <v>10</v>
      </c>
      <c r="F70" s="228"/>
      <c r="G70" s="138">
        <v>10</v>
      </c>
    </row>
    <row r="71" spans="1:7" x14ac:dyDescent="0.35">
      <c r="A71" s="13">
        <v>22</v>
      </c>
      <c r="B71" s="177"/>
      <c r="C71" s="110">
        <v>8</v>
      </c>
      <c r="D71" s="111">
        <v>10</v>
      </c>
      <c r="E71" s="112">
        <v>9</v>
      </c>
      <c r="F71" s="228"/>
      <c r="G71" s="138">
        <v>9</v>
      </c>
    </row>
    <row r="72" spans="1:7" x14ac:dyDescent="0.35">
      <c r="A72" s="13">
        <v>21</v>
      </c>
      <c r="B72" s="177"/>
      <c r="C72" s="110">
        <v>10</v>
      </c>
      <c r="D72" s="111">
        <v>10</v>
      </c>
      <c r="E72" s="112">
        <v>9</v>
      </c>
      <c r="F72" s="228"/>
      <c r="G72" s="138">
        <v>10</v>
      </c>
    </row>
    <row r="73" spans="1:7" x14ac:dyDescent="0.35">
      <c r="A73" s="13">
        <v>22</v>
      </c>
      <c r="B73" s="177"/>
      <c r="C73" s="110">
        <v>10</v>
      </c>
      <c r="D73" s="111">
        <v>10</v>
      </c>
      <c r="E73" s="112">
        <v>10</v>
      </c>
      <c r="F73" s="228"/>
      <c r="G73" s="138">
        <v>10</v>
      </c>
    </row>
    <row r="74" spans="1:7" x14ac:dyDescent="0.35">
      <c r="A74" s="13">
        <v>21</v>
      </c>
      <c r="B74" s="177"/>
      <c r="C74" s="110">
        <v>10</v>
      </c>
      <c r="D74" s="111">
        <v>9</v>
      </c>
      <c r="E74" s="112">
        <v>10</v>
      </c>
      <c r="F74" s="228"/>
      <c r="G74" s="138">
        <v>10</v>
      </c>
    </row>
    <row r="75" spans="1:7" x14ac:dyDescent="0.35">
      <c r="A75" s="13">
        <v>22</v>
      </c>
      <c r="B75" s="177"/>
      <c r="C75" s="110">
        <v>9</v>
      </c>
      <c r="D75" s="111">
        <v>10</v>
      </c>
      <c r="E75" s="112">
        <v>9</v>
      </c>
      <c r="F75" s="228"/>
      <c r="G75" s="138">
        <v>10</v>
      </c>
    </row>
    <row r="76" spans="1:7" x14ac:dyDescent="0.35">
      <c r="A76" s="13">
        <v>22</v>
      </c>
      <c r="B76" s="177"/>
      <c r="C76" s="110">
        <v>10</v>
      </c>
      <c r="D76" s="111">
        <v>10</v>
      </c>
      <c r="E76" s="112">
        <v>9</v>
      </c>
      <c r="F76" s="228"/>
      <c r="G76" s="138">
        <v>10</v>
      </c>
    </row>
    <row r="77" spans="1:7" x14ac:dyDescent="0.35">
      <c r="A77" s="13">
        <v>21</v>
      </c>
      <c r="B77" s="177"/>
      <c r="C77" s="110">
        <v>10</v>
      </c>
      <c r="D77" s="111">
        <v>10</v>
      </c>
      <c r="E77" s="112">
        <v>8</v>
      </c>
      <c r="F77" s="228"/>
      <c r="G77" s="138">
        <v>10</v>
      </c>
    </row>
    <row r="78" spans="1:7" x14ac:dyDescent="0.35">
      <c r="A78" s="13">
        <v>22</v>
      </c>
      <c r="B78" s="177"/>
      <c r="C78" s="110">
        <v>10</v>
      </c>
      <c r="D78" s="111">
        <v>10</v>
      </c>
      <c r="E78" s="112">
        <v>10</v>
      </c>
      <c r="F78" s="228"/>
      <c r="G78" s="138">
        <v>10</v>
      </c>
    </row>
    <row r="79" spans="1:7" x14ac:dyDescent="0.35">
      <c r="A79" s="13">
        <v>21</v>
      </c>
      <c r="B79" s="177"/>
      <c r="C79" s="110">
        <v>10</v>
      </c>
      <c r="D79" s="111">
        <v>10</v>
      </c>
      <c r="E79" s="112">
        <v>10</v>
      </c>
      <c r="F79" s="228"/>
      <c r="G79" s="138">
        <v>10</v>
      </c>
    </row>
    <row r="80" spans="1:7" x14ac:dyDescent="0.35">
      <c r="A80" s="13">
        <v>22</v>
      </c>
      <c r="B80" s="177"/>
      <c r="C80" s="110">
        <v>10</v>
      </c>
      <c r="D80" s="111">
        <v>10</v>
      </c>
      <c r="E80" s="112">
        <v>10</v>
      </c>
      <c r="F80" s="228"/>
      <c r="G80" s="138">
        <v>10</v>
      </c>
    </row>
    <row r="81" spans="1:7" x14ac:dyDescent="0.35">
      <c r="A81" s="13">
        <v>21</v>
      </c>
      <c r="B81" s="177"/>
      <c r="C81" s="110">
        <v>8</v>
      </c>
      <c r="D81" s="111">
        <v>9</v>
      </c>
      <c r="E81" s="112">
        <v>10</v>
      </c>
      <c r="F81" s="228"/>
      <c r="G81" s="138">
        <v>10</v>
      </c>
    </row>
    <row r="82" spans="1:7" x14ac:dyDescent="0.35">
      <c r="A82" s="13">
        <v>22</v>
      </c>
      <c r="B82" s="177"/>
      <c r="C82" s="110">
        <v>10</v>
      </c>
      <c r="D82" s="111">
        <v>10</v>
      </c>
      <c r="E82" s="112">
        <v>9</v>
      </c>
      <c r="F82" s="228"/>
      <c r="G82" s="138">
        <v>10</v>
      </c>
    </row>
    <row r="83" spans="1:7" x14ac:dyDescent="0.35">
      <c r="A83" s="13">
        <v>21</v>
      </c>
      <c r="B83" s="177"/>
      <c r="C83" s="110">
        <v>10</v>
      </c>
      <c r="D83" s="111">
        <v>10</v>
      </c>
      <c r="E83" s="112">
        <v>9</v>
      </c>
      <c r="F83" s="228"/>
      <c r="G83" s="138">
        <v>10</v>
      </c>
    </row>
    <row r="84" spans="1:7" x14ac:dyDescent="0.35">
      <c r="A84" s="13">
        <v>22</v>
      </c>
      <c r="B84" s="177"/>
      <c r="C84" s="110">
        <v>10</v>
      </c>
      <c r="D84" s="111">
        <v>10</v>
      </c>
      <c r="E84" s="112">
        <v>10</v>
      </c>
      <c r="F84" s="228"/>
      <c r="G84" s="138">
        <v>10</v>
      </c>
    </row>
    <row r="85" spans="1:7" x14ac:dyDescent="0.35">
      <c r="A85" s="13">
        <v>21</v>
      </c>
      <c r="B85" s="177"/>
      <c r="C85" s="110">
        <v>9</v>
      </c>
      <c r="D85" s="111">
        <v>10</v>
      </c>
      <c r="E85" s="112">
        <v>8</v>
      </c>
      <c r="F85" s="228"/>
      <c r="G85" s="138">
        <v>9</v>
      </c>
    </row>
    <row r="86" spans="1:7" x14ac:dyDescent="0.35">
      <c r="A86" s="13">
        <v>21</v>
      </c>
      <c r="B86" s="177"/>
      <c r="C86" s="110">
        <v>10</v>
      </c>
      <c r="D86" s="111">
        <v>10</v>
      </c>
      <c r="E86" s="112">
        <v>10</v>
      </c>
      <c r="F86" s="228"/>
      <c r="G86" s="138">
        <v>10</v>
      </c>
    </row>
    <row r="87" spans="1:7" x14ac:dyDescent="0.35">
      <c r="A87" s="13">
        <v>22</v>
      </c>
      <c r="B87" s="177"/>
      <c r="C87" s="110">
        <v>10</v>
      </c>
      <c r="D87" s="111">
        <v>10</v>
      </c>
      <c r="E87" s="112">
        <v>10</v>
      </c>
      <c r="F87" s="228"/>
      <c r="G87" s="138">
        <v>10</v>
      </c>
    </row>
    <row r="88" spans="1:7" x14ac:dyDescent="0.35">
      <c r="A88" s="13">
        <v>21</v>
      </c>
      <c r="B88" s="177"/>
      <c r="C88" s="110">
        <v>10</v>
      </c>
      <c r="D88" s="111">
        <v>10</v>
      </c>
      <c r="E88" s="112">
        <v>10</v>
      </c>
      <c r="F88" s="228"/>
      <c r="G88" s="138">
        <v>10</v>
      </c>
    </row>
    <row r="89" spans="1:7" x14ac:dyDescent="0.35">
      <c r="A89" s="13">
        <v>22</v>
      </c>
      <c r="B89" s="177"/>
      <c r="C89" s="110">
        <v>9</v>
      </c>
      <c r="D89" s="111">
        <v>10</v>
      </c>
      <c r="E89" s="112">
        <v>10</v>
      </c>
      <c r="F89" s="228"/>
      <c r="G89" s="138">
        <v>10</v>
      </c>
    </row>
    <row r="90" spans="1:7" x14ac:dyDescent="0.35">
      <c r="A90" s="13">
        <v>21</v>
      </c>
      <c r="B90" s="177"/>
      <c r="C90" s="110">
        <v>10</v>
      </c>
      <c r="D90" s="111">
        <v>10</v>
      </c>
      <c r="E90" s="112">
        <v>9</v>
      </c>
      <c r="F90" s="228"/>
      <c r="G90" s="138">
        <v>10</v>
      </c>
    </row>
    <row r="91" spans="1:7" x14ac:dyDescent="0.35">
      <c r="A91" s="13">
        <v>22</v>
      </c>
      <c r="B91" s="177"/>
      <c r="C91" s="110">
        <v>10</v>
      </c>
      <c r="D91" s="111">
        <v>9</v>
      </c>
      <c r="E91" s="112">
        <v>10</v>
      </c>
      <c r="F91" s="228"/>
      <c r="G91" s="138">
        <v>9</v>
      </c>
    </row>
    <row r="92" spans="1:7" x14ac:dyDescent="0.35">
      <c r="A92" s="13">
        <v>21</v>
      </c>
      <c r="B92" s="177"/>
      <c r="C92" s="110">
        <v>10</v>
      </c>
      <c r="D92" s="111">
        <v>10</v>
      </c>
      <c r="E92" s="112">
        <v>10</v>
      </c>
      <c r="F92" s="228"/>
      <c r="G92" s="138">
        <v>9</v>
      </c>
    </row>
    <row r="93" spans="1:7" x14ac:dyDescent="0.35">
      <c r="A93" s="13">
        <v>22</v>
      </c>
      <c r="B93" s="177"/>
      <c r="C93" s="110">
        <v>10</v>
      </c>
      <c r="D93" s="111">
        <v>10</v>
      </c>
      <c r="E93" s="112">
        <v>10</v>
      </c>
      <c r="F93" s="228"/>
      <c r="G93" s="138">
        <v>10</v>
      </c>
    </row>
    <row r="94" spans="1:7" x14ac:dyDescent="0.35">
      <c r="A94" s="13">
        <v>21</v>
      </c>
      <c r="B94" s="177"/>
      <c r="C94" s="110">
        <v>10</v>
      </c>
      <c r="D94" s="111">
        <v>8</v>
      </c>
      <c r="E94" s="112">
        <v>9</v>
      </c>
      <c r="F94" s="228"/>
      <c r="G94" s="138">
        <v>10</v>
      </c>
    </row>
    <row r="95" spans="1:7" x14ac:dyDescent="0.35">
      <c r="A95" s="13">
        <v>22</v>
      </c>
      <c r="B95" s="177"/>
      <c r="C95" s="110">
        <v>10</v>
      </c>
      <c r="D95" s="111">
        <v>10</v>
      </c>
      <c r="E95" s="112">
        <v>10</v>
      </c>
      <c r="F95" s="228"/>
      <c r="G95" s="138">
        <v>9.5</v>
      </c>
    </row>
    <row r="96" spans="1:7" x14ac:dyDescent="0.35">
      <c r="A96" s="29"/>
      <c r="B96" s="177"/>
      <c r="C96" s="177"/>
      <c r="D96" s="177"/>
      <c r="E96" s="177"/>
      <c r="F96" s="177"/>
      <c r="G96" s="177"/>
    </row>
    <row r="97" spans="1:7" x14ac:dyDescent="0.35">
      <c r="A97" s="13" t="s">
        <v>335</v>
      </c>
      <c r="B97" s="15" t="s">
        <v>0</v>
      </c>
      <c r="C97" s="16" t="s">
        <v>1</v>
      </c>
      <c r="D97" s="17" t="s">
        <v>2</v>
      </c>
      <c r="E97" s="24" t="s">
        <v>3</v>
      </c>
      <c r="F97" s="23" t="s">
        <v>4</v>
      </c>
      <c r="G97" s="18" t="s">
        <v>5</v>
      </c>
    </row>
    <row r="98" spans="1:7" x14ac:dyDescent="0.35">
      <c r="A98" s="13" t="s">
        <v>242</v>
      </c>
      <c r="B98" s="8"/>
      <c r="C98" s="9"/>
      <c r="D98" s="10"/>
      <c r="E98" s="21"/>
      <c r="F98" s="22"/>
      <c r="G98" s="6"/>
    </row>
    <row r="99" spans="1:7" x14ac:dyDescent="0.35">
      <c r="A99" s="13" t="s">
        <v>243</v>
      </c>
      <c r="B99" s="8"/>
      <c r="C99" s="9"/>
      <c r="D99" s="10"/>
      <c r="E99" s="21"/>
      <c r="F99" s="22"/>
      <c r="G99" s="6"/>
    </row>
    <row r="100" spans="1:7" x14ac:dyDescent="0.35">
      <c r="A100" s="13" t="s">
        <v>244</v>
      </c>
      <c r="B100" s="8"/>
      <c r="C100" s="9"/>
      <c r="D100" s="10"/>
      <c r="E100" s="21"/>
      <c r="F100" s="22"/>
      <c r="G100" s="6"/>
    </row>
    <row r="101" spans="1:7" x14ac:dyDescent="0.35">
      <c r="A101" s="13" t="s">
        <v>245</v>
      </c>
      <c r="B101" s="8"/>
      <c r="C101" s="9"/>
      <c r="D101" s="10"/>
      <c r="E101" s="21"/>
      <c r="F101" s="22"/>
      <c r="G101" s="6"/>
    </row>
    <row r="102" spans="1:7" x14ac:dyDescent="0.35">
      <c r="A102" s="13" t="s">
        <v>246</v>
      </c>
      <c r="B102" s="8"/>
      <c r="C102" s="9"/>
      <c r="D102" s="10"/>
      <c r="E102" s="21"/>
      <c r="F102" s="22"/>
      <c r="G102" s="6"/>
    </row>
    <row r="103" spans="1:7" x14ac:dyDescent="0.35">
      <c r="A103" s="13" t="s">
        <v>247</v>
      </c>
      <c r="B103" s="8"/>
      <c r="C103" s="9"/>
      <c r="D103" s="10"/>
      <c r="E103" s="21"/>
      <c r="F103" s="22"/>
      <c r="G103" s="6"/>
    </row>
    <row r="104" spans="1:7" x14ac:dyDescent="0.35">
      <c r="A104" s="13" t="s">
        <v>248</v>
      </c>
      <c r="B104" s="8"/>
      <c r="C104" s="9"/>
      <c r="D104" s="10"/>
      <c r="E104" s="21"/>
      <c r="F104" s="22"/>
      <c r="G104" s="6"/>
    </row>
    <row r="105" spans="1:7" x14ac:dyDescent="0.35">
      <c r="A105" s="13" t="s">
        <v>249</v>
      </c>
      <c r="B105" s="8"/>
      <c r="C105" s="9"/>
      <c r="D105" s="10"/>
      <c r="E105" s="21"/>
      <c r="F105" s="22"/>
      <c r="G105" s="6"/>
    </row>
    <row r="106" spans="1:7" x14ac:dyDescent="0.35">
      <c r="A106" s="13" t="s">
        <v>250</v>
      </c>
      <c r="B106" s="8"/>
      <c r="C106" s="9"/>
      <c r="D106" s="10"/>
      <c r="E106" s="21"/>
      <c r="F106" s="22"/>
      <c r="G106" s="6"/>
    </row>
    <row r="107" spans="1:7" x14ac:dyDescent="0.35">
      <c r="A107" s="13" t="s">
        <v>251</v>
      </c>
      <c r="B107" s="8"/>
      <c r="C107" s="9"/>
      <c r="D107" s="10"/>
      <c r="E107" s="21"/>
      <c r="F107" s="22"/>
      <c r="G107" s="6"/>
    </row>
    <row r="108" spans="1:7" x14ac:dyDescent="0.35">
      <c r="A108" s="13" t="s">
        <v>252</v>
      </c>
      <c r="B108" s="8"/>
      <c r="C108" s="9"/>
      <c r="D108" s="10"/>
      <c r="E108" s="21"/>
      <c r="F108" s="22"/>
      <c r="G108" s="6"/>
    </row>
    <row r="109" spans="1:7" x14ac:dyDescent="0.35">
      <c r="A109" s="13" t="s">
        <v>253</v>
      </c>
      <c r="B109" s="8"/>
      <c r="C109" s="9"/>
      <c r="D109" s="10"/>
      <c r="E109" s="21"/>
      <c r="F109" s="22"/>
      <c r="G109" s="6"/>
    </row>
    <row r="110" spans="1:7" x14ac:dyDescent="0.35">
      <c r="A110" s="13" t="s">
        <v>254</v>
      </c>
      <c r="B110" s="8"/>
      <c r="C110" s="9"/>
      <c r="D110" s="10"/>
      <c r="E110" s="21"/>
      <c r="F110" s="22"/>
      <c r="G110" s="6"/>
    </row>
    <row r="111" spans="1:7" x14ac:dyDescent="0.35">
      <c r="A111" s="13" t="s">
        <v>255</v>
      </c>
      <c r="B111" s="8"/>
      <c r="C111" s="9"/>
      <c r="D111" s="10"/>
      <c r="E111" s="21"/>
      <c r="F111" s="22"/>
      <c r="G111" s="6"/>
    </row>
    <row r="112" spans="1:7" x14ac:dyDescent="0.35">
      <c r="A112" s="13" t="s">
        <v>256</v>
      </c>
      <c r="B112" s="8"/>
      <c r="C112" s="9"/>
      <c r="D112" s="10"/>
      <c r="E112" s="21"/>
      <c r="F112" s="22"/>
      <c r="G112" s="6"/>
    </row>
    <row r="113" spans="1:7" x14ac:dyDescent="0.35">
      <c r="A113" s="13" t="s">
        <v>257</v>
      </c>
      <c r="B113" s="8"/>
      <c r="C113" s="9"/>
      <c r="D113" s="10"/>
      <c r="E113" s="21"/>
      <c r="F113" s="22"/>
      <c r="G113" s="6"/>
    </row>
    <row r="114" spans="1:7" x14ac:dyDescent="0.35">
      <c r="A114" s="13" t="s">
        <v>258</v>
      </c>
      <c r="B114" s="8"/>
      <c r="C114" s="9"/>
      <c r="D114" s="10"/>
      <c r="E114" s="21"/>
      <c r="F114" s="22"/>
      <c r="G114" s="6"/>
    </row>
    <row r="115" spans="1:7" x14ac:dyDescent="0.35">
      <c r="A115" s="13" t="s">
        <v>259</v>
      </c>
      <c r="B115" s="8"/>
      <c r="C115" s="9"/>
      <c r="D115" s="10"/>
      <c r="E115" s="21"/>
      <c r="F115" s="22"/>
      <c r="G115" s="6"/>
    </row>
    <row r="116" spans="1:7" x14ac:dyDescent="0.35">
      <c r="A116" s="13" t="s">
        <v>260</v>
      </c>
      <c r="B116" s="8"/>
      <c r="C116" s="9"/>
      <c r="D116" s="10"/>
      <c r="E116" s="21"/>
      <c r="F116" s="22"/>
      <c r="G116" s="6"/>
    </row>
    <row r="117" spans="1:7" x14ac:dyDescent="0.35">
      <c r="A117" s="13" t="s">
        <v>261</v>
      </c>
      <c r="B117" s="8"/>
      <c r="C117" s="9"/>
      <c r="D117" s="10"/>
      <c r="E117" s="21"/>
      <c r="F117" s="22"/>
      <c r="G117" s="6"/>
    </row>
    <row r="118" spans="1:7" x14ac:dyDescent="0.35">
      <c r="A118" s="13" t="s">
        <v>262</v>
      </c>
      <c r="B118" s="8"/>
      <c r="C118" s="9"/>
      <c r="D118" s="10"/>
      <c r="E118" s="21"/>
      <c r="F118" s="22"/>
      <c r="G118" s="6"/>
    </row>
    <row r="119" spans="1:7" x14ac:dyDescent="0.35">
      <c r="A119" s="13" t="s">
        <v>263</v>
      </c>
      <c r="B119" s="8"/>
      <c r="C119" s="9"/>
      <c r="D119" s="10"/>
      <c r="E119" s="21"/>
      <c r="F119" s="22"/>
      <c r="G119" s="6"/>
    </row>
    <row r="120" spans="1:7" x14ac:dyDescent="0.35">
      <c r="A120" s="13" t="s">
        <v>264</v>
      </c>
      <c r="B120" s="8"/>
      <c r="C120" s="9"/>
      <c r="D120" s="10"/>
      <c r="E120" s="21"/>
      <c r="F120" s="22"/>
      <c r="G120" s="6"/>
    </row>
    <row r="121" spans="1:7" x14ac:dyDescent="0.35">
      <c r="A121" s="13" t="s">
        <v>265</v>
      </c>
      <c r="B121" s="8"/>
      <c r="C121" s="9"/>
      <c r="D121" s="10"/>
      <c r="E121" s="21"/>
      <c r="F121" s="22"/>
      <c r="G121" s="6"/>
    </row>
    <row r="122" spans="1:7" x14ac:dyDescent="0.35">
      <c r="A122" s="13" t="s">
        <v>266</v>
      </c>
      <c r="B122" s="8"/>
      <c r="C122" s="9"/>
      <c r="D122" s="10"/>
      <c r="E122" s="21"/>
      <c r="F122" s="22"/>
      <c r="G122" s="6"/>
    </row>
    <row r="123" spans="1:7" x14ac:dyDescent="0.35">
      <c r="A123" s="13" t="s">
        <v>267</v>
      </c>
      <c r="B123" s="8"/>
      <c r="C123" s="9"/>
      <c r="D123" s="10"/>
      <c r="E123" s="21"/>
      <c r="F123" s="22"/>
      <c r="G123" s="6"/>
    </row>
    <row r="124" spans="1:7" x14ac:dyDescent="0.35">
      <c r="A124" s="13" t="s">
        <v>268</v>
      </c>
      <c r="B124" s="8"/>
      <c r="C124" s="9"/>
      <c r="D124" s="10"/>
      <c r="E124" s="21"/>
      <c r="F124" s="22"/>
      <c r="G124" s="6"/>
    </row>
    <row r="125" spans="1:7" x14ac:dyDescent="0.35">
      <c r="A125" s="13" t="s">
        <v>269</v>
      </c>
      <c r="B125" s="8"/>
      <c r="C125" s="9"/>
      <c r="D125" s="10"/>
      <c r="E125" s="21"/>
      <c r="F125" s="22"/>
      <c r="G125" s="6"/>
    </row>
    <row r="126" spans="1:7" x14ac:dyDescent="0.35">
      <c r="A126" s="13" t="s">
        <v>270</v>
      </c>
      <c r="B126" s="8"/>
      <c r="C126" s="9"/>
      <c r="D126" s="10"/>
      <c r="E126" s="21"/>
      <c r="F126" s="22"/>
      <c r="G126" s="6"/>
    </row>
    <row r="127" spans="1:7" x14ac:dyDescent="0.35">
      <c r="A127" s="13" t="s">
        <v>271</v>
      </c>
      <c r="B127" s="8"/>
      <c r="C127" s="9"/>
      <c r="D127" s="10"/>
      <c r="E127" s="21"/>
      <c r="F127" s="22"/>
      <c r="G127" s="6"/>
    </row>
    <row r="128" spans="1:7" x14ac:dyDescent="0.35">
      <c r="A128" s="2"/>
      <c r="B128" s="2"/>
      <c r="C128" s="2"/>
      <c r="D128" s="2"/>
      <c r="E128" s="2"/>
      <c r="F128" s="2"/>
      <c r="G128" s="2"/>
    </row>
    <row r="129" spans="1:7" x14ac:dyDescent="0.35">
      <c r="A129" s="13" t="s">
        <v>335</v>
      </c>
      <c r="B129" s="15" t="s">
        <v>0</v>
      </c>
      <c r="C129" s="16" t="s">
        <v>1</v>
      </c>
      <c r="D129" s="17" t="s">
        <v>2</v>
      </c>
      <c r="E129" s="24" t="s">
        <v>3</v>
      </c>
      <c r="F129" s="23" t="s">
        <v>4</v>
      </c>
      <c r="G129" s="18" t="s">
        <v>5</v>
      </c>
    </row>
    <row r="130" spans="1:7" x14ac:dyDescent="0.35">
      <c r="A130" s="13" t="s">
        <v>242</v>
      </c>
      <c r="B130" s="8"/>
      <c r="C130" s="9"/>
      <c r="D130" s="10"/>
      <c r="E130" s="21"/>
      <c r="F130" s="22"/>
      <c r="G130" s="6"/>
    </row>
    <row r="131" spans="1:7" x14ac:dyDescent="0.35">
      <c r="A131" s="13" t="s">
        <v>243</v>
      </c>
      <c r="B131" s="8"/>
      <c r="C131" s="9"/>
      <c r="D131" s="10"/>
      <c r="E131" s="21"/>
      <c r="F131" s="22"/>
      <c r="G131" s="6"/>
    </row>
    <row r="132" spans="1:7" x14ac:dyDescent="0.35">
      <c r="A132" s="13" t="s">
        <v>244</v>
      </c>
      <c r="B132" s="8"/>
      <c r="C132" s="9"/>
      <c r="D132" s="10"/>
      <c r="E132" s="21"/>
      <c r="F132" s="22"/>
      <c r="G132" s="6"/>
    </row>
    <row r="133" spans="1:7" x14ac:dyDescent="0.35">
      <c r="A133" s="13" t="s">
        <v>245</v>
      </c>
      <c r="B133" s="8"/>
      <c r="C133" s="9"/>
      <c r="D133" s="10"/>
      <c r="E133" s="21"/>
      <c r="F133" s="22"/>
      <c r="G133" s="6"/>
    </row>
    <row r="134" spans="1:7" x14ac:dyDescent="0.35">
      <c r="A134" s="13" t="s">
        <v>246</v>
      </c>
      <c r="B134" s="8"/>
      <c r="C134" s="9"/>
      <c r="D134" s="10"/>
      <c r="E134" s="21"/>
      <c r="F134" s="22"/>
      <c r="G134" s="6"/>
    </row>
    <row r="135" spans="1:7" x14ac:dyDescent="0.35">
      <c r="A135" s="13" t="s">
        <v>247</v>
      </c>
      <c r="B135" s="8"/>
      <c r="C135" s="9"/>
      <c r="D135" s="10"/>
      <c r="E135" s="21"/>
      <c r="F135" s="22"/>
      <c r="G135" s="6"/>
    </row>
    <row r="136" spans="1:7" x14ac:dyDescent="0.35">
      <c r="A136" s="13" t="s">
        <v>248</v>
      </c>
      <c r="B136" s="8"/>
      <c r="C136" s="9"/>
      <c r="D136" s="10"/>
      <c r="E136" s="21"/>
      <c r="F136" s="22"/>
      <c r="G136" s="6"/>
    </row>
    <row r="137" spans="1:7" x14ac:dyDescent="0.35">
      <c r="A137" s="13" t="s">
        <v>249</v>
      </c>
      <c r="B137" s="8"/>
      <c r="C137" s="9"/>
      <c r="D137" s="10"/>
      <c r="E137" s="21"/>
      <c r="F137" s="22"/>
      <c r="G137" s="6"/>
    </row>
    <row r="138" spans="1:7" x14ac:dyDescent="0.35">
      <c r="A138" s="13" t="s">
        <v>250</v>
      </c>
      <c r="B138" s="8"/>
      <c r="C138" s="9"/>
      <c r="D138" s="10"/>
      <c r="E138" s="21"/>
      <c r="F138" s="22"/>
      <c r="G138" s="6"/>
    </row>
    <row r="139" spans="1:7" x14ac:dyDescent="0.35">
      <c r="A139" s="13" t="s">
        <v>251</v>
      </c>
      <c r="B139" s="8"/>
      <c r="C139" s="9"/>
      <c r="D139" s="10"/>
      <c r="E139" s="21"/>
      <c r="F139" s="22"/>
      <c r="G139" s="6"/>
    </row>
    <row r="140" spans="1:7" x14ac:dyDescent="0.35">
      <c r="A140" s="13" t="s">
        <v>252</v>
      </c>
      <c r="B140" s="8"/>
      <c r="C140" s="9"/>
      <c r="D140" s="10"/>
      <c r="E140" s="21"/>
      <c r="F140" s="22"/>
      <c r="G140" s="6"/>
    </row>
    <row r="141" spans="1:7" x14ac:dyDescent="0.35">
      <c r="A141" s="13" t="s">
        <v>253</v>
      </c>
      <c r="B141" s="8"/>
      <c r="C141" s="9"/>
      <c r="D141" s="10"/>
      <c r="E141" s="21"/>
      <c r="F141" s="22"/>
      <c r="G141" s="6"/>
    </row>
    <row r="142" spans="1:7" x14ac:dyDescent="0.35">
      <c r="A142" s="13" t="s">
        <v>254</v>
      </c>
      <c r="B142" s="8"/>
      <c r="C142" s="9"/>
      <c r="D142" s="10"/>
      <c r="E142" s="21"/>
      <c r="F142" s="22"/>
      <c r="G142" s="6"/>
    </row>
    <row r="143" spans="1:7" x14ac:dyDescent="0.35">
      <c r="A143" s="13" t="s">
        <v>255</v>
      </c>
      <c r="B143" s="8"/>
      <c r="C143" s="9"/>
      <c r="D143" s="10"/>
      <c r="E143" s="21"/>
      <c r="F143" s="22"/>
      <c r="G143" s="6"/>
    </row>
    <row r="144" spans="1:7" x14ac:dyDescent="0.35">
      <c r="A144" s="13" t="s">
        <v>256</v>
      </c>
      <c r="B144" s="8"/>
      <c r="C144" s="9"/>
      <c r="D144" s="10"/>
      <c r="E144" s="21"/>
      <c r="F144" s="22"/>
      <c r="G144" s="6"/>
    </row>
    <row r="145" spans="1:7" x14ac:dyDescent="0.35">
      <c r="A145" s="13" t="s">
        <v>257</v>
      </c>
      <c r="B145" s="8"/>
      <c r="C145" s="9"/>
      <c r="D145" s="10"/>
      <c r="E145" s="21"/>
      <c r="F145" s="22"/>
      <c r="G145" s="6"/>
    </row>
    <row r="146" spans="1:7" x14ac:dyDescent="0.35">
      <c r="A146" s="13" t="s">
        <v>258</v>
      </c>
      <c r="B146" s="8"/>
      <c r="C146" s="9"/>
      <c r="D146" s="10"/>
      <c r="E146" s="21"/>
      <c r="F146" s="22"/>
      <c r="G146" s="6"/>
    </row>
    <row r="147" spans="1:7" x14ac:dyDescent="0.35">
      <c r="A147" s="13" t="s">
        <v>259</v>
      </c>
      <c r="B147" s="8"/>
      <c r="C147" s="9"/>
      <c r="D147" s="10"/>
      <c r="E147" s="21"/>
      <c r="F147" s="22"/>
      <c r="G147" s="6"/>
    </row>
    <row r="148" spans="1:7" x14ac:dyDescent="0.35">
      <c r="A148" s="13" t="s">
        <v>260</v>
      </c>
      <c r="B148" s="8"/>
      <c r="C148" s="9"/>
      <c r="D148" s="10"/>
      <c r="E148" s="21"/>
      <c r="F148" s="22"/>
      <c r="G148" s="6"/>
    </row>
    <row r="149" spans="1:7" x14ac:dyDescent="0.35">
      <c r="A149" s="13" t="s">
        <v>261</v>
      </c>
      <c r="B149" s="8"/>
      <c r="C149" s="9"/>
      <c r="D149" s="10"/>
      <c r="E149" s="21"/>
      <c r="F149" s="22"/>
      <c r="G149" s="6"/>
    </row>
    <row r="150" spans="1:7" x14ac:dyDescent="0.35">
      <c r="A150" s="13" t="s">
        <v>262</v>
      </c>
      <c r="B150" s="8"/>
      <c r="C150" s="9"/>
      <c r="D150" s="10"/>
      <c r="E150" s="21"/>
      <c r="F150" s="22"/>
      <c r="G150" s="6"/>
    </row>
    <row r="151" spans="1:7" x14ac:dyDescent="0.35">
      <c r="A151" s="13" t="s">
        <v>263</v>
      </c>
      <c r="B151" s="8"/>
      <c r="C151" s="9"/>
      <c r="D151" s="10"/>
      <c r="E151" s="21"/>
      <c r="F151" s="22"/>
      <c r="G151" s="6"/>
    </row>
    <row r="152" spans="1:7" x14ac:dyDescent="0.35">
      <c r="A152" s="13" t="s">
        <v>264</v>
      </c>
      <c r="B152" s="8"/>
      <c r="C152" s="9"/>
      <c r="D152" s="10"/>
      <c r="E152" s="21"/>
      <c r="F152" s="22"/>
      <c r="G152" s="6"/>
    </row>
    <row r="153" spans="1:7" x14ac:dyDescent="0.35">
      <c r="A153" s="13" t="s">
        <v>265</v>
      </c>
      <c r="B153" s="8"/>
      <c r="C153" s="9"/>
      <c r="D153" s="10"/>
      <c r="E153" s="21"/>
      <c r="F153" s="22"/>
      <c r="G153" s="6"/>
    </row>
    <row r="154" spans="1:7" x14ac:dyDescent="0.35">
      <c r="A154" s="13" t="s">
        <v>266</v>
      </c>
      <c r="B154" s="8"/>
      <c r="C154" s="9"/>
      <c r="D154" s="10"/>
      <c r="E154" s="21"/>
      <c r="F154" s="22"/>
      <c r="G154" s="6"/>
    </row>
    <row r="155" spans="1:7" x14ac:dyDescent="0.35">
      <c r="A155" s="13" t="s">
        <v>267</v>
      </c>
      <c r="B155" s="8"/>
      <c r="C155" s="9"/>
      <c r="D155" s="10"/>
      <c r="E155" s="21"/>
      <c r="F155" s="22"/>
      <c r="G155" s="6"/>
    </row>
    <row r="156" spans="1:7" x14ac:dyDescent="0.35">
      <c r="A156" s="13" t="s">
        <v>268</v>
      </c>
      <c r="B156" s="8"/>
      <c r="C156" s="9"/>
      <c r="D156" s="10"/>
      <c r="E156" s="21"/>
      <c r="F156" s="22"/>
      <c r="G156" s="6"/>
    </row>
    <row r="157" spans="1:7" x14ac:dyDescent="0.35">
      <c r="A157" s="13" t="s">
        <v>269</v>
      </c>
      <c r="B157" s="8"/>
      <c r="C157" s="9"/>
      <c r="D157" s="10"/>
      <c r="E157" s="21"/>
      <c r="F157" s="22"/>
      <c r="G157" s="6"/>
    </row>
    <row r="158" spans="1:7" x14ac:dyDescent="0.35">
      <c r="A158" s="13" t="s">
        <v>270</v>
      </c>
      <c r="B158" s="8"/>
      <c r="C158" s="9"/>
      <c r="D158" s="10"/>
      <c r="E158" s="21"/>
      <c r="F158" s="22"/>
      <c r="G158" s="6"/>
    </row>
    <row r="159" spans="1:7" x14ac:dyDescent="0.35">
      <c r="A159" s="13" t="s">
        <v>271</v>
      </c>
      <c r="B159" s="8"/>
      <c r="C159" s="9"/>
      <c r="D159" s="10"/>
      <c r="E159" s="21"/>
      <c r="F159" s="22"/>
      <c r="G159" s="6"/>
    </row>
    <row r="160" spans="1:7" x14ac:dyDescent="0.35">
      <c r="A160" s="2"/>
      <c r="B160" s="2"/>
      <c r="C160" s="2"/>
      <c r="D160" s="2"/>
      <c r="E160" s="2"/>
      <c r="F160" s="2"/>
      <c r="G160" s="2"/>
    </row>
    <row r="161" spans="1:7" x14ac:dyDescent="0.35">
      <c r="A161" s="13" t="s">
        <v>335</v>
      </c>
      <c r="B161" s="15" t="s">
        <v>0</v>
      </c>
      <c r="C161" s="16" t="s">
        <v>1</v>
      </c>
      <c r="D161" s="17" t="s">
        <v>2</v>
      </c>
      <c r="E161" s="24" t="s">
        <v>3</v>
      </c>
      <c r="F161" s="23" t="s">
        <v>4</v>
      </c>
      <c r="G161" s="18" t="s">
        <v>5</v>
      </c>
    </row>
    <row r="162" spans="1:7" x14ac:dyDescent="0.35">
      <c r="A162" s="13" t="s">
        <v>242</v>
      </c>
      <c r="B162" s="8"/>
      <c r="C162" s="9"/>
      <c r="D162" s="10"/>
      <c r="E162" s="21"/>
      <c r="F162" s="22"/>
      <c r="G162" s="6"/>
    </row>
    <row r="163" spans="1:7" x14ac:dyDescent="0.35">
      <c r="A163" s="13" t="s">
        <v>243</v>
      </c>
      <c r="B163" s="8"/>
      <c r="C163" s="9"/>
      <c r="D163" s="10"/>
      <c r="E163" s="21"/>
      <c r="F163" s="22"/>
      <c r="G163" s="6"/>
    </row>
    <row r="164" spans="1:7" x14ac:dyDescent="0.35">
      <c r="A164" s="13" t="s">
        <v>244</v>
      </c>
      <c r="B164" s="8"/>
      <c r="C164" s="9"/>
      <c r="D164" s="10"/>
      <c r="E164" s="21"/>
      <c r="F164" s="22"/>
      <c r="G164" s="6"/>
    </row>
    <row r="165" spans="1:7" x14ac:dyDescent="0.35">
      <c r="A165" s="13" t="s">
        <v>245</v>
      </c>
      <c r="B165" s="8"/>
      <c r="C165" s="9"/>
      <c r="D165" s="10"/>
      <c r="E165" s="21"/>
      <c r="F165" s="22"/>
      <c r="G165" s="6"/>
    </row>
    <row r="166" spans="1:7" x14ac:dyDescent="0.35">
      <c r="A166" s="13" t="s">
        <v>246</v>
      </c>
      <c r="B166" s="8"/>
      <c r="C166" s="9"/>
      <c r="D166" s="10"/>
      <c r="E166" s="21"/>
      <c r="F166" s="22"/>
      <c r="G166" s="6"/>
    </row>
    <row r="167" spans="1:7" x14ac:dyDescent="0.35">
      <c r="A167" s="13" t="s">
        <v>247</v>
      </c>
      <c r="B167" s="8"/>
      <c r="C167" s="9"/>
      <c r="D167" s="10"/>
      <c r="E167" s="21"/>
      <c r="F167" s="22"/>
      <c r="G167" s="6"/>
    </row>
    <row r="168" spans="1:7" x14ac:dyDescent="0.35">
      <c r="A168" s="13" t="s">
        <v>248</v>
      </c>
      <c r="B168" s="8"/>
      <c r="C168" s="9"/>
      <c r="D168" s="10"/>
      <c r="E168" s="21"/>
      <c r="F168" s="22"/>
      <c r="G168" s="6"/>
    </row>
    <row r="169" spans="1:7" x14ac:dyDescent="0.35">
      <c r="A169" s="13" t="s">
        <v>249</v>
      </c>
      <c r="B169" s="8"/>
      <c r="C169" s="9"/>
      <c r="D169" s="10"/>
      <c r="E169" s="21"/>
      <c r="F169" s="22"/>
      <c r="G169" s="6"/>
    </row>
    <row r="170" spans="1:7" x14ac:dyDescent="0.35">
      <c r="A170" s="13" t="s">
        <v>250</v>
      </c>
      <c r="B170" s="8"/>
      <c r="C170" s="9"/>
      <c r="D170" s="10"/>
      <c r="E170" s="21"/>
      <c r="F170" s="22"/>
      <c r="G170" s="6"/>
    </row>
    <row r="171" spans="1:7" x14ac:dyDescent="0.35">
      <c r="A171" s="13" t="s">
        <v>251</v>
      </c>
      <c r="B171" s="8"/>
      <c r="C171" s="9"/>
      <c r="D171" s="10"/>
      <c r="E171" s="21"/>
      <c r="F171" s="22"/>
      <c r="G171" s="6"/>
    </row>
    <row r="172" spans="1:7" x14ac:dyDescent="0.35">
      <c r="A172" s="13" t="s">
        <v>252</v>
      </c>
      <c r="B172" s="8"/>
      <c r="C172" s="9"/>
      <c r="D172" s="10"/>
      <c r="E172" s="21"/>
      <c r="F172" s="22"/>
      <c r="G172" s="6"/>
    </row>
    <row r="173" spans="1:7" x14ac:dyDescent="0.35">
      <c r="A173" s="13" t="s">
        <v>253</v>
      </c>
      <c r="B173" s="8"/>
      <c r="C173" s="9"/>
      <c r="D173" s="10"/>
      <c r="E173" s="21"/>
      <c r="F173" s="22"/>
      <c r="G173" s="6"/>
    </row>
    <row r="174" spans="1:7" x14ac:dyDescent="0.35">
      <c r="A174" s="13" t="s">
        <v>254</v>
      </c>
      <c r="B174" s="8"/>
      <c r="C174" s="9"/>
      <c r="D174" s="10"/>
      <c r="E174" s="21"/>
      <c r="F174" s="22"/>
      <c r="G174" s="6"/>
    </row>
    <row r="175" spans="1:7" x14ac:dyDescent="0.35">
      <c r="A175" s="13" t="s">
        <v>255</v>
      </c>
      <c r="B175" s="8"/>
      <c r="C175" s="9"/>
      <c r="D175" s="10"/>
      <c r="E175" s="21"/>
      <c r="F175" s="22"/>
      <c r="G175" s="6"/>
    </row>
    <row r="176" spans="1:7" x14ac:dyDescent="0.35">
      <c r="A176" s="13" t="s">
        <v>256</v>
      </c>
      <c r="B176" s="8"/>
      <c r="C176" s="9"/>
      <c r="D176" s="10"/>
      <c r="E176" s="21"/>
      <c r="F176" s="22"/>
      <c r="G176" s="6"/>
    </row>
    <row r="177" spans="1:7" x14ac:dyDescent="0.35">
      <c r="A177" s="13" t="s">
        <v>257</v>
      </c>
      <c r="B177" s="8"/>
      <c r="C177" s="9"/>
      <c r="D177" s="10"/>
      <c r="E177" s="21"/>
      <c r="F177" s="22"/>
      <c r="G177" s="6"/>
    </row>
    <row r="178" spans="1:7" x14ac:dyDescent="0.35">
      <c r="A178" s="13" t="s">
        <v>258</v>
      </c>
      <c r="B178" s="8"/>
      <c r="C178" s="9"/>
      <c r="D178" s="10"/>
      <c r="E178" s="21"/>
      <c r="F178" s="22"/>
      <c r="G178" s="6"/>
    </row>
    <row r="179" spans="1:7" x14ac:dyDescent="0.35">
      <c r="A179" s="13" t="s">
        <v>259</v>
      </c>
      <c r="B179" s="8"/>
      <c r="C179" s="9"/>
      <c r="D179" s="10"/>
      <c r="E179" s="21"/>
      <c r="F179" s="22"/>
      <c r="G179" s="6"/>
    </row>
    <row r="180" spans="1:7" x14ac:dyDescent="0.35">
      <c r="A180" s="13" t="s">
        <v>260</v>
      </c>
      <c r="B180" s="8"/>
      <c r="C180" s="9"/>
      <c r="D180" s="10"/>
      <c r="E180" s="21"/>
      <c r="F180" s="22"/>
      <c r="G180" s="6"/>
    </row>
    <row r="181" spans="1:7" x14ac:dyDescent="0.35">
      <c r="A181" s="13" t="s">
        <v>261</v>
      </c>
      <c r="B181" s="8"/>
      <c r="C181" s="9"/>
      <c r="D181" s="10"/>
      <c r="E181" s="21"/>
      <c r="F181" s="22"/>
      <c r="G181" s="6"/>
    </row>
    <row r="182" spans="1:7" x14ac:dyDescent="0.35">
      <c r="A182" s="13" t="s">
        <v>262</v>
      </c>
      <c r="B182" s="8"/>
      <c r="C182" s="9"/>
      <c r="D182" s="10"/>
      <c r="E182" s="21"/>
      <c r="F182" s="22"/>
      <c r="G182" s="6"/>
    </row>
    <row r="183" spans="1:7" x14ac:dyDescent="0.35">
      <c r="A183" s="13" t="s">
        <v>263</v>
      </c>
      <c r="B183" s="8"/>
      <c r="C183" s="9"/>
      <c r="D183" s="10"/>
      <c r="E183" s="21"/>
      <c r="F183" s="22"/>
      <c r="G183" s="6"/>
    </row>
    <row r="184" spans="1:7" x14ac:dyDescent="0.35">
      <c r="A184" s="13" t="s">
        <v>264</v>
      </c>
      <c r="B184" s="8"/>
      <c r="C184" s="9"/>
      <c r="D184" s="10"/>
      <c r="E184" s="21"/>
      <c r="F184" s="22"/>
      <c r="G184" s="6"/>
    </row>
    <row r="185" spans="1:7" x14ac:dyDescent="0.35">
      <c r="A185" s="13" t="s">
        <v>265</v>
      </c>
      <c r="B185" s="8"/>
      <c r="C185" s="9"/>
      <c r="D185" s="10"/>
      <c r="E185" s="21"/>
      <c r="F185" s="22"/>
      <c r="G185" s="6"/>
    </row>
    <row r="186" spans="1:7" x14ac:dyDescent="0.35">
      <c r="A186" s="13" t="s">
        <v>266</v>
      </c>
      <c r="B186" s="8"/>
      <c r="C186" s="9"/>
      <c r="D186" s="10"/>
      <c r="E186" s="21"/>
      <c r="F186" s="22"/>
      <c r="G186" s="6"/>
    </row>
    <row r="187" spans="1:7" x14ac:dyDescent="0.35">
      <c r="A187" s="13" t="s">
        <v>267</v>
      </c>
      <c r="B187" s="8"/>
      <c r="C187" s="9"/>
      <c r="D187" s="10"/>
      <c r="E187" s="21"/>
      <c r="F187" s="22"/>
      <c r="G187" s="6"/>
    </row>
    <row r="188" spans="1:7" x14ac:dyDescent="0.35">
      <c r="A188" s="13" t="s">
        <v>268</v>
      </c>
      <c r="B188" s="8"/>
      <c r="C188" s="9"/>
      <c r="D188" s="10"/>
      <c r="E188" s="21"/>
      <c r="F188" s="22"/>
      <c r="G188" s="6"/>
    </row>
    <row r="189" spans="1:7" x14ac:dyDescent="0.35">
      <c r="A189" s="13" t="s">
        <v>269</v>
      </c>
      <c r="B189" s="8"/>
      <c r="C189" s="9"/>
      <c r="D189" s="10"/>
      <c r="E189" s="21"/>
      <c r="F189" s="22"/>
      <c r="G189" s="6"/>
    </row>
    <row r="190" spans="1:7" x14ac:dyDescent="0.35">
      <c r="A190" s="13" t="s">
        <v>270</v>
      </c>
      <c r="B190" s="8"/>
      <c r="C190" s="9"/>
      <c r="D190" s="10"/>
      <c r="E190" s="21"/>
      <c r="F190" s="22"/>
      <c r="G190" s="6"/>
    </row>
    <row r="191" spans="1:7" x14ac:dyDescent="0.35">
      <c r="A191" s="13" t="s">
        <v>271</v>
      </c>
      <c r="B191" s="8"/>
      <c r="C191" s="9"/>
      <c r="D191" s="10"/>
      <c r="E191" s="21"/>
      <c r="F191" s="22"/>
      <c r="G191" s="6"/>
    </row>
    <row r="192" spans="1:7" x14ac:dyDescent="0.35">
      <c r="A192" s="2"/>
      <c r="B192" s="2"/>
      <c r="C192" s="2"/>
      <c r="D192" s="2"/>
      <c r="E192" s="2"/>
      <c r="F192" s="2"/>
      <c r="G192" s="2"/>
    </row>
    <row r="193" spans="1:7" x14ac:dyDescent="0.35">
      <c r="A193" s="13" t="s">
        <v>12</v>
      </c>
      <c r="B193" s="15" t="s">
        <v>0</v>
      </c>
      <c r="C193" s="16" t="s">
        <v>1</v>
      </c>
      <c r="D193" s="17" t="s">
        <v>2</v>
      </c>
      <c r="E193" s="24" t="s">
        <v>3</v>
      </c>
      <c r="F193" s="23" t="s">
        <v>4</v>
      </c>
      <c r="G193" s="18" t="s">
        <v>5</v>
      </c>
    </row>
    <row r="194" spans="1:7" x14ac:dyDescent="0.35">
      <c r="A194" s="13" t="s">
        <v>242</v>
      </c>
      <c r="B194" s="8"/>
      <c r="C194" s="9"/>
      <c r="D194" s="10"/>
      <c r="E194" s="21"/>
      <c r="F194" s="22"/>
      <c r="G194" s="6"/>
    </row>
    <row r="195" spans="1:7" x14ac:dyDescent="0.35">
      <c r="A195" s="13" t="s">
        <v>243</v>
      </c>
      <c r="B195" s="8"/>
      <c r="C195" s="9"/>
      <c r="D195" s="10"/>
      <c r="E195" s="21"/>
      <c r="F195" s="22"/>
      <c r="G195" s="6"/>
    </row>
    <row r="196" spans="1:7" x14ac:dyDescent="0.35">
      <c r="A196" s="13" t="s">
        <v>244</v>
      </c>
      <c r="B196" s="8"/>
      <c r="C196" s="9"/>
      <c r="D196" s="10"/>
      <c r="E196" s="21"/>
      <c r="F196" s="22"/>
      <c r="G196" s="6"/>
    </row>
    <row r="197" spans="1:7" x14ac:dyDescent="0.35">
      <c r="A197" s="13" t="s">
        <v>245</v>
      </c>
      <c r="B197" s="8"/>
      <c r="C197" s="9"/>
      <c r="D197" s="10"/>
      <c r="E197" s="21"/>
      <c r="F197" s="22"/>
      <c r="G197" s="6"/>
    </row>
    <row r="198" spans="1:7" x14ac:dyDescent="0.35">
      <c r="A198" s="13" t="s">
        <v>246</v>
      </c>
      <c r="B198" s="8"/>
      <c r="C198" s="9"/>
      <c r="D198" s="10"/>
      <c r="E198" s="21"/>
      <c r="F198" s="22"/>
      <c r="G198" s="6"/>
    </row>
    <row r="199" spans="1:7" x14ac:dyDescent="0.35">
      <c r="A199" s="13" t="s">
        <v>247</v>
      </c>
      <c r="B199" s="8"/>
      <c r="C199" s="9"/>
      <c r="D199" s="10"/>
      <c r="E199" s="21"/>
      <c r="F199" s="22"/>
      <c r="G199" s="6"/>
    </row>
    <row r="200" spans="1:7" x14ac:dyDescent="0.35">
      <c r="A200" s="13" t="s">
        <v>248</v>
      </c>
      <c r="B200" s="8"/>
      <c r="C200" s="9"/>
      <c r="D200" s="10"/>
      <c r="E200" s="21"/>
      <c r="F200" s="22"/>
      <c r="G200" s="6"/>
    </row>
    <row r="201" spans="1:7" x14ac:dyDescent="0.35">
      <c r="A201" s="13" t="s">
        <v>249</v>
      </c>
      <c r="B201" s="8"/>
      <c r="C201" s="9"/>
      <c r="D201" s="10"/>
      <c r="E201" s="21"/>
      <c r="F201" s="22"/>
      <c r="G201" s="6"/>
    </row>
    <row r="202" spans="1:7" x14ac:dyDescent="0.35">
      <c r="A202" s="13" t="s">
        <v>250</v>
      </c>
      <c r="B202" s="8"/>
      <c r="C202" s="9"/>
      <c r="D202" s="10"/>
      <c r="E202" s="21"/>
      <c r="F202" s="22"/>
      <c r="G202" s="6"/>
    </row>
    <row r="203" spans="1:7" x14ac:dyDescent="0.35">
      <c r="A203" s="13" t="s">
        <v>251</v>
      </c>
      <c r="B203" s="8"/>
      <c r="C203" s="9"/>
      <c r="D203" s="10"/>
      <c r="E203" s="21"/>
      <c r="F203" s="22"/>
      <c r="G203" s="6"/>
    </row>
    <row r="204" spans="1:7" x14ac:dyDescent="0.35">
      <c r="A204" s="13" t="s">
        <v>252</v>
      </c>
      <c r="B204" s="8"/>
      <c r="C204" s="9"/>
      <c r="D204" s="10"/>
      <c r="E204" s="21"/>
      <c r="F204" s="22"/>
      <c r="G204" s="6"/>
    </row>
    <row r="205" spans="1:7" x14ac:dyDescent="0.35">
      <c r="A205" s="13" t="s">
        <v>253</v>
      </c>
      <c r="B205" s="8"/>
      <c r="C205" s="9"/>
      <c r="D205" s="10"/>
      <c r="E205" s="21"/>
      <c r="F205" s="22"/>
      <c r="G205" s="6"/>
    </row>
    <row r="206" spans="1:7" x14ac:dyDescent="0.35">
      <c r="A206" s="13" t="s">
        <v>254</v>
      </c>
      <c r="B206" s="8"/>
      <c r="C206" s="9"/>
      <c r="D206" s="10"/>
      <c r="E206" s="21"/>
      <c r="F206" s="22"/>
      <c r="G206" s="6"/>
    </row>
    <row r="207" spans="1:7" x14ac:dyDescent="0.35">
      <c r="A207" s="13" t="s">
        <v>255</v>
      </c>
      <c r="B207" s="8"/>
      <c r="C207" s="9"/>
      <c r="D207" s="10"/>
      <c r="E207" s="21"/>
      <c r="F207" s="22"/>
      <c r="G207" s="6"/>
    </row>
    <row r="208" spans="1:7" x14ac:dyDescent="0.35">
      <c r="A208" s="13" t="s">
        <v>256</v>
      </c>
      <c r="B208" s="8"/>
      <c r="C208" s="9"/>
      <c r="D208" s="10"/>
      <c r="E208" s="21"/>
      <c r="F208" s="22"/>
      <c r="G208" s="6"/>
    </row>
    <row r="209" spans="1:7" x14ac:dyDescent="0.35">
      <c r="A209" s="13" t="s">
        <v>257</v>
      </c>
      <c r="B209" s="8"/>
      <c r="C209" s="9"/>
      <c r="D209" s="10"/>
      <c r="E209" s="21"/>
      <c r="F209" s="22"/>
      <c r="G209" s="6"/>
    </row>
    <row r="210" spans="1:7" x14ac:dyDescent="0.35">
      <c r="A210" s="13" t="s">
        <v>258</v>
      </c>
      <c r="B210" s="8"/>
      <c r="C210" s="9"/>
      <c r="D210" s="10"/>
      <c r="E210" s="21"/>
      <c r="F210" s="22"/>
      <c r="G210" s="6"/>
    </row>
    <row r="211" spans="1:7" x14ac:dyDescent="0.35">
      <c r="A211" s="13" t="s">
        <v>259</v>
      </c>
      <c r="B211" s="8"/>
      <c r="C211" s="9"/>
      <c r="D211" s="10"/>
      <c r="E211" s="21"/>
      <c r="F211" s="22"/>
      <c r="G211" s="6"/>
    </row>
    <row r="212" spans="1:7" x14ac:dyDescent="0.35">
      <c r="A212" s="13" t="s">
        <v>260</v>
      </c>
      <c r="B212" s="8"/>
      <c r="C212" s="9"/>
      <c r="D212" s="10"/>
      <c r="E212" s="21"/>
      <c r="F212" s="22"/>
      <c r="G212" s="6"/>
    </row>
    <row r="213" spans="1:7" x14ac:dyDescent="0.35">
      <c r="A213" s="13" t="s">
        <v>261</v>
      </c>
      <c r="B213" s="8"/>
      <c r="C213" s="9"/>
      <c r="D213" s="10"/>
      <c r="E213" s="21"/>
      <c r="F213" s="22"/>
      <c r="G213" s="6"/>
    </row>
    <row r="214" spans="1:7" x14ac:dyDescent="0.35">
      <c r="A214" s="13" t="s">
        <v>262</v>
      </c>
      <c r="B214" s="8"/>
      <c r="C214" s="9"/>
      <c r="D214" s="10"/>
      <c r="E214" s="21"/>
      <c r="F214" s="22"/>
      <c r="G214" s="6"/>
    </row>
    <row r="215" spans="1:7" x14ac:dyDescent="0.35">
      <c r="A215" s="13" t="s">
        <v>263</v>
      </c>
      <c r="B215" s="8"/>
      <c r="C215" s="9"/>
      <c r="D215" s="10"/>
      <c r="E215" s="21"/>
      <c r="F215" s="22"/>
      <c r="G215" s="6"/>
    </row>
    <row r="216" spans="1:7" x14ac:dyDescent="0.35">
      <c r="A216" s="13" t="s">
        <v>264</v>
      </c>
      <c r="B216" s="8"/>
      <c r="C216" s="9"/>
      <c r="D216" s="10"/>
      <c r="E216" s="21"/>
      <c r="F216" s="22"/>
      <c r="G216" s="6"/>
    </row>
    <row r="217" spans="1:7" x14ac:dyDescent="0.35">
      <c r="A217" s="13" t="s">
        <v>265</v>
      </c>
      <c r="B217" s="8"/>
      <c r="C217" s="9"/>
      <c r="D217" s="10"/>
      <c r="E217" s="21"/>
      <c r="F217" s="22"/>
      <c r="G217" s="6"/>
    </row>
    <row r="218" spans="1:7" x14ac:dyDescent="0.35">
      <c r="A218" s="13" t="s">
        <v>266</v>
      </c>
      <c r="B218" s="8"/>
      <c r="C218" s="9"/>
      <c r="D218" s="10"/>
      <c r="E218" s="21"/>
      <c r="F218" s="22"/>
      <c r="G218" s="6"/>
    </row>
    <row r="219" spans="1:7" x14ac:dyDescent="0.35">
      <c r="A219" s="13" t="s">
        <v>267</v>
      </c>
      <c r="B219" s="8"/>
      <c r="C219" s="9"/>
      <c r="D219" s="10"/>
      <c r="E219" s="21"/>
      <c r="F219" s="22"/>
      <c r="G219" s="6"/>
    </row>
    <row r="220" spans="1:7" x14ac:dyDescent="0.35">
      <c r="A220" s="13" t="s">
        <v>268</v>
      </c>
      <c r="B220" s="8"/>
      <c r="C220" s="9"/>
      <c r="D220" s="10"/>
      <c r="E220" s="21"/>
      <c r="F220" s="22"/>
      <c r="G220" s="6"/>
    </row>
    <row r="221" spans="1:7" x14ac:dyDescent="0.35">
      <c r="A221" s="13" t="s">
        <v>269</v>
      </c>
      <c r="B221" s="8"/>
      <c r="C221" s="9"/>
      <c r="D221" s="10"/>
      <c r="E221" s="21"/>
      <c r="F221" s="22"/>
      <c r="G221" s="6"/>
    </row>
    <row r="222" spans="1:7" x14ac:dyDescent="0.35">
      <c r="A222" s="13" t="s">
        <v>270</v>
      </c>
      <c r="B222" s="8"/>
      <c r="C222" s="9"/>
      <c r="D222" s="10"/>
      <c r="E222" s="21"/>
      <c r="F222" s="22"/>
      <c r="G222" s="6"/>
    </row>
    <row r="223" spans="1:7" x14ac:dyDescent="0.35">
      <c r="A223" s="13" t="s">
        <v>271</v>
      </c>
      <c r="B223" s="8"/>
      <c r="C223" s="9"/>
      <c r="D223" s="10"/>
      <c r="E223" s="21"/>
      <c r="F223" s="22"/>
      <c r="G223" s="6"/>
    </row>
    <row r="224" spans="1:7" x14ac:dyDescent="0.35">
      <c r="A224" s="2"/>
      <c r="B224" s="2"/>
      <c r="C224" s="2"/>
      <c r="D224" s="2"/>
      <c r="E224" s="2"/>
      <c r="F224" s="2"/>
      <c r="G224" s="2"/>
    </row>
    <row r="225" spans="1:7" x14ac:dyDescent="0.35">
      <c r="A225" s="13" t="s">
        <v>13</v>
      </c>
      <c r="B225" s="15" t="s">
        <v>0</v>
      </c>
      <c r="C225" s="16" t="s">
        <v>1</v>
      </c>
      <c r="D225" s="17" t="s">
        <v>2</v>
      </c>
      <c r="E225" s="24" t="s">
        <v>3</v>
      </c>
      <c r="F225" s="23" t="s">
        <v>4</v>
      </c>
      <c r="G225" s="18" t="s">
        <v>5</v>
      </c>
    </row>
    <row r="226" spans="1:7" x14ac:dyDescent="0.35">
      <c r="A226" s="13" t="s">
        <v>242</v>
      </c>
      <c r="B226" s="8"/>
      <c r="C226" s="9"/>
      <c r="D226" s="10"/>
      <c r="E226" s="21"/>
      <c r="F226" s="22"/>
      <c r="G226" s="6"/>
    </row>
    <row r="227" spans="1:7" x14ac:dyDescent="0.35">
      <c r="A227" s="13" t="s">
        <v>243</v>
      </c>
      <c r="B227" s="8"/>
      <c r="C227" s="9"/>
      <c r="D227" s="10"/>
      <c r="E227" s="21"/>
      <c r="F227" s="22"/>
      <c r="G227" s="6"/>
    </row>
    <row r="228" spans="1:7" x14ac:dyDescent="0.35">
      <c r="A228" s="13" t="s">
        <v>244</v>
      </c>
      <c r="B228" s="8"/>
      <c r="C228" s="9"/>
      <c r="D228" s="10"/>
      <c r="E228" s="21"/>
      <c r="F228" s="22"/>
      <c r="G228" s="6"/>
    </row>
    <row r="229" spans="1:7" x14ac:dyDescent="0.35">
      <c r="A229" s="13" t="s">
        <v>245</v>
      </c>
      <c r="B229" s="8"/>
      <c r="C229" s="9"/>
      <c r="D229" s="10"/>
      <c r="E229" s="21"/>
      <c r="F229" s="22"/>
      <c r="G229" s="6"/>
    </row>
    <row r="230" spans="1:7" x14ac:dyDescent="0.35">
      <c r="A230" s="13" t="s">
        <v>246</v>
      </c>
      <c r="B230" s="8"/>
      <c r="C230" s="9"/>
      <c r="D230" s="10"/>
      <c r="E230" s="21"/>
      <c r="F230" s="22"/>
      <c r="G230" s="6"/>
    </row>
    <row r="231" spans="1:7" x14ac:dyDescent="0.35">
      <c r="A231" s="13" t="s">
        <v>247</v>
      </c>
      <c r="B231" s="8"/>
      <c r="C231" s="9"/>
      <c r="D231" s="10"/>
      <c r="E231" s="21"/>
      <c r="F231" s="22"/>
      <c r="G231" s="6"/>
    </row>
    <row r="232" spans="1:7" x14ac:dyDescent="0.35">
      <c r="A232" s="13" t="s">
        <v>248</v>
      </c>
      <c r="B232" s="8"/>
      <c r="C232" s="9"/>
      <c r="D232" s="10"/>
      <c r="E232" s="21"/>
      <c r="F232" s="22"/>
      <c r="G232" s="6"/>
    </row>
    <row r="233" spans="1:7" x14ac:dyDescent="0.35">
      <c r="A233" s="13" t="s">
        <v>249</v>
      </c>
      <c r="B233" s="8"/>
      <c r="C233" s="9"/>
      <c r="D233" s="10"/>
      <c r="E233" s="21"/>
      <c r="F233" s="22"/>
      <c r="G233" s="6"/>
    </row>
    <row r="234" spans="1:7" x14ac:dyDescent="0.35">
      <c r="A234" s="13" t="s">
        <v>250</v>
      </c>
      <c r="B234" s="8"/>
      <c r="C234" s="9"/>
      <c r="D234" s="10"/>
      <c r="E234" s="21"/>
      <c r="F234" s="22"/>
      <c r="G234" s="6"/>
    </row>
    <row r="235" spans="1:7" x14ac:dyDescent="0.35">
      <c r="A235" s="13" t="s">
        <v>251</v>
      </c>
      <c r="B235" s="8"/>
      <c r="C235" s="9"/>
      <c r="D235" s="10"/>
      <c r="E235" s="21"/>
      <c r="F235" s="22"/>
      <c r="G235" s="6"/>
    </row>
    <row r="236" spans="1:7" x14ac:dyDescent="0.35">
      <c r="A236" s="13" t="s">
        <v>252</v>
      </c>
      <c r="B236" s="8"/>
      <c r="C236" s="9"/>
      <c r="D236" s="10"/>
      <c r="E236" s="21"/>
      <c r="F236" s="22"/>
      <c r="G236" s="6"/>
    </row>
    <row r="237" spans="1:7" x14ac:dyDescent="0.35">
      <c r="A237" s="13" t="s">
        <v>253</v>
      </c>
      <c r="B237" s="8"/>
      <c r="C237" s="9"/>
      <c r="D237" s="10"/>
      <c r="E237" s="21"/>
      <c r="F237" s="22"/>
      <c r="G237" s="6"/>
    </row>
    <row r="238" spans="1:7" x14ac:dyDescent="0.35">
      <c r="A238" s="13" t="s">
        <v>254</v>
      </c>
      <c r="B238" s="8"/>
      <c r="C238" s="9"/>
      <c r="D238" s="10"/>
      <c r="E238" s="21"/>
      <c r="F238" s="22"/>
      <c r="G238" s="6"/>
    </row>
    <row r="239" spans="1:7" x14ac:dyDescent="0.35">
      <c r="A239" s="13" t="s">
        <v>255</v>
      </c>
      <c r="B239" s="8"/>
      <c r="C239" s="9"/>
      <c r="D239" s="10"/>
      <c r="E239" s="21"/>
      <c r="F239" s="22"/>
      <c r="G239" s="6"/>
    </row>
    <row r="240" spans="1:7" x14ac:dyDescent="0.35">
      <c r="A240" s="13" t="s">
        <v>256</v>
      </c>
      <c r="B240" s="8"/>
      <c r="C240" s="9"/>
      <c r="D240" s="10"/>
      <c r="E240" s="21"/>
      <c r="F240" s="22"/>
      <c r="G240" s="6"/>
    </row>
    <row r="241" spans="1:7" x14ac:dyDescent="0.35">
      <c r="A241" s="13" t="s">
        <v>257</v>
      </c>
      <c r="B241" s="8"/>
      <c r="C241" s="9"/>
      <c r="D241" s="10"/>
      <c r="E241" s="21"/>
      <c r="F241" s="22"/>
      <c r="G241" s="6"/>
    </row>
    <row r="242" spans="1:7" x14ac:dyDescent="0.35">
      <c r="A242" s="13" t="s">
        <v>258</v>
      </c>
      <c r="B242" s="8"/>
      <c r="C242" s="9"/>
      <c r="D242" s="10"/>
      <c r="E242" s="21"/>
      <c r="F242" s="22"/>
      <c r="G242" s="6"/>
    </row>
    <row r="243" spans="1:7" x14ac:dyDescent="0.35">
      <c r="A243" s="13" t="s">
        <v>259</v>
      </c>
      <c r="B243" s="8"/>
      <c r="C243" s="9"/>
      <c r="D243" s="10"/>
      <c r="E243" s="21"/>
      <c r="F243" s="22"/>
      <c r="G243" s="6"/>
    </row>
    <row r="244" spans="1:7" x14ac:dyDescent="0.35">
      <c r="A244" s="13" t="s">
        <v>260</v>
      </c>
      <c r="B244" s="8"/>
      <c r="C244" s="9"/>
      <c r="D244" s="10"/>
      <c r="E244" s="21"/>
      <c r="F244" s="22"/>
      <c r="G244" s="6"/>
    </row>
    <row r="245" spans="1:7" x14ac:dyDescent="0.35">
      <c r="A245" s="13" t="s">
        <v>261</v>
      </c>
      <c r="B245" s="8"/>
      <c r="C245" s="9"/>
      <c r="D245" s="10"/>
      <c r="E245" s="21"/>
      <c r="F245" s="22"/>
      <c r="G245" s="6"/>
    </row>
    <row r="246" spans="1:7" x14ac:dyDescent="0.35">
      <c r="A246" s="13" t="s">
        <v>262</v>
      </c>
      <c r="B246" s="8"/>
      <c r="C246" s="9"/>
      <c r="D246" s="10"/>
      <c r="E246" s="21"/>
      <c r="F246" s="22"/>
      <c r="G246" s="6"/>
    </row>
    <row r="247" spans="1:7" x14ac:dyDescent="0.35">
      <c r="A247" s="13" t="s">
        <v>263</v>
      </c>
      <c r="B247" s="8"/>
      <c r="C247" s="9"/>
      <c r="D247" s="10"/>
      <c r="E247" s="21"/>
      <c r="F247" s="22"/>
      <c r="G247" s="6"/>
    </row>
    <row r="248" spans="1:7" x14ac:dyDescent="0.35">
      <c r="A248" s="13" t="s">
        <v>264</v>
      </c>
      <c r="B248" s="8"/>
      <c r="C248" s="9"/>
      <c r="D248" s="10"/>
      <c r="E248" s="21"/>
      <c r="F248" s="22"/>
      <c r="G248" s="6"/>
    </row>
    <row r="249" spans="1:7" x14ac:dyDescent="0.35">
      <c r="A249" s="13" t="s">
        <v>265</v>
      </c>
      <c r="B249" s="8"/>
      <c r="C249" s="9"/>
      <c r="D249" s="10"/>
      <c r="E249" s="21"/>
      <c r="F249" s="22"/>
      <c r="G249" s="6"/>
    </row>
    <row r="250" spans="1:7" x14ac:dyDescent="0.35">
      <c r="A250" s="13" t="s">
        <v>266</v>
      </c>
      <c r="B250" s="8"/>
      <c r="C250" s="9"/>
      <c r="D250" s="10"/>
      <c r="E250" s="21"/>
      <c r="F250" s="22"/>
      <c r="G250" s="6"/>
    </row>
    <row r="251" spans="1:7" x14ac:dyDescent="0.35">
      <c r="A251" s="13" t="s">
        <v>267</v>
      </c>
      <c r="B251" s="8"/>
      <c r="C251" s="9"/>
      <c r="D251" s="10"/>
      <c r="E251" s="21"/>
      <c r="F251" s="22"/>
      <c r="G251" s="6"/>
    </row>
    <row r="252" spans="1:7" x14ac:dyDescent="0.35">
      <c r="A252" s="13" t="s">
        <v>268</v>
      </c>
      <c r="B252" s="8"/>
      <c r="C252" s="9"/>
      <c r="D252" s="10"/>
      <c r="E252" s="21"/>
      <c r="F252" s="22"/>
      <c r="G252" s="6"/>
    </row>
    <row r="253" spans="1:7" x14ac:dyDescent="0.35">
      <c r="A253" s="13" t="s">
        <v>269</v>
      </c>
      <c r="B253" s="8"/>
      <c r="C253" s="9"/>
      <c r="D253" s="10"/>
      <c r="E253" s="21"/>
      <c r="F253" s="22"/>
      <c r="G253" s="6"/>
    </row>
    <row r="254" spans="1:7" x14ac:dyDescent="0.35">
      <c r="A254" s="13" t="s">
        <v>270</v>
      </c>
      <c r="B254" s="8"/>
      <c r="C254" s="9"/>
      <c r="D254" s="10"/>
      <c r="E254" s="21"/>
      <c r="F254" s="22"/>
      <c r="G254" s="6"/>
    </row>
    <row r="255" spans="1:7" x14ac:dyDescent="0.35">
      <c r="A255" s="13" t="s">
        <v>271</v>
      </c>
      <c r="B255" s="8"/>
      <c r="C255" s="9"/>
      <c r="D255" s="10"/>
      <c r="E255" s="21"/>
      <c r="F255" s="22"/>
      <c r="G255" s="6"/>
    </row>
    <row r="256" spans="1:7" x14ac:dyDescent="0.35">
      <c r="A256" s="2"/>
      <c r="B256" s="2"/>
      <c r="C256" s="2"/>
      <c r="D256" s="2"/>
      <c r="E256" s="2"/>
      <c r="F256" s="2"/>
      <c r="G256" s="2"/>
    </row>
    <row r="257" spans="1:7" x14ac:dyDescent="0.35">
      <c r="A257" s="13" t="s">
        <v>14</v>
      </c>
      <c r="B257" s="15" t="s">
        <v>0</v>
      </c>
      <c r="C257" s="16" t="s">
        <v>1</v>
      </c>
      <c r="D257" s="17" t="s">
        <v>2</v>
      </c>
      <c r="E257" s="24" t="s">
        <v>3</v>
      </c>
      <c r="F257" s="23" t="s">
        <v>4</v>
      </c>
      <c r="G257" s="18" t="s">
        <v>5</v>
      </c>
    </row>
    <row r="258" spans="1:7" x14ac:dyDescent="0.35">
      <c r="A258" s="13" t="s">
        <v>242</v>
      </c>
      <c r="B258" s="8"/>
      <c r="C258" s="9"/>
      <c r="D258" s="10"/>
      <c r="E258" s="21"/>
      <c r="F258" s="22"/>
      <c r="G258" s="6"/>
    </row>
    <row r="259" spans="1:7" x14ac:dyDescent="0.35">
      <c r="A259" s="13" t="s">
        <v>243</v>
      </c>
      <c r="B259" s="8"/>
      <c r="C259" s="9"/>
      <c r="D259" s="10"/>
      <c r="E259" s="21"/>
      <c r="F259" s="22"/>
      <c r="G259" s="6"/>
    </row>
    <row r="260" spans="1:7" x14ac:dyDescent="0.35">
      <c r="A260" s="13" t="s">
        <v>244</v>
      </c>
      <c r="B260" s="8"/>
      <c r="C260" s="9"/>
      <c r="D260" s="10"/>
      <c r="E260" s="21"/>
      <c r="F260" s="22"/>
      <c r="G260" s="6"/>
    </row>
    <row r="261" spans="1:7" x14ac:dyDescent="0.35">
      <c r="A261" s="13" t="s">
        <v>245</v>
      </c>
      <c r="B261" s="8"/>
      <c r="C261" s="9"/>
      <c r="D261" s="10"/>
      <c r="E261" s="21"/>
      <c r="F261" s="22"/>
      <c r="G261" s="6"/>
    </row>
    <row r="262" spans="1:7" x14ac:dyDescent="0.35">
      <c r="A262" s="13" t="s">
        <v>246</v>
      </c>
      <c r="B262" s="8"/>
      <c r="C262" s="9"/>
      <c r="D262" s="10"/>
      <c r="E262" s="21"/>
      <c r="F262" s="22"/>
      <c r="G262" s="6"/>
    </row>
    <row r="263" spans="1:7" x14ac:dyDescent="0.35">
      <c r="A263" s="13" t="s">
        <v>247</v>
      </c>
      <c r="B263" s="8"/>
      <c r="C263" s="9"/>
      <c r="D263" s="10"/>
      <c r="E263" s="21"/>
      <c r="F263" s="22"/>
      <c r="G263" s="6"/>
    </row>
    <row r="264" spans="1:7" x14ac:dyDescent="0.35">
      <c r="A264" s="13" t="s">
        <v>248</v>
      </c>
      <c r="B264" s="8"/>
      <c r="C264" s="9"/>
      <c r="D264" s="10"/>
      <c r="E264" s="21"/>
      <c r="F264" s="22"/>
      <c r="G264" s="6"/>
    </row>
    <row r="265" spans="1:7" x14ac:dyDescent="0.35">
      <c r="A265" s="13" t="s">
        <v>249</v>
      </c>
      <c r="B265" s="8"/>
      <c r="C265" s="9"/>
      <c r="D265" s="10"/>
      <c r="E265" s="21"/>
      <c r="F265" s="22"/>
      <c r="G265" s="6"/>
    </row>
    <row r="266" spans="1:7" x14ac:dyDescent="0.35">
      <c r="A266" s="13" t="s">
        <v>250</v>
      </c>
      <c r="B266" s="8"/>
      <c r="C266" s="9"/>
      <c r="D266" s="10"/>
      <c r="E266" s="21"/>
      <c r="F266" s="22"/>
      <c r="G266" s="6"/>
    </row>
    <row r="267" spans="1:7" x14ac:dyDescent="0.35">
      <c r="A267" s="13" t="s">
        <v>251</v>
      </c>
      <c r="B267" s="8"/>
      <c r="C267" s="9"/>
      <c r="D267" s="10"/>
      <c r="E267" s="21"/>
      <c r="F267" s="22"/>
      <c r="G267" s="6"/>
    </row>
    <row r="268" spans="1:7" x14ac:dyDescent="0.35">
      <c r="A268" s="13" t="s">
        <v>252</v>
      </c>
      <c r="B268" s="8"/>
      <c r="C268" s="9"/>
      <c r="D268" s="10"/>
      <c r="E268" s="21"/>
      <c r="F268" s="22"/>
      <c r="G268" s="6"/>
    </row>
    <row r="269" spans="1:7" x14ac:dyDescent="0.35">
      <c r="A269" s="13" t="s">
        <v>253</v>
      </c>
      <c r="B269" s="8"/>
      <c r="C269" s="9"/>
      <c r="D269" s="10"/>
      <c r="E269" s="21"/>
      <c r="F269" s="22"/>
      <c r="G269" s="6"/>
    </row>
    <row r="270" spans="1:7" x14ac:dyDescent="0.35">
      <c r="A270" s="13" t="s">
        <v>254</v>
      </c>
      <c r="B270" s="8"/>
      <c r="C270" s="9"/>
      <c r="D270" s="10"/>
      <c r="E270" s="21"/>
      <c r="F270" s="22"/>
      <c r="G270" s="6"/>
    </row>
    <row r="271" spans="1:7" x14ac:dyDescent="0.35">
      <c r="A271" s="13" t="s">
        <v>255</v>
      </c>
      <c r="B271" s="8"/>
      <c r="C271" s="9"/>
      <c r="D271" s="10"/>
      <c r="E271" s="21"/>
      <c r="F271" s="22"/>
      <c r="G271" s="6"/>
    </row>
    <row r="272" spans="1:7" x14ac:dyDescent="0.35">
      <c r="A272" s="13" t="s">
        <v>256</v>
      </c>
      <c r="B272" s="8"/>
      <c r="C272" s="9"/>
      <c r="D272" s="10"/>
      <c r="E272" s="21"/>
      <c r="F272" s="22"/>
      <c r="G272" s="6"/>
    </row>
    <row r="273" spans="1:7" x14ac:dyDescent="0.35">
      <c r="A273" s="13" t="s">
        <v>257</v>
      </c>
      <c r="B273" s="8"/>
      <c r="C273" s="9"/>
      <c r="D273" s="10"/>
      <c r="E273" s="21"/>
      <c r="F273" s="22"/>
      <c r="G273" s="6"/>
    </row>
    <row r="274" spans="1:7" x14ac:dyDescent="0.35">
      <c r="A274" s="13" t="s">
        <v>258</v>
      </c>
      <c r="B274" s="8"/>
      <c r="C274" s="9"/>
      <c r="D274" s="10"/>
      <c r="E274" s="21"/>
      <c r="F274" s="22"/>
      <c r="G274" s="6"/>
    </row>
    <row r="275" spans="1:7" x14ac:dyDescent="0.35">
      <c r="A275" s="13" t="s">
        <v>259</v>
      </c>
      <c r="B275" s="8"/>
      <c r="C275" s="9"/>
      <c r="D275" s="10"/>
      <c r="E275" s="21"/>
      <c r="F275" s="22"/>
      <c r="G275" s="6"/>
    </row>
    <row r="276" spans="1:7" x14ac:dyDescent="0.35">
      <c r="A276" s="13" t="s">
        <v>260</v>
      </c>
      <c r="B276" s="8"/>
      <c r="C276" s="9"/>
      <c r="D276" s="10"/>
      <c r="E276" s="21"/>
      <c r="F276" s="22"/>
      <c r="G276" s="6"/>
    </row>
    <row r="277" spans="1:7" x14ac:dyDescent="0.35">
      <c r="A277" s="13" t="s">
        <v>261</v>
      </c>
      <c r="B277" s="8"/>
      <c r="C277" s="9"/>
      <c r="D277" s="10"/>
      <c r="E277" s="21"/>
      <c r="F277" s="22"/>
      <c r="G277" s="6"/>
    </row>
    <row r="278" spans="1:7" x14ac:dyDescent="0.35">
      <c r="A278" s="13" t="s">
        <v>262</v>
      </c>
      <c r="B278" s="8"/>
      <c r="C278" s="9"/>
      <c r="D278" s="10"/>
      <c r="E278" s="21"/>
      <c r="F278" s="22"/>
      <c r="G278" s="6"/>
    </row>
    <row r="279" spans="1:7" x14ac:dyDescent="0.35">
      <c r="A279" s="13" t="s">
        <v>263</v>
      </c>
      <c r="B279" s="8"/>
      <c r="C279" s="9"/>
      <c r="D279" s="10"/>
      <c r="E279" s="21"/>
      <c r="F279" s="22"/>
      <c r="G279" s="6"/>
    </row>
    <row r="280" spans="1:7" x14ac:dyDescent="0.35">
      <c r="A280" s="13" t="s">
        <v>264</v>
      </c>
      <c r="B280" s="8"/>
      <c r="C280" s="9"/>
      <c r="D280" s="10"/>
      <c r="E280" s="21"/>
      <c r="F280" s="22"/>
      <c r="G280" s="6"/>
    </row>
    <row r="281" spans="1:7" x14ac:dyDescent="0.35">
      <c r="A281" s="13" t="s">
        <v>265</v>
      </c>
      <c r="B281" s="8"/>
      <c r="C281" s="9"/>
      <c r="D281" s="10"/>
      <c r="E281" s="21"/>
      <c r="F281" s="22"/>
      <c r="G281" s="6"/>
    </row>
    <row r="282" spans="1:7" x14ac:dyDescent="0.35">
      <c r="A282" s="13" t="s">
        <v>266</v>
      </c>
      <c r="B282" s="8"/>
      <c r="C282" s="9"/>
      <c r="D282" s="10"/>
      <c r="E282" s="21"/>
      <c r="F282" s="22"/>
      <c r="G282" s="6"/>
    </row>
    <row r="283" spans="1:7" x14ac:dyDescent="0.35">
      <c r="A283" s="13" t="s">
        <v>267</v>
      </c>
      <c r="B283" s="8"/>
      <c r="C283" s="9"/>
      <c r="D283" s="10"/>
      <c r="E283" s="21"/>
      <c r="F283" s="22"/>
      <c r="G283" s="6"/>
    </row>
    <row r="284" spans="1:7" x14ac:dyDescent="0.35">
      <c r="A284" s="13" t="s">
        <v>268</v>
      </c>
      <c r="B284" s="8"/>
      <c r="C284" s="9"/>
      <c r="D284" s="10"/>
      <c r="E284" s="21"/>
      <c r="F284" s="22"/>
      <c r="G284" s="6"/>
    </row>
    <row r="285" spans="1:7" x14ac:dyDescent="0.35">
      <c r="A285" s="13" t="s">
        <v>269</v>
      </c>
      <c r="B285" s="8"/>
      <c r="C285" s="9"/>
      <c r="D285" s="10"/>
      <c r="E285" s="21"/>
      <c r="F285" s="22"/>
      <c r="G285" s="6"/>
    </row>
    <row r="286" spans="1:7" x14ac:dyDescent="0.35">
      <c r="A286" s="13" t="s">
        <v>270</v>
      </c>
      <c r="B286" s="8"/>
      <c r="C286" s="9"/>
      <c r="D286" s="10"/>
      <c r="E286" s="21"/>
      <c r="F286" s="22"/>
      <c r="G286" s="6"/>
    </row>
    <row r="287" spans="1:7" x14ac:dyDescent="0.35">
      <c r="A287" s="13" t="s">
        <v>271</v>
      </c>
      <c r="B287" s="8"/>
      <c r="C287" s="9"/>
      <c r="D287" s="10"/>
      <c r="E287" s="21"/>
      <c r="F287" s="22"/>
      <c r="G287" s="6"/>
    </row>
    <row r="288" spans="1:7" x14ac:dyDescent="0.35">
      <c r="A288" s="2"/>
      <c r="B288" s="2"/>
      <c r="C288" s="2"/>
      <c r="D288" s="2"/>
      <c r="E288" s="2"/>
      <c r="F288" s="2"/>
      <c r="G288" s="2"/>
    </row>
    <row r="289" spans="1:7" x14ac:dyDescent="0.35">
      <c r="A289" s="13" t="s">
        <v>15</v>
      </c>
      <c r="B289" s="15" t="s">
        <v>0</v>
      </c>
      <c r="C289" s="16" t="s">
        <v>1</v>
      </c>
      <c r="D289" s="17" t="s">
        <v>2</v>
      </c>
      <c r="E289" s="24" t="s">
        <v>3</v>
      </c>
      <c r="F289" s="23" t="s">
        <v>4</v>
      </c>
      <c r="G289" s="18" t="s">
        <v>5</v>
      </c>
    </row>
    <row r="290" spans="1:7" x14ac:dyDescent="0.35">
      <c r="A290" s="13" t="s">
        <v>242</v>
      </c>
      <c r="B290" s="8"/>
      <c r="C290" s="9"/>
      <c r="D290" s="10"/>
      <c r="E290" s="21"/>
      <c r="F290" s="22"/>
      <c r="G290" s="6"/>
    </row>
    <row r="291" spans="1:7" x14ac:dyDescent="0.35">
      <c r="A291" s="13" t="s">
        <v>243</v>
      </c>
      <c r="B291" s="8"/>
      <c r="C291" s="9"/>
      <c r="D291" s="10"/>
      <c r="E291" s="21"/>
      <c r="F291" s="22"/>
      <c r="G291" s="6"/>
    </row>
    <row r="292" spans="1:7" x14ac:dyDescent="0.35">
      <c r="A292" s="13" t="s">
        <v>244</v>
      </c>
      <c r="B292" s="8"/>
      <c r="C292" s="9"/>
      <c r="D292" s="10"/>
      <c r="E292" s="21"/>
      <c r="F292" s="22"/>
      <c r="G292" s="6"/>
    </row>
    <row r="293" spans="1:7" x14ac:dyDescent="0.35">
      <c r="A293" s="13" t="s">
        <v>245</v>
      </c>
      <c r="B293" s="8"/>
      <c r="C293" s="9"/>
      <c r="D293" s="10"/>
      <c r="E293" s="21"/>
      <c r="F293" s="22"/>
      <c r="G293" s="6"/>
    </row>
    <row r="294" spans="1:7" x14ac:dyDescent="0.35">
      <c r="A294" s="13" t="s">
        <v>246</v>
      </c>
      <c r="B294" s="8"/>
      <c r="C294" s="9"/>
      <c r="D294" s="10"/>
      <c r="E294" s="21"/>
      <c r="F294" s="22"/>
      <c r="G294" s="6"/>
    </row>
    <row r="295" spans="1:7" x14ac:dyDescent="0.35">
      <c r="A295" s="13" t="s">
        <v>247</v>
      </c>
      <c r="B295" s="8"/>
      <c r="C295" s="9"/>
      <c r="D295" s="10"/>
      <c r="E295" s="21"/>
      <c r="F295" s="22"/>
      <c r="G295" s="6"/>
    </row>
    <row r="296" spans="1:7" x14ac:dyDescent="0.35">
      <c r="A296" s="13" t="s">
        <v>248</v>
      </c>
      <c r="B296" s="8"/>
      <c r="C296" s="9"/>
      <c r="D296" s="10"/>
      <c r="E296" s="21"/>
      <c r="F296" s="22"/>
      <c r="G296" s="6"/>
    </row>
    <row r="297" spans="1:7" x14ac:dyDescent="0.35">
      <c r="A297" s="13" t="s">
        <v>249</v>
      </c>
      <c r="B297" s="8"/>
      <c r="C297" s="9"/>
      <c r="D297" s="10"/>
      <c r="E297" s="21"/>
      <c r="F297" s="22"/>
      <c r="G297" s="6"/>
    </row>
    <row r="298" spans="1:7" x14ac:dyDescent="0.35">
      <c r="A298" s="13" t="s">
        <v>250</v>
      </c>
      <c r="B298" s="8"/>
      <c r="C298" s="9"/>
      <c r="D298" s="10"/>
      <c r="E298" s="21"/>
      <c r="F298" s="22"/>
      <c r="G298" s="6"/>
    </row>
    <row r="299" spans="1:7" x14ac:dyDescent="0.35">
      <c r="A299" s="13" t="s">
        <v>251</v>
      </c>
      <c r="B299" s="8"/>
      <c r="C299" s="9"/>
      <c r="D299" s="10"/>
      <c r="E299" s="21"/>
      <c r="F299" s="22"/>
      <c r="G299" s="6"/>
    </row>
    <row r="300" spans="1:7" x14ac:dyDescent="0.35">
      <c r="A300" s="13" t="s">
        <v>252</v>
      </c>
      <c r="B300" s="8"/>
      <c r="C300" s="9"/>
      <c r="D300" s="10"/>
      <c r="E300" s="21"/>
      <c r="F300" s="22"/>
      <c r="G300" s="6"/>
    </row>
    <row r="301" spans="1:7" x14ac:dyDescent="0.35">
      <c r="A301" s="13" t="s">
        <v>253</v>
      </c>
      <c r="B301" s="8"/>
      <c r="C301" s="9"/>
      <c r="D301" s="10"/>
      <c r="E301" s="21"/>
      <c r="F301" s="22"/>
      <c r="G301" s="6"/>
    </row>
    <row r="302" spans="1:7" x14ac:dyDescent="0.35">
      <c r="A302" s="13" t="s">
        <v>254</v>
      </c>
      <c r="B302" s="8"/>
      <c r="C302" s="9"/>
      <c r="D302" s="10"/>
      <c r="E302" s="21"/>
      <c r="F302" s="22"/>
      <c r="G302" s="6"/>
    </row>
    <row r="303" spans="1:7" x14ac:dyDescent="0.35">
      <c r="A303" s="13" t="s">
        <v>255</v>
      </c>
      <c r="B303" s="8"/>
      <c r="C303" s="9"/>
      <c r="D303" s="10"/>
      <c r="E303" s="21"/>
      <c r="F303" s="22"/>
      <c r="G303" s="6"/>
    </row>
    <row r="304" spans="1:7" x14ac:dyDescent="0.35">
      <c r="A304" s="13" t="s">
        <v>256</v>
      </c>
      <c r="B304" s="8"/>
      <c r="C304" s="9"/>
      <c r="D304" s="10"/>
      <c r="E304" s="21"/>
      <c r="F304" s="22"/>
      <c r="G304" s="6"/>
    </row>
    <row r="305" spans="1:7" x14ac:dyDescent="0.35">
      <c r="A305" s="13" t="s">
        <v>257</v>
      </c>
      <c r="B305" s="8"/>
      <c r="C305" s="9"/>
      <c r="D305" s="10"/>
      <c r="E305" s="21"/>
      <c r="F305" s="22"/>
      <c r="G305" s="6"/>
    </row>
    <row r="306" spans="1:7" x14ac:dyDescent="0.35">
      <c r="A306" s="13" t="s">
        <v>258</v>
      </c>
      <c r="B306" s="8"/>
      <c r="C306" s="9"/>
      <c r="D306" s="10"/>
      <c r="E306" s="21"/>
      <c r="F306" s="22"/>
      <c r="G306" s="6"/>
    </row>
    <row r="307" spans="1:7" x14ac:dyDescent="0.35">
      <c r="A307" s="13" t="s">
        <v>259</v>
      </c>
      <c r="B307" s="8"/>
      <c r="C307" s="9"/>
      <c r="D307" s="10"/>
      <c r="E307" s="21"/>
      <c r="F307" s="22"/>
      <c r="G307" s="6"/>
    </row>
    <row r="308" spans="1:7" x14ac:dyDescent="0.35">
      <c r="A308" s="13" t="s">
        <v>260</v>
      </c>
      <c r="B308" s="8"/>
      <c r="C308" s="9"/>
      <c r="D308" s="10"/>
      <c r="E308" s="21"/>
      <c r="F308" s="22"/>
      <c r="G308" s="6"/>
    </row>
    <row r="309" spans="1:7" x14ac:dyDescent="0.35">
      <c r="A309" s="13" t="s">
        <v>261</v>
      </c>
      <c r="B309" s="8"/>
      <c r="C309" s="9"/>
      <c r="D309" s="10"/>
      <c r="E309" s="21"/>
      <c r="F309" s="22"/>
      <c r="G309" s="6"/>
    </row>
    <row r="310" spans="1:7" x14ac:dyDescent="0.35">
      <c r="A310" s="13" t="s">
        <v>262</v>
      </c>
      <c r="B310" s="8"/>
      <c r="C310" s="9"/>
      <c r="D310" s="10"/>
      <c r="E310" s="21"/>
      <c r="F310" s="22"/>
      <c r="G310" s="6"/>
    </row>
    <row r="311" spans="1:7" x14ac:dyDescent="0.35">
      <c r="A311" s="13" t="s">
        <v>263</v>
      </c>
      <c r="B311" s="8"/>
      <c r="C311" s="9"/>
      <c r="D311" s="10"/>
      <c r="E311" s="21"/>
      <c r="F311" s="22"/>
      <c r="G311" s="6"/>
    </row>
    <row r="312" spans="1:7" x14ac:dyDescent="0.35">
      <c r="A312" s="13" t="s">
        <v>264</v>
      </c>
      <c r="B312" s="8"/>
      <c r="C312" s="9"/>
      <c r="D312" s="10"/>
      <c r="E312" s="21"/>
      <c r="F312" s="22"/>
      <c r="G312" s="6"/>
    </row>
    <row r="313" spans="1:7" x14ac:dyDescent="0.35">
      <c r="A313" s="13" t="s">
        <v>265</v>
      </c>
      <c r="B313" s="8"/>
      <c r="C313" s="9"/>
      <c r="D313" s="10"/>
      <c r="E313" s="21"/>
      <c r="F313" s="22"/>
      <c r="G313" s="6"/>
    </row>
    <row r="314" spans="1:7" x14ac:dyDescent="0.35">
      <c r="A314" s="13" t="s">
        <v>266</v>
      </c>
      <c r="B314" s="8"/>
      <c r="C314" s="9"/>
      <c r="D314" s="10"/>
      <c r="E314" s="21"/>
      <c r="F314" s="22"/>
      <c r="G314" s="6"/>
    </row>
    <row r="315" spans="1:7" x14ac:dyDescent="0.35">
      <c r="A315" s="13" t="s">
        <v>267</v>
      </c>
      <c r="B315" s="8"/>
      <c r="C315" s="9"/>
      <c r="D315" s="10"/>
      <c r="E315" s="21"/>
      <c r="F315" s="22"/>
      <c r="G315" s="6"/>
    </row>
    <row r="316" spans="1:7" x14ac:dyDescent="0.35">
      <c r="A316" s="13" t="s">
        <v>268</v>
      </c>
      <c r="B316" s="8"/>
      <c r="C316" s="9"/>
      <c r="D316" s="10"/>
      <c r="E316" s="21"/>
      <c r="F316" s="22"/>
      <c r="G316" s="6"/>
    </row>
    <row r="317" spans="1:7" x14ac:dyDescent="0.35">
      <c r="A317" s="13" t="s">
        <v>269</v>
      </c>
      <c r="B317" s="8"/>
      <c r="C317" s="9"/>
      <c r="D317" s="10"/>
      <c r="E317" s="21"/>
      <c r="F317" s="22"/>
      <c r="G317" s="6"/>
    </row>
    <row r="318" spans="1:7" x14ac:dyDescent="0.35">
      <c r="A318" s="13" t="s">
        <v>270</v>
      </c>
      <c r="B318" s="8"/>
      <c r="C318" s="9"/>
      <c r="D318" s="10"/>
      <c r="E318" s="21"/>
      <c r="F318" s="22"/>
      <c r="G318" s="6"/>
    </row>
    <row r="319" spans="1:7" x14ac:dyDescent="0.35">
      <c r="A319" s="13" t="s">
        <v>271</v>
      </c>
      <c r="B319" s="8"/>
      <c r="C319" s="9"/>
      <c r="D319" s="10"/>
      <c r="E319" s="21"/>
      <c r="F319" s="22"/>
      <c r="G319" s="6"/>
    </row>
    <row r="320" spans="1:7" x14ac:dyDescent="0.35">
      <c r="A320" s="2"/>
      <c r="B320" s="2"/>
      <c r="C320" s="2"/>
      <c r="D320" s="2"/>
      <c r="E320" s="2"/>
      <c r="F320" s="2"/>
      <c r="G320" s="2"/>
    </row>
    <row r="321" spans="1:7" x14ac:dyDescent="0.35">
      <c r="A321" s="13" t="s">
        <v>16</v>
      </c>
      <c r="B321" s="15" t="s">
        <v>0</v>
      </c>
      <c r="C321" s="16" t="s">
        <v>1</v>
      </c>
      <c r="D321" s="17" t="s">
        <v>2</v>
      </c>
      <c r="E321" s="24" t="s">
        <v>3</v>
      </c>
      <c r="F321" s="23" t="s">
        <v>4</v>
      </c>
      <c r="G321" s="18" t="s">
        <v>5</v>
      </c>
    </row>
    <row r="322" spans="1:7" x14ac:dyDescent="0.35">
      <c r="A322" s="13" t="s">
        <v>242</v>
      </c>
      <c r="B322" s="8"/>
      <c r="C322" s="9"/>
      <c r="D322" s="10"/>
      <c r="E322" s="21"/>
      <c r="F322" s="22"/>
      <c r="G322" s="6"/>
    </row>
    <row r="323" spans="1:7" x14ac:dyDescent="0.35">
      <c r="A323" s="13" t="s">
        <v>243</v>
      </c>
      <c r="B323" s="8"/>
      <c r="C323" s="9"/>
      <c r="D323" s="10"/>
      <c r="E323" s="21"/>
      <c r="F323" s="22"/>
      <c r="G323" s="6"/>
    </row>
    <row r="324" spans="1:7" x14ac:dyDescent="0.35">
      <c r="A324" s="13" t="s">
        <v>244</v>
      </c>
      <c r="B324" s="8"/>
      <c r="C324" s="9"/>
      <c r="D324" s="10"/>
      <c r="E324" s="21"/>
      <c r="F324" s="22"/>
      <c r="G324" s="6"/>
    </row>
    <row r="325" spans="1:7" x14ac:dyDescent="0.35">
      <c r="A325" s="13" t="s">
        <v>245</v>
      </c>
      <c r="B325" s="8"/>
      <c r="C325" s="9"/>
      <c r="D325" s="10"/>
      <c r="E325" s="21"/>
      <c r="F325" s="22"/>
      <c r="G325" s="6"/>
    </row>
    <row r="326" spans="1:7" x14ac:dyDescent="0.35">
      <c r="A326" s="13" t="s">
        <v>246</v>
      </c>
      <c r="B326" s="8"/>
      <c r="C326" s="9"/>
      <c r="D326" s="10"/>
      <c r="E326" s="21"/>
      <c r="F326" s="22"/>
      <c r="G326" s="6"/>
    </row>
    <row r="327" spans="1:7" x14ac:dyDescent="0.35">
      <c r="A327" s="13" t="s">
        <v>247</v>
      </c>
      <c r="B327" s="8"/>
      <c r="C327" s="9"/>
      <c r="D327" s="10"/>
      <c r="E327" s="21"/>
      <c r="F327" s="22"/>
      <c r="G327" s="6"/>
    </row>
    <row r="328" spans="1:7" x14ac:dyDescent="0.35">
      <c r="A328" s="13" t="s">
        <v>248</v>
      </c>
      <c r="B328" s="8"/>
      <c r="C328" s="9"/>
      <c r="D328" s="10"/>
      <c r="E328" s="21"/>
      <c r="F328" s="22"/>
      <c r="G328" s="6"/>
    </row>
    <row r="329" spans="1:7" x14ac:dyDescent="0.35">
      <c r="A329" s="13" t="s">
        <v>249</v>
      </c>
      <c r="B329" s="8"/>
      <c r="C329" s="9"/>
      <c r="D329" s="10"/>
      <c r="E329" s="21"/>
      <c r="F329" s="22"/>
      <c r="G329" s="6"/>
    </row>
    <row r="330" spans="1:7" x14ac:dyDescent="0.35">
      <c r="A330" s="13" t="s">
        <v>250</v>
      </c>
      <c r="B330" s="8"/>
      <c r="C330" s="9"/>
      <c r="D330" s="10"/>
      <c r="E330" s="21"/>
      <c r="F330" s="22"/>
      <c r="G330" s="6"/>
    </row>
    <row r="331" spans="1:7" x14ac:dyDescent="0.35">
      <c r="A331" s="13" t="s">
        <v>251</v>
      </c>
      <c r="B331" s="8"/>
      <c r="C331" s="9"/>
      <c r="D331" s="10"/>
      <c r="E331" s="21"/>
      <c r="F331" s="22"/>
      <c r="G331" s="6"/>
    </row>
    <row r="332" spans="1:7" x14ac:dyDescent="0.35">
      <c r="A332" s="13" t="s">
        <v>252</v>
      </c>
      <c r="B332" s="8"/>
      <c r="C332" s="9"/>
      <c r="D332" s="10"/>
      <c r="E332" s="21"/>
      <c r="F332" s="22"/>
      <c r="G332" s="6"/>
    </row>
    <row r="333" spans="1:7" x14ac:dyDescent="0.35">
      <c r="A333" s="13" t="s">
        <v>253</v>
      </c>
      <c r="B333" s="8"/>
      <c r="C333" s="9"/>
      <c r="D333" s="10"/>
      <c r="E333" s="21"/>
      <c r="F333" s="22"/>
      <c r="G333" s="6"/>
    </row>
    <row r="334" spans="1:7" x14ac:dyDescent="0.35">
      <c r="A334" s="13" t="s">
        <v>254</v>
      </c>
      <c r="B334" s="8"/>
      <c r="C334" s="9"/>
      <c r="D334" s="10"/>
      <c r="E334" s="21"/>
      <c r="F334" s="22"/>
      <c r="G334" s="6"/>
    </row>
    <row r="335" spans="1:7" x14ac:dyDescent="0.35">
      <c r="A335" s="13" t="s">
        <v>255</v>
      </c>
      <c r="B335" s="8"/>
      <c r="C335" s="9"/>
      <c r="D335" s="10"/>
      <c r="E335" s="21"/>
      <c r="F335" s="22"/>
      <c r="G335" s="6"/>
    </row>
    <row r="336" spans="1:7" x14ac:dyDescent="0.35">
      <c r="A336" s="13" t="s">
        <v>256</v>
      </c>
      <c r="B336" s="8"/>
      <c r="C336" s="9"/>
      <c r="D336" s="10"/>
      <c r="E336" s="21"/>
      <c r="F336" s="22"/>
      <c r="G336" s="6"/>
    </row>
    <row r="337" spans="1:7" x14ac:dyDescent="0.35">
      <c r="A337" s="13" t="s">
        <v>257</v>
      </c>
      <c r="B337" s="8"/>
      <c r="C337" s="9"/>
      <c r="D337" s="10"/>
      <c r="E337" s="21"/>
      <c r="F337" s="22"/>
      <c r="G337" s="6"/>
    </row>
    <row r="338" spans="1:7" x14ac:dyDescent="0.35">
      <c r="A338" s="13" t="s">
        <v>258</v>
      </c>
      <c r="B338" s="8"/>
      <c r="C338" s="9"/>
      <c r="D338" s="10"/>
      <c r="E338" s="21"/>
      <c r="F338" s="22"/>
      <c r="G338" s="6"/>
    </row>
    <row r="339" spans="1:7" x14ac:dyDescent="0.35">
      <c r="A339" s="13" t="s">
        <v>259</v>
      </c>
      <c r="B339" s="8"/>
      <c r="C339" s="9"/>
      <c r="D339" s="10"/>
      <c r="E339" s="21"/>
      <c r="F339" s="22"/>
      <c r="G339" s="6"/>
    </row>
    <row r="340" spans="1:7" x14ac:dyDescent="0.35">
      <c r="A340" s="13" t="s">
        <v>260</v>
      </c>
      <c r="B340" s="8"/>
      <c r="C340" s="9"/>
      <c r="D340" s="10"/>
      <c r="E340" s="21"/>
      <c r="F340" s="22"/>
      <c r="G340" s="6"/>
    </row>
    <row r="341" spans="1:7" x14ac:dyDescent="0.35">
      <c r="A341" s="13" t="s">
        <v>261</v>
      </c>
      <c r="B341" s="8"/>
      <c r="C341" s="9"/>
      <c r="D341" s="10"/>
      <c r="E341" s="21"/>
      <c r="F341" s="22"/>
      <c r="G341" s="6"/>
    </row>
    <row r="342" spans="1:7" x14ac:dyDescent="0.35">
      <c r="A342" s="13" t="s">
        <v>262</v>
      </c>
      <c r="B342" s="8"/>
      <c r="C342" s="9"/>
      <c r="D342" s="10"/>
      <c r="E342" s="21"/>
      <c r="F342" s="22"/>
      <c r="G342" s="6"/>
    </row>
    <row r="343" spans="1:7" x14ac:dyDescent="0.35">
      <c r="A343" s="13" t="s">
        <v>263</v>
      </c>
      <c r="B343" s="8"/>
      <c r="C343" s="9"/>
      <c r="D343" s="10"/>
      <c r="E343" s="21"/>
      <c r="F343" s="22"/>
      <c r="G343" s="6"/>
    </row>
    <row r="344" spans="1:7" x14ac:dyDescent="0.35">
      <c r="A344" s="13" t="s">
        <v>264</v>
      </c>
      <c r="B344" s="8"/>
      <c r="C344" s="9"/>
      <c r="D344" s="10"/>
      <c r="E344" s="21"/>
      <c r="F344" s="22"/>
      <c r="G344" s="6"/>
    </row>
    <row r="345" spans="1:7" x14ac:dyDescent="0.35">
      <c r="A345" s="13" t="s">
        <v>265</v>
      </c>
      <c r="B345" s="8"/>
      <c r="C345" s="9"/>
      <c r="D345" s="10"/>
      <c r="E345" s="21"/>
      <c r="F345" s="22"/>
      <c r="G345" s="6"/>
    </row>
    <row r="346" spans="1:7" x14ac:dyDescent="0.35">
      <c r="A346" s="13" t="s">
        <v>266</v>
      </c>
      <c r="B346" s="8"/>
      <c r="C346" s="9"/>
      <c r="D346" s="10"/>
      <c r="E346" s="21"/>
      <c r="F346" s="22"/>
      <c r="G346" s="6"/>
    </row>
    <row r="347" spans="1:7" x14ac:dyDescent="0.35">
      <c r="A347" s="13" t="s">
        <v>267</v>
      </c>
      <c r="B347" s="8"/>
      <c r="C347" s="9"/>
      <c r="D347" s="10"/>
      <c r="E347" s="21"/>
      <c r="F347" s="22"/>
      <c r="G347" s="6"/>
    </row>
    <row r="348" spans="1:7" x14ac:dyDescent="0.35">
      <c r="A348" s="13" t="s">
        <v>268</v>
      </c>
      <c r="B348" s="8"/>
      <c r="C348" s="9"/>
      <c r="D348" s="10"/>
      <c r="E348" s="21"/>
      <c r="F348" s="22"/>
      <c r="G348" s="6"/>
    </row>
    <row r="349" spans="1:7" x14ac:dyDescent="0.35">
      <c r="A349" s="13" t="s">
        <v>269</v>
      </c>
      <c r="B349" s="8"/>
      <c r="C349" s="9"/>
      <c r="D349" s="10"/>
      <c r="E349" s="21"/>
      <c r="F349" s="22"/>
      <c r="G349" s="6"/>
    </row>
    <row r="350" spans="1:7" x14ac:dyDescent="0.35">
      <c r="A350" s="13" t="s">
        <v>270</v>
      </c>
      <c r="B350" s="8"/>
      <c r="C350" s="9"/>
      <c r="D350" s="10"/>
      <c r="E350" s="21"/>
      <c r="F350" s="22"/>
      <c r="G350" s="6"/>
    </row>
    <row r="351" spans="1:7" x14ac:dyDescent="0.35">
      <c r="A351" s="13" t="s">
        <v>271</v>
      </c>
      <c r="B351" s="8"/>
      <c r="C351" s="9"/>
      <c r="D351" s="10"/>
      <c r="E351" s="21"/>
      <c r="F351" s="22"/>
      <c r="G351" s="6"/>
    </row>
    <row r="352" spans="1:7" x14ac:dyDescent="0.35">
      <c r="A352" s="2"/>
      <c r="B352" s="2"/>
      <c r="C352" s="2"/>
      <c r="D352" s="2"/>
      <c r="E352" s="2"/>
      <c r="F352" s="2"/>
      <c r="G352" s="2"/>
    </row>
    <row r="353" spans="1:7" x14ac:dyDescent="0.35">
      <c r="A353" s="13" t="s">
        <v>17</v>
      </c>
      <c r="B353" s="15" t="s">
        <v>0</v>
      </c>
      <c r="C353" s="16" t="s">
        <v>1</v>
      </c>
      <c r="D353" s="17" t="s">
        <v>2</v>
      </c>
      <c r="E353" s="24" t="s">
        <v>3</v>
      </c>
      <c r="F353" s="23" t="s">
        <v>4</v>
      </c>
      <c r="G353" s="18" t="s">
        <v>5</v>
      </c>
    </row>
    <row r="354" spans="1:7" x14ac:dyDescent="0.35">
      <c r="A354" s="13" t="s">
        <v>242</v>
      </c>
      <c r="B354" s="8"/>
      <c r="C354" s="9"/>
      <c r="D354" s="10"/>
      <c r="E354" s="21"/>
      <c r="F354" s="22"/>
      <c r="G354" s="6"/>
    </row>
    <row r="355" spans="1:7" x14ac:dyDescent="0.35">
      <c r="A355" s="13" t="s">
        <v>243</v>
      </c>
      <c r="B355" s="8"/>
      <c r="C355" s="9"/>
      <c r="D355" s="10"/>
      <c r="E355" s="21"/>
      <c r="F355" s="22"/>
      <c r="G355" s="6"/>
    </row>
    <row r="356" spans="1:7" x14ac:dyDescent="0.35">
      <c r="A356" s="13" t="s">
        <v>244</v>
      </c>
      <c r="B356" s="8"/>
      <c r="C356" s="9"/>
      <c r="D356" s="10"/>
      <c r="E356" s="21"/>
      <c r="F356" s="22"/>
      <c r="G356" s="6"/>
    </row>
    <row r="357" spans="1:7" x14ac:dyDescent="0.35">
      <c r="A357" s="13" t="s">
        <v>245</v>
      </c>
      <c r="B357" s="8"/>
      <c r="C357" s="9"/>
      <c r="D357" s="10"/>
      <c r="E357" s="21"/>
      <c r="F357" s="22"/>
      <c r="G357" s="6"/>
    </row>
    <row r="358" spans="1:7" x14ac:dyDescent="0.35">
      <c r="A358" s="13" t="s">
        <v>246</v>
      </c>
      <c r="B358" s="8"/>
      <c r="C358" s="9"/>
      <c r="D358" s="10"/>
      <c r="E358" s="21"/>
      <c r="F358" s="22"/>
      <c r="G358" s="6"/>
    </row>
    <row r="359" spans="1:7" x14ac:dyDescent="0.35">
      <c r="A359" s="13" t="s">
        <v>247</v>
      </c>
      <c r="B359" s="8"/>
      <c r="C359" s="9"/>
      <c r="D359" s="10"/>
      <c r="E359" s="21"/>
      <c r="F359" s="22"/>
      <c r="G359" s="6"/>
    </row>
    <row r="360" spans="1:7" x14ac:dyDescent="0.35">
      <c r="A360" s="13" t="s">
        <v>248</v>
      </c>
      <c r="B360" s="8"/>
      <c r="C360" s="9"/>
      <c r="D360" s="10"/>
      <c r="E360" s="21"/>
      <c r="F360" s="22"/>
      <c r="G360" s="6"/>
    </row>
    <row r="361" spans="1:7" x14ac:dyDescent="0.35">
      <c r="A361" s="13" t="s">
        <v>249</v>
      </c>
      <c r="B361" s="8"/>
      <c r="C361" s="9"/>
      <c r="D361" s="10"/>
      <c r="E361" s="21"/>
      <c r="F361" s="22"/>
      <c r="G361" s="6"/>
    </row>
    <row r="362" spans="1:7" x14ac:dyDescent="0.35">
      <c r="A362" s="13" t="s">
        <v>250</v>
      </c>
      <c r="B362" s="8"/>
      <c r="C362" s="9"/>
      <c r="D362" s="10"/>
      <c r="E362" s="21"/>
      <c r="F362" s="22"/>
      <c r="G362" s="6"/>
    </row>
    <row r="363" spans="1:7" x14ac:dyDescent="0.35">
      <c r="A363" s="13" t="s">
        <v>251</v>
      </c>
      <c r="B363" s="8"/>
      <c r="C363" s="9"/>
      <c r="D363" s="10"/>
      <c r="E363" s="21"/>
      <c r="F363" s="22"/>
      <c r="G363" s="6"/>
    </row>
    <row r="364" spans="1:7" x14ac:dyDescent="0.35">
      <c r="A364" s="13" t="s">
        <v>252</v>
      </c>
      <c r="B364" s="8"/>
      <c r="C364" s="9"/>
      <c r="D364" s="10"/>
      <c r="E364" s="21"/>
      <c r="F364" s="22"/>
      <c r="G364" s="6"/>
    </row>
    <row r="365" spans="1:7" x14ac:dyDescent="0.35">
      <c r="A365" s="13" t="s">
        <v>253</v>
      </c>
      <c r="B365" s="8"/>
      <c r="C365" s="9"/>
      <c r="D365" s="10"/>
      <c r="E365" s="21"/>
      <c r="F365" s="22"/>
      <c r="G365" s="6"/>
    </row>
    <row r="366" spans="1:7" x14ac:dyDescent="0.35">
      <c r="A366" s="13" t="s">
        <v>254</v>
      </c>
      <c r="B366" s="8"/>
      <c r="C366" s="9"/>
      <c r="D366" s="10"/>
      <c r="E366" s="21"/>
      <c r="F366" s="22"/>
      <c r="G366" s="6"/>
    </row>
    <row r="367" spans="1:7" x14ac:dyDescent="0.35">
      <c r="A367" s="13" t="s">
        <v>255</v>
      </c>
      <c r="B367" s="8"/>
      <c r="C367" s="9"/>
      <c r="D367" s="10"/>
      <c r="E367" s="21"/>
      <c r="F367" s="22"/>
      <c r="G367" s="6"/>
    </row>
    <row r="368" spans="1:7" x14ac:dyDescent="0.35">
      <c r="A368" s="13" t="s">
        <v>256</v>
      </c>
      <c r="B368" s="8"/>
      <c r="C368" s="9"/>
      <c r="D368" s="10"/>
      <c r="E368" s="21"/>
      <c r="F368" s="22"/>
      <c r="G368" s="6"/>
    </row>
    <row r="369" spans="1:7" x14ac:dyDescent="0.35">
      <c r="A369" s="13" t="s">
        <v>257</v>
      </c>
      <c r="B369" s="8"/>
      <c r="C369" s="9"/>
      <c r="D369" s="10"/>
      <c r="E369" s="21"/>
      <c r="F369" s="22"/>
      <c r="G369" s="6"/>
    </row>
    <row r="370" spans="1:7" x14ac:dyDescent="0.35">
      <c r="A370" s="13" t="s">
        <v>258</v>
      </c>
      <c r="B370" s="8"/>
      <c r="C370" s="9"/>
      <c r="D370" s="10"/>
      <c r="E370" s="21"/>
      <c r="F370" s="22"/>
      <c r="G370" s="6"/>
    </row>
    <row r="371" spans="1:7" x14ac:dyDescent="0.35">
      <c r="A371" s="13" t="s">
        <v>259</v>
      </c>
      <c r="B371" s="8"/>
      <c r="C371" s="9"/>
      <c r="D371" s="10"/>
      <c r="E371" s="21"/>
      <c r="F371" s="22"/>
      <c r="G371" s="6"/>
    </row>
    <row r="372" spans="1:7" x14ac:dyDescent="0.35">
      <c r="A372" s="13" t="s">
        <v>260</v>
      </c>
      <c r="B372" s="8"/>
      <c r="C372" s="9"/>
      <c r="D372" s="10"/>
      <c r="E372" s="21"/>
      <c r="F372" s="22"/>
      <c r="G372" s="6"/>
    </row>
    <row r="373" spans="1:7" x14ac:dyDescent="0.35">
      <c r="A373" s="13" t="s">
        <v>261</v>
      </c>
      <c r="B373" s="8"/>
      <c r="C373" s="9"/>
      <c r="D373" s="10"/>
      <c r="E373" s="21"/>
      <c r="F373" s="22"/>
      <c r="G373" s="6"/>
    </row>
    <row r="374" spans="1:7" x14ac:dyDescent="0.35">
      <c r="A374" s="13" t="s">
        <v>262</v>
      </c>
      <c r="B374" s="8"/>
      <c r="C374" s="9"/>
      <c r="D374" s="10"/>
      <c r="E374" s="21"/>
      <c r="F374" s="22"/>
      <c r="G374" s="6"/>
    </row>
    <row r="375" spans="1:7" x14ac:dyDescent="0.35">
      <c r="A375" s="13" t="s">
        <v>263</v>
      </c>
      <c r="B375" s="8"/>
      <c r="C375" s="9"/>
      <c r="D375" s="10"/>
      <c r="E375" s="21"/>
      <c r="F375" s="22"/>
      <c r="G375" s="6"/>
    </row>
    <row r="376" spans="1:7" x14ac:dyDescent="0.35">
      <c r="A376" s="13" t="s">
        <v>264</v>
      </c>
      <c r="B376" s="8"/>
      <c r="C376" s="9"/>
      <c r="D376" s="10"/>
      <c r="E376" s="21"/>
      <c r="F376" s="22"/>
      <c r="G376" s="6"/>
    </row>
    <row r="377" spans="1:7" x14ac:dyDescent="0.35">
      <c r="A377" s="13" t="s">
        <v>265</v>
      </c>
      <c r="B377" s="8"/>
      <c r="C377" s="9"/>
      <c r="D377" s="10"/>
      <c r="E377" s="21"/>
      <c r="F377" s="22"/>
      <c r="G377" s="6"/>
    </row>
    <row r="378" spans="1:7" x14ac:dyDescent="0.35">
      <c r="A378" s="13" t="s">
        <v>266</v>
      </c>
      <c r="B378" s="8"/>
      <c r="C378" s="9"/>
      <c r="D378" s="10"/>
      <c r="E378" s="21"/>
      <c r="F378" s="22"/>
      <c r="G378" s="6"/>
    </row>
    <row r="379" spans="1:7" x14ac:dyDescent="0.35">
      <c r="A379" s="13" t="s">
        <v>267</v>
      </c>
      <c r="B379" s="8"/>
      <c r="C379" s="9"/>
      <c r="D379" s="10"/>
      <c r="E379" s="21"/>
      <c r="F379" s="22"/>
      <c r="G379" s="6"/>
    </row>
    <row r="380" spans="1:7" x14ac:dyDescent="0.35">
      <c r="A380" s="13" t="s">
        <v>268</v>
      </c>
      <c r="B380" s="8"/>
      <c r="C380" s="9"/>
      <c r="D380" s="10"/>
      <c r="E380" s="21"/>
      <c r="F380" s="22"/>
      <c r="G380" s="6"/>
    </row>
    <row r="381" spans="1:7" x14ac:dyDescent="0.35">
      <c r="A381" s="13" t="s">
        <v>269</v>
      </c>
      <c r="B381" s="8"/>
      <c r="C381" s="9"/>
      <c r="D381" s="10"/>
      <c r="E381" s="21"/>
      <c r="F381" s="22"/>
      <c r="G381" s="6"/>
    </row>
    <row r="382" spans="1:7" x14ac:dyDescent="0.35">
      <c r="A382" s="13" t="s">
        <v>270</v>
      </c>
      <c r="B382" s="8"/>
      <c r="C382" s="9"/>
      <c r="D382" s="10"/>
      <c r="E382" s="21"/>
      <c r="F382" s="22"/>
      <c r="G382" s="6"/>
    </row>
    <row r="383" spans="1:7" x14ac:dyDescent="0.35">
      <c r="A383" s="13" t="s">
        <v>271</v>
      </c>
      <c r="B383" s="8"/>
      <c r="C383" s="9"/>
      <c r="D383" s="10"/>
      <c r="E383" s="21"/>
      <c r="F383" s="22"/>
      <c r="G383" s="6"/>
    </row>
    <row r="384" spans="1:7" x14ac:dyDescent="0.35">
      <c r="A384" s="2"/>
      <c r="B384" s="2"/>
      <c r="C384" s="2"/>
      <c r="D384" s="2"/>
      <c r="E384" s="2"/>
      <c r="F384" s="2"/>
      <c r="G384" s="2"/>
    </row>
    <row r="385" spans="1:7" x14ac:dyDescent="0.35">
      <c r="A385" s="13" t="s">
        <v>18</v>
      </c>
      <c r="B385" s="15" t="s">
        <v>0</v>
      </c>
      <c r="C385" s="16" t="s">
        <v>1</v>
      </c>
      <c r="D385" s="17" t="s">
        <v>2</v>
      </c>
      <c r="E385" s="24" t="s">
        <v>3</v>
      </c>
      <c r="F385" s="23" t="s">
        <v>4</v>
      </c>
      <c r="G385" s="18" t="s">
        <v>5</v>
      </c>
    </row>
    <row r="386" spans="1:7" x14ac:dyDescent="0.35">
      <c r="A386" s="13" t="s">
        <v>242</v>
      </c>
      <c r="B386" s="8"/>
      <c r="C386" s="9"/>
      <c r="D386" s="10"/>
      <c r="E386" s="21"/>
      <c r="F386" s="22"/>
      <c r="G386" s="6"/>
    </row>
    <row r="387" spans="1:7" x14ac:dyDescent="0.35">
      <c r="A387" s="13" t="s">
        <v>243</v>
      </c>
      <c r="B387" s="8"/>
      <c r="C387" s="9"/>
      <c r="D387" s="10"/>
      <c r="E387" s="21"/>
      <c r="F387" s="22"/>
      <c r="G387" s="6"/>
    </row>
    <row r="388" spans="1:7" x14ac:dyDescent="0.35">
      <c r="A388" s="13" t="s">
        <v>244</v>
      </c>
      <c r="B388" s="8"/>
      <c r="C388" s="9"/>
      <c r="D388" s="10"/>
      <c r="E388" s="21"/>
      <c r="F388" s="22"/>
      <c r="G388" s="6"/>
    </row>
    <row r="389" spans="1:7" x14ac:dyDescent="0.35">
      <c r="A389" s="13" t="s">
        <v>245</v>
      </c>
      <c r="B389" s="8"/>
      <c r="C389" s="9"/>
      <c r="D389" s="10"/>
      <c r="E389" s="21"/>
      <c r="F389" s="22"/>
      <c r="G389" s="6"/>
    </row>
    <row r="390" spans="1:7" x14ac:dyDescent="0.35">
      <c r="A390" s="13" t="s">
        <v>246</v>
      </c>
      <c r="B390" s="8"/>
      <c r="C390" s="9"/>
      <c r="D390" s="10"/>
      <c r="E390" s="21"/>
      <c r="F390" s="22"/>
      <c r="G390" s="6"/>
    </row>
    <row r="391" spans="1:7" x14ac:dyDescent="0.35">
      <c r="A391" s="13" t="s">
        <v>247</v>
      </c>
      <c r="B391" s="8"/>
      <c r="C391" s="9"/>
      <c r="D391" s="10"/>
      <c r="E391" s="21"/>
      <c r="F391" s="22"/>
      <c r="G391" s="6"/>
    </row>
    <row r="392" spans="1:7" x14ac:dyDescent="0.35">
      <c r="A392" s="13" t="s">
        <v>248</v>
      </c>
      <c r="B392" s="8"/>
      <c r="C392" s="9"/>
      <c r="D392" s="10"/>
      <c r="E392" s="21"/>
      <c r="F392" s="22"/>
      <c r="G392" s="6"/>
    </row>
    <row r="393" spans="1:7" x14ac:dyDescent="0.35">
      <c r="A393" s="13" t="s">
        <v>249</v>
      </c>
      <c r="B393" s="8"/>
      <c r="C393" s="9"/>
      <c r="D393" s="10"/>
      <c r="E393" s="21"/>
      <c r="F393" s="22"/>
      <c r="G393" s="6"/>
    </row>
    <row r="394" spans="1:7" x14ac:dyDescent="0.35">
      <c r="A394" s="13" t="s">
        <v>250</v>
      </c>
      <c r="B394" s="8"/>
      <c r="C394" s="9"/>
      <c r="D394" s="10"/>
      <c r="E394" s="21"/>
      <c r="F394" s="22"/>
      <c r="G394" s="6"/>
    </row>
    <row r="395" spans="1:7" x14ac:dyDescent="0.35">
      <c r="A395" s="13" t="s">
        <v>251</v>
      </c>
      <c r="B395" s="8"/>
      <c r="C395" s="9"/>
      <c r="D395" s="10"/>
      <c r="E395" s="21"/>
      <c r="F395" s="22"/>
      <c r="G395" s="6"/>
    </row>
    <row r="396" spans="1:7" x14ac:dyDescent="0.35">
      <c r="A396" s="13" t="s">
        <v>252</v>
      </c>
      <c r="B396" s="8"/>
      <c r="C396" s="9"/>
      <c r="D396" s="10"/>
      <c r="E396" s="21"/>
      <c r="F396" s="22"/>
      <c r="G396" s="6"/>
    </row>
    <row r="397" spans="1:7" x14ac:dyDescent="0.35">
      <c r="A397" s="13" t="s">
        <v>253</v>
      </c>
      <c r="B397" s="8"/>
      <c r="C397" s="9"/>
      <c r="D397" s="10"/>
      <c r="E397" s="21"/>
      <c r="F397" s="22"/>
      <c r="G397" s="6"/>
    </row>
    <row r="398" spans="1:7" x14ac:dyDescent="0.35">
      <c r="A398" s="13" t="s">
        <v>254</v>
      </c>
      <c r="B398" s="8"/>
      <c r="C398" s="9"/>
      <c r="D398" s="10"/>
      <c r="E398" s="21"/>
      <c r="F398" s="22"/>
      <c r="G398" s="6"/>
    </row>
    <row r="399" spans="1:7" x14ac:dyDescent="0.35">
      <c r="A399" s="13" t="s">
        <v>255</v>
      </c>
      <c r="B399" s="8"/>
      <c r="C399" s="9"/>
      <c r="D399" s="10"/>
      <c r="E399" s="21"/>
      <c r="F399" s="22"/>
      <c r="G399" s="6"/>
    </row>
    <row r="400" spans="1:7" x14ac:dyDescent="0.35">
      <c r="A400" s="13" t="s">
        <v>256</v>
      </c>
      <c r="B400" s="8"/>
      <c r="C400" s="9"/>
      <c r="D400" s="10"/>
      <c r="E400" s="21"/>
      <c r="F400" s="22"/>
      <c r="G400" s="6"/>
    </row>
    <row r="401" spans="1:7" x14ac:dyDescent="0.35">
      <c r="A401" s="13" t="s">
        <v>257</v>
      </c>
      <c r="B401" s="8"/>
      <c r="C401" s="9"/>
      <c r="D401" s="10"/>
      <c r="E401" s="21"/>
      <c r="F401" s="22"/>
      <c r="G401" s="6"/>
    </row>
    <row r="402" spans="1:7" x14ac:dyDescent="0.35">
      <c r="A402" s="13" t="s">
        <v>258</v>
      </c>
      <c r="B402" s="8"/>
      <c r="C402" s="9"/>
      <c r="D402" s="10"/>
      <c r="E402" s="21"/>
      <c r="F402" s="22"/>
      <c r="G402" s="6"/>
    </row>
    <row r="403" spans="1:7" x14ac:dyDescent="0.35">
      <c r="A403" s="13" t="s">
        <v>259</v>
      </c>
      <c r="B403" s="8"/>
      <c r="C403" s="9"/>
      <c r="D403" s="10"/>
      <c r="E403" s="21"/>
      <c r="F403" s="22"/>
      <c r="G403" s="6"/>
    </row>
    <row r="404" spans="1:7" x14ac:dyDescent="0.35">
      <c r="A404" s="13" t="s">
        <v>260</v>
      </c>
      <c r="B404" s="8"/>
      <c r="C404" s="9"/>
      <c r="D404" s="10"/>
      <c r="E404" s="21"/>
      <c r="F404" s="22"/>
      <c r="G404" s="6"/>
    </row>
    <row r="405" spans="1:7" x14ac:dyDescent="0.35">
      <c r="A405" s="13" t="s">
        <v>261</v>
      </c>
      <c r="B405" s="8"/>
      <c r="C405" s="9"/>
      <c r="D405" s="10"/>
      <c r="E405" s="21"/>
      <c r="F405" s="22"/>
      <c r="G405" s="6"/>
    </row>
    <row r="406" spans="1:7" x14ac:dyDescent="0.35">
      <c r="A406" s="13" t="s">
        <v>262</v>
      </c>
      <c r="B406" s="8"/>
      <c r="C406" s="9"/>
      <c r="D406" s="10"/>
      <c r="E406" s="21"/>
      <c r="F406" s="22"/>
      <c r="G406" s="6"/>
    </row>
    <row r="407" spans="1:7" x14ac:dyDescent="0.35">
      <c r="A407" s="13" t="s">
        <v>263</v>
      </c>
      <c r="B407" s="8"/>
      <c r="C407" s="9"/>
      <c r="D407" s="10"/>
      <c r="E407" s="21"/>
      <c r="F407" s="22"/>
      <c r="G407" s="6"/>
    </row>
    <row r="408" spans="1:7" x14ac:dyDescent="0.35">
      <c r="A408" s="13" t="s">
        <v>264</v>
      </c>
      <c r="B408" s="8"/>
      <c r="C408" s="9"/>
      <c r="D408" s="10"/>
      <c r="E408" s="21"/>
      <c r="F408" s="22"/>
      <c r="G408" s="6"/>
    </row>
    <row r="409" spans="1:7" x14ac:dyDescent="0.35">
      <c r="A409" s="13" t="s">
        <v>265</v>
      </c>
      <c r="B409" s="8"/>
      <c r="C409" s="9"/>
      <c r="D409" s="10"/>
      <c r="E409" s="21"/>
      <c r="F409" s="22"/>
      <c r="G409" s="6"/>
    </row>
    <row r="410" spans="1:7" x14ac:dyDescent="0.35">
      <c r="A410" s="13" t="s">
        <v>266</v>
      </c>
      <c r="B410" s="8"/>
      <c r="C410" s="9"/>
      <c r="D410" s="10"/>
      <c r="E410" s="21"/>
      <c r="F410" s="22"/>
      <c r="G410" s="6"/>
    </row>
    <row r="411" spans="1:7" x14ac:dyDescent="0.35">
      <c r="A411" s="13" t="s">
        <v>267</v>
      </c>
      <c r="B411" s="8"/>
      <c r="C411" s="9"/>
      <c r="D411" s="10"/>
      <c r="E411" s="21"/>
      <c r="F411" s="22"/>
      <c r="G411" s="6"/>
    </row>
    <row r="412" spans="1:7" x14ac:dyDescent="0.35">
      <c r="A412" s="13" t="s">
        <v>268</v>
      </c>
      <c r="B412" s="8"/>
      <c r="C412" s="9"/>
      <c r="D412" s="10"/>
      <c r="E412" s="21"/>
      <c r="F412" s="22"/>
      <c r="G412" s="6"/>
    </row>
    <row r="413" spans="1:7" x14ac:dyDescent="0.35">
      <c r="A413" s="13" t="s">
        <v>269</v>
      </c>
      <c r="B413" s="8"/>
      <c r="C413" s="9"/>
      <c r="D413" s="10"/>
      <c r="E413" s="21"/>
      <c r="F413" s="22"/>
      <c r="G413" s="6"/>
    </row>
    <row r="414" spans="1:7" x14ac:dyDescent="0.35">
      <c r="A414" s="13" t="s">
        <v>270</v>
      </c>
      <c r="B414" s="8"/>
      <c r="C414" s="9"/>
      <c r="D414" s="10"/>
      <c r="E414" s="21"/>
      <c r="F414" s="22"/>
      <c r="G414" s="6"/>
    </row>
    <row r="415" spans="1:7" x14ac:dyDescent="0.35">
      <c r="A415" s="13" t="s">
        <v>271</v>
      </c>
      <c r="B415" s="8"/>
      <c r="C415" s="9"/>
      <c r="D415" s="10"/>
      <c r="E415" s="21"/>
      <c r="F415" s="22"/>
      <c r="G415" s="6"/>
    </row>
    <row r="416" spans="1:7" x14ac:dyDescent="0.35">
      <c r="A416" s="2"/>
      <c r="B416" s="2"/>
      <c r="C416" s="2"/>
      <c r="D416" s="2"/>
      <c r="E416" s="2"/>
      <c r="F416" s="2"/>
      <c r="G416" s="2"/>
    </row>
    <row r="417" spans="1:7" x14ac:dyDescent="0.35">
      <c r="A417" s="13" t="s">
        <v>19</v>
      </c>
      <c r="B417" s="15" t="s">
        <v>0</v>
      </c>
      <c r="C417" s="16" t="s">
        <v>1</v>
      </c>
      <c r="D417" s="17" t="s">
        <v>2</v>
      </c>
      <c r="E417" s="24" t="s">
        <v>3</v>
      </c>
      <c r="F417" s="23" t="s">
        <v>4</v>
      </c>
      <c r="G417" s="18" t="s">
        <v>5</v>
      </c>
    </row>
    <row r="418" spans="1:7" x14ac:dyDescent="0.35">
      <c r="A418" s="13" t="s">
        <v>242</v>
      </c>
      <c r="B418" s="8"/>
      <c r="C418" s="9"/>
      <c r="D418" s="10"/>
      <c r="E418" s="21"/>
      <c r="F418" s="22"/>
      <c r="G418" s="6"/>
    </row>
    <row r="419" spans="1:7" x14ac:dyDescent="0.35">
      <c r="A419" s="13" t="s">
        <v>243</v>
      </c>
      <c r="B419" s="8"/>
      <c r="C419" s="9"/>
      <c r="D419" s="10"/>
      <c r="E419" s="21"/>
      <c r="F419" s="22"/>
      <c r="G419" s="6"/>
    </row>
    <row r="420" spans="1:7" x14ac:dyDescent="0.35">
      <c r="A420" s="13" t="s">
        <v>244</v>
      </c>
      <c r="B420" s="8"/>
      <c r="C420" s="9"/>
      <c r="D420" s="10"/>
      <c r="E420" s="21"/>
      <c r="F420" s="22"/>
      <c r="G420" s="6"/>
    </row>
    <row r="421" spans="1:7" x14ac:dyDescent="0.35">
      <c r="A421" s="13" t="s">
        <v>245</v>
      </c>
      <c r="B421" s="8"/>
      <c r="C421" s="9"/>
      <c r="D421" s="10"/>
      <c r="E421" s="21"/>
      <c r="F421" s="22"/>
      <c r="G421" s="6"/>
    </row>
    <row r="422" spans="1:7" x14ac:dyDescent="0.35">
      <c r="A422" s="13" t="s">
        <v>246</v>
      </c>
      <c r="B422" s="8"/>
      <c r="C422" s="9"/>
      <c r="D422" s="10"/>
      <c r="E422" s="21"/>
      <c r="F422" s="22"/>
      <c r="G422" s="6"/>
    </row>
    <row r="423" spans="1:7" x14ac:dyDescent="0.35">
      <c r="A423" s="13" t="s">
        <v>247</v>
      </c>
      <c r="B423" s="8"/>
      <c r="C423" s="9"/>
      <c r="D423" s="10"/>
      <c r="E423" s="21"/>
      <c r="F423" s="22"/>
      <c r="G423" s="6"/>
    </row>
    <row r="424" spans="1:7" x14ac:dyDescent="0.35">
      <c r="A424" s="13" t="s">
        <v>248</v>
      </c>
      <c r="B424" s="8"/>
      <c r="C424" s="9"/>
      <c r="D424" s="10"/>
      <c r="E424" s="21"/>
      <c r="F424" s="22"/>
      <c r="G424" s="6"/>
    </row>
    <row r="425" spans="1:7" x14ac:dyDescent="0.35">
      <c r="A425" s="13" t="s">
        <v>249</v>
      </c>
      <c r="B425" s="8"/>
      <c r="C425" s="9"/>
      <c r="D425" s="10"/>
      <c r="E425" s="21"/>
      <c r="F425" s="22"/>
      <c r="G425" s="6"/>
    </row>
    <row r="426" spans="1:7" x14ac:dyDescent="0.35">
      <c r="A426" s="13" t="s">
        <v>250</v>
      </c>
      <c r="B426" s="8"/>
      <c r="C426" s="9"/>
      <c r="D426" s="10"/>
      <c r="E426" s="21"/>
      <c r="F426" s="22"/>
      <c r="G426" s="6"/>
    </row>
    <row r="427" spans="1:7" x14ac:dyDescent="0.35">
      <c r="A427" s="13" t="s">
        <v>251</v>
      </c>
      <c r="B427" s="8"/>
      <c r="C427" s="9"/>
      <c r="D427" s="10"/>
      <c r="E427" s="21"/>
      <c r="F427" s="22"/>
      <c r="G427" s="6"/>
    </row>
    <row r="428" spans="1:7" x14ac:dyDescent="0.35">
      <c r="A428" s="13" t="s">
        <v>252</v>
      </c>
      <c r="B428" s="8"/>
      <c r="C428" s="9"/>
      <c r="D428" s="10"/>
      <c r="E428" s="21"/>
      <c r="F428" s="22"/>
      <c r="G428" s="6"/>
    </row>
    <row r="429" spans="1:7" x14ac:dyDescent="0.35">
      <c r="A429" s="13" t="s">
        <v>253</v>
      </c>
      <c r="B429" s="8"/>
      <c r="C429" s="9"/>
      <c r="D429" s="10"/>
      <c r="E429" s="21"/>
      <c r="F429" s="22"/>
      <c r="G429" s="6"/>
    </row>
    <row r="430" spans="1:7" x14ac:dyDescent="0.35">
      <c r="A430" s="13" t="s">
        <v>254</v>
      </c>
      <c r="B430" s="8"/>
      <c r="C430" s="9"/>
      <c r="D430" s="10"/>
      <c r="E430" s="21"/>
      <c r="F430" s="22"/>
      <c r="G430" s="6"/>
    </row>
    <row r="431" spans="1:7" x14ac:dyDescent="0.35">
      <c r="A431" s="13" t="s">
        <v>255</v>
      </c>
      <c r="B431" s="8"/>
      <c r="C431" s="9"/>
      <c r="D431" s="10"/>
      <c r="E431" s="21"/>
      <c r="F431" s="22"/>
      <c r="G431" s="6"/>
    </row>
    <row r="432" spans="1:7" x14ac:dyDescent="0.35">
      <c r="A432" s="13" t="s">
        <v>256</v>
      </c>
      <c r="B432" s="8"/>
      <c r="C432" s="9"/>
      <c r="D432" s="10"/>
      <c r="E432" s="21"/>
      <c r="F432" s="22"/>
      <c r="G432" s="6"/>
    </row>
    <row r="433" spans="1:7" x14ac:dyDescent="0.35">
      <c r="A433" s="13" t="s">
        <v>257</v>
      </c>
      <c r="B433" s="8"/>
      <c r="C433" s="9"/>
      <c r="D433" s="10"/>
      <c r="E433" s="21"/>
      <c r="F433" s="22"/>
      <c r="G433" s="6"/>
    </row>
    <row r="434" spans="1:7" x14ac:dyDescent="0.35">
      <c r="A434" s="13" t="s">
        <v>258</v>
      </c>
      <c r="B434" s="8"/>
      <c r="C434" s="9"/>
      <c r="D434" s="10"/>
      <c r="E434" s="21"/>
      <c r="F434" s="22"/>
      <c r="G434" s="6"/>
    </row>
    <row r="435" spans="1:7" x14ac:dyDescent="0.35">
      <c r="A435" s="13" t="s">
        <v>259</v>
      </c>
      <c r="B435" s="8"/>
      <c r="C435" s="9"/>
      <c r="D435" s="10"/>
      <c r="E435" s="21"/>
      <c r="F435" s="22"/>
      <c r="G435" s="6"/>
    </row>
    <row r="436" spans="1:7" x14ac:dyDescent="0.35">
      <c r="A436" s="13" t="s">
        <v>260</v>
      </c>
      <c r="B436" s="8"/>
      <c r="C436" s="9"/>
      <c r="D436" s="10"/>
      <c r="E436" s="21"/>
      <c r="F436" s="22"/>
      <c r="G436" s="6"/>
    </row>
    <row r="437" spans="1:7" x14ac:dyDescent="0.35">
      <c r="A437" s="13" t="s">
        <v>261</v>
      </c>
      <c r="B437" s="8"/>
      <c r="C437" s="9"/>
      <c r="D437" s="10"/>
      <c r="E437" s="21"/>
      <c r="F437" s="22"/>
      <c r="G437" s="6"/>
    </row>
    <row r="438" spans="1:7" x14ac:dyDescent="0.35">
      <c r="A438" s="13" t="s">
        <v>262</v>
      </c>
      <c r="B438" s="8"/>
      <c r="C438" s="9"/>
      <c r="D438" s="10"/>
      <c r="E438" s="21"/>
      <c r="F438" s="22"/>
      <c r="G438" s="6"/>
    </row>
    <row r="439" spans="1:7" x14ac:dyDescent="0.35">
      <c r="A439" s="13" t="s">
        <v>263</v>
      </c>
      <c r="B439" s="8"/>
      <c r="C439" s="9"/>
      <c r="D439" s="10"/>
      <c r="E439" s="21"/>
      <c r="F439" s="22"/>
      <c r="G439" s="6"/>
    </row>
    <row r="440" spans="1:7" x14ac:dyDescent="0.35">
      <c r="A440" s="13" t="s">
        <v>264</v>
      </c>
      <c r="B440" s="8"/>
      <c r="C440" s="9"/>
      <c r="D440" s="10"/>
      <c r="E440" s="21"/>
      <c r="F440" s="22"/>
      <c r="G440" s="6"/>
    </row>
    <row r="441" spans="1:7" x14ac:dyDescent="0.35">
      <c r="A441" s="13" t="s">
        <v>265</v>
      </c>
      <c r="B441" s="8"/>
      <c r="C441" s="9"/>
      <c r="D441" s="10"/>
      <c r="E441" s="21"/>
      <c r="F441" s="22"/>
      <c r="G441" s="6"/>
    </row>
    <row r="442" spans="1:7" x14ac:dyDescent="0.35">
      <c r="A442" s="13" t="s">
        <v>266</v>
      </c>
      <c r="B442" s="8"/>
      <c r="C442" s="9"/>
      <c r="D442" s="10"/>
      <c r="E442" s="21"/>
      <c r="F442" s="22"/>
      <c r="G442" s="6"/>
    </row>
    <row r="443" spans="1:7" x14ac:dyDescent="0.35">
      <c r="A443" s="13" t="s">
        <v>267</v>
      </c>
      <c r="B443" s="8"/>
      <c r="C443" s="9"/>
      <c r="D443" s="10"/>
      <c r="E443" s="21"/>
      <c r="F443" s="22"/>
      <c r="G443" s="6"/>
    </row>
    <row r="444" spans="1:7" x14ac:dyDescent="0.35">
      <c r="A444" s="13" t="s">
        <v>268</v>
      </c>
      <c r="B444" s="8"/>
      <c r="C444" s="9"/>
      <c r="D444" s="10"/>
      <c r="E444" s="21"/>
      <c r="F444" s="22"/>
      <c r="G444" s="6"/>
    </row>
    <row r="445" spans="1:7" x14ac:dyDescent="0.35">
      <c r="A445" s="13" t="s">
        <v>269</v>
      </c>
      <c r="B445" s="8"/>
      <c r="C445" s="9"/>
      <c r="D445" s="10"/>
      <c r="E445" s="21"/>
      <c r="F445" s="22"/>
      <c r="G445" s="6"/>
    </row>
    <row r="446" spans="1:7" x14ac:dyDescent="0.35">
      <c r="A446" s="13" t="s">
        <v>270</v>
      </c>
      <c r="B446" s="8"/>
      <c r="C446" s="9"/>
      <c r="D446" s="10"/>
      <c r="E446" s="21"/>
      <c r="F446" s="22"/>
      <c r="G446" s="6"/>
    </row>
    <row r="447" spans="1:7" x14ac:dyDescent="0.35">
      <c r="A447" s="13" t="s">
        <v>271</v>
      </c>
      <c r="B447" s="8"/>
      <c r="C447" s="9"/>
      <c r="D447" s="10"/>
      <c r="E447" s="21"/>
      <c r="F447" s="22"/>
      <c r="G447" s="6"/>
    </row>
    <row r="448" spans="1:7" x14ac:dyDescent="0.35">
      <c r="A448" s="2"/>
      <c r="B448" s="2"/>
      <c r="C448" s="2"/>
      <c r="D448" s="2"/>
      <c r="E448" s="2"/>
      <c r="F448" s="2"/>
      <c r="G448" s="2"/>
    </row>
    <row r="449" spans="1:7" x14ac:dyDescent="0.35">
      <c r="A449" s="13" t="s">
        <v>20</v>
      </c>
      <c r="B449" s="15" t="s">
        <v>0</v>
      </c>
      <c r="C449" s="16" t="s">
        <v>1</v>
      </c>
      <c r="D449" s="17" t="s">
        <v>2</v>
      </c>
      <c r="E449" s="24" t="s">
        <v>3</v>
      </c>
      <c r="F449" s="23" t="s">
        <v>4</v>
      </c>
      <c r="G449" s="18" t="s">
        <v>5</v>
      </c>
    </row>
    <row r="450" spans="1:7" x14ac:dyDescent="0.35">
      <c r="A450" s="13" t="s">
        <v>242</v>
      </c>
      <c r="B450" s="8"/>
      <c r="C450" s="9"/>
      <c r="D450" s="10"/>
      <c r="E450" s="21"/>
      <c r="F450" s="22"/>
      <c r="G450" s="6"/>
    </row>
    <row r="451" spans="1:7" x14ac:dyDescent="0.35">
      <c r="A451" s="13" t="s">
        <v>243</v>
      </c>
      <c r="B451" s="8"/>
      <c r="C451" s="9"/>
      <c r="D451" s="10"/>
      <c r="E451" s="21"/>
      <c r="F451" s="22"/>
      <c r="G451" s="6"/>
    </row>
    <row r="452" spans="1:7" x14ac:dyDescent="0.35">
      <c r="A452" s="13" t="s">
        <v>244</v>
      </c>
      <c r="B452" s="8"/>
      <c r="C452" s="9"/>
      <c r="D452" s="10"/>
      <c r="E452" s="21"/>
      <c r="F452" s="22"/>
      <c r="G452" s="6"/>
    </row>
    <row r="453" spans="1:7" x14ac:dyDescent="0.35">
      <c r="A453" s="13" t="s">
        <v>245</v>
      </c>
      <c r="B453" s="8"/>
      <c r="C453" s="9"/>
      <c r="D453" s="10"/>
      <c r="E453" s="21"/>
      <c r="F453" s="22"/>
      <c r="G453" s="6"/>
    </row>
    <row r="454" spans="1:7" x14ac:dyDescent="0.35">
      <c r="A454" s="13" t="s">
        <v>246</v>
      </c>
      <c r="B454" s="8"/>
      <c r="C454" s="9"/>
      <c r="D454" s="10"/>
      <c r="E454" s="21"/>
      <c r="F454" s="22"/>
      <c r="G454" s="6"/>
    </row>
    <row r="455" spans="1:7" x14ac:dyDescent="0.35">
      <c r="A455" s="13" t="s">
        <v>247</v>
      </c>
      <c r="B455" s="8"/>
      <c r="C455" s="9"/>
      <c r="D455" s="10"/>
      <c r="E455" s="21"/>
      <c r="F455" s="22"/>
      <c r="G455" s="6"/>
    </row>
    <row r="456" spans="1:7" x14ac:dyDescent="0.35">
      <c r="A456" s="13" t="s">
        <v>248</v>
      </c>
      <c r="B456" s="8"/>
      <c r="C456" s="9"/>
      <c r="D456" s="10"/>
      <c r="E456" s="21"/>
      <c r="F456" s="22"/>
      <c r="G456" s="6"/>
    </row>
    <row r="457" spans="1:7" x14ac:dyDescent="0.35">
      <c r="A457" s="13" t="s">
        <v>249</v>
      </c>
      <c r="B457" s="8"/>
      <c r="C457" s="9"/>
      <c r="D457" s="10"/>
      <c r="E457" s="21"/>
      <c r="F457" s="22"/>
      <c r="G457" s="6"/>
    </row>
    <row r="458" spans="1:7" x14ac:dyDescent="0.35">
      <c r="A458" s="13" t="s">
        <v>250</v>
      </c>
      <c r="B458" s="8"/>
      <c r="C458" s="9"/>
      <c r="D458" s="10"/>
      <c r="E458" s="21"/>
      <c r="F458" s="22"/>
      <c r="G458" s="6"/>
    </row>
    <row r="459" spans="1:7" x14ac:dyDescent="0.35">
      <c r="A459" s="13" t="s">
        <v>251</v>
      </c>
      <c r="B459" s="8"/>
      <c r="C459" s="9"/>
      <c r="D459" s="10"/>
      <c r="E459" s="21"/>
      <c r="F459" s="22"/>
      <c r="G459" s="6"/>
    </row>
    <row r="460" spans="1:7" x14ac:dyDescent="0.35">
      <c r="A460" s="13" t="s">
        <v>252</v>
      </c>
      <c r="B460" s="8"/>
      <c r="C460" s="9"/>
      <c r="D460" s="10"/>
      <c r="E460" s="21"/>
      <c r="F460" s="22"/>
      <c r="G460" s="6"/>
    </row>
    <row r="461" spans="1:7" x14ac:dyDescent="0.35">
      <c r="A461" s="13" t="s">
        <v>253</v>
      </c>
      <c r="B461" s="8"/>
      <c r="C461" s="9"/>
      <c r="D461" s="10"/>
      <c r="E461" s="21"/>
      <c r="F461" s="22"/>
      <c r="G461" s="6"/>
    </row>
    <row r="462" spans="1:7" x14ac:dyDescent="0.35">
      <c r="A462" s="13" t="s">
        <v>254</v>
      </c>
      <c r="B462" s="8"/>
      <c r="C462" s="9"/>
      <c r="D462" s="10"/>
      <c r="E462" s="21"/>
      <c r="F462" s="22"/>
      <c r="G462" s="6"/>
    </row>
    <row r="463" spans="1:7" x14ac:dyDescent="0.35">
      <c r="A463" s="13" t="s">
        <v>255</v>
      </c>
      <c r="B463" s="8"/>
      <c r="C463" s="9"/>
      <c r="D463" s="10"/>
      <c r="E463" s="21"/>
      <c r="F463" s="22"/>
      <c r="G463" s="6"/>
    </row>
    <row r="464" spans="1:7" x14ac:dyDescent="0.35">
      <c r="A464" s="13" t="s">
        <v>256</v>
      </c>
      <c r="B464" s="8"/>
      <c r="C464" s="9"/>
      <c r="D464" s="10"/>
      <c r="E464" s="21"/>
      <c r="F464" s="22"/>
      <c r="G464" s="6"/>
    </row>
    <row r="465" spans="1:7" x14ac:dyDescent="0.35">
      <c r="A465" s="13" t="s">
        <v>257</v>
      </c>
      <c r="B465" s="8"/>
      <c r="C465" s="9"/>
      <c r="D465" s="10"/>
      <c r="E465" s="21"/>
      <c r="F465" s="22"/>
      <c r="G465" s="6"/>
    </row>
    <row r="466" spans="1:7" x14ac:dyDescent="0.35">
      <c r="A466" s="13" t="s">
        <v>258</v>
      </c>
      <c r="B466" s="8"/>
      <c r="C466" s="9"/>
      <c r="D466" s="10"/>
      <c r="E466" s="21"/>
      <c r="F466" s="22"/>
      <c r="G466" s="6"/>
    </row>
    <row r="467" spans="1:7" x14ac:dyDescent="0.35">
      <c r="A467" s="13" t="s">
        <v>259</v>
      </c>
      <c r="B467" s="8"/>
      <c r="C467" s="9"/>
      <c r="D467" s="10"/>
      <c r="E467" s="21"/>
      <c r="F467" s="22"/>
      <c r="G467" s="6"/>
    </row>
    <row r="468" spans="1:7" x14ac:dyDescent="0.35">
      <c r="A468" s="13" t="s">
        <v>260</v>
      </c>
      <c r="B468" s="8"/>
      <c r="C468" s="9"/>
      <c r="D468" s="10"/>
      <c r="E468" s="21"/>
      <c r="F468" s="22"/>
      <c r="G468" s="6"/>
    </row>
    <row r="469" spans="1:7" x14ac:dyDescent="0.35">
      <c r="A469" s="13" t="s">
        <v>261</v>
      </c>
      <c r="B469" s="8"/>
      <c r="C469" s="9"/>
      <c r="D469" s="10"/>
      <c r="E469" s="21"/>
      <c r="F469" s="22"/>
      <c r="G469" s="6"/>
    </row>
    <row r="470" spans="1:7" x14ac:dyDescent="0.35">
      <c r="A470" s="13" t="s">
        <v>262</v>
      </c>
      <c r="B470" s="8"/>
      <c r="C470" s="9"/>
      <c r="D470" s="10"/>
      <c r="E470" s="21"/>
      <c r="F470" s="22"/>
      <c r="G470" s="6"/>
    </row>
    <row r="471" spans="1:7" x14ac:dyDescent="0.35">
      <c r="A471" s="13" t="s">
        <v>263</v>
      </c>
      <c r="B471" s="8"/>
      <c r="C471" s="9"/>
      <c r="D471" s="10"/>
      <c r="E471" s="21"/>
      <c r="F471" s="22"/>
      <c r="G471" s="6"/>
    </row>
    <row r="472" spans="1:7" x14ac:dyDescent="0.35">
      <c r="A472" s="13" t="s">
        <v>264</v>
      </c>
      <c r="B472" s="8"/>
      <c r="C472" s="9"/>
      <c r="D472" s="10"/>
      <c r="E472" s="21"/>
      <c r="F472" s="22"/>
      <c r="G472" s="6"/>
    </row>
    <row r="473" spans="1:7" x14ac:dyDescent="0.35">
      <c r="A473" s="13" t="s">
        <v>265</v>
      </c>
      <c r="B473" s="8"/>
      <c r="C473" s="9"/>
      <c r="D473" s="10"/>
      <c r="E473" s="21"/>
      <c r="F473" s="22"/>
      <c r="G473" s="6"/>
    </row>
    <row r="474" spans="1:7" x14ac:dyDescent="0.35">
      <c r="A474" s="13" t="s">
        <v>266</v>
      </c>
      <c r="B474" s="8"/>
      <c r="C474" s="9"/>
      <c r="D474" s="10"/>
      <c r="E474" s="21"/>
      <c r="F474" s="22"/>
      <c r="G474" s="6"/>
    </row>
    <row r="475" spans="1:7" x14ac:dyDescent="0.35">
      <c r="A475" s="13" t="s">
        <v>267</v>
      </c>
      <c r="B475" s="8"/>
      <c r="C475" s="9"/>
      <c r="D475" s="10"/>
      <c r="E475" s="21"/>
      <c r="F475" s="22"/>
      <c r="G475" s="6"/>
    </row>
    <row r="476" spans="1:7" x14ac:dyDescent="0.35">
      <c r="A476" s="13" t="s">
        <v>268</v>
      </c>
      <c r="B476" s="8"/>
      <c r="C476" s="9"/>
      <c r="D476" s="10"/>
      <c r="E476" s="21"/>
      <c r="F476" s="22"/>
      <c r="G476" s="6"/>
    </row>
    <row r="477" spans="1:7" x14ac:dyDescent="0.35">
      <c r="A477" s="13" t="s">
        <v>269</v>
      </c>
      <c r="B477" s="8"/>
      <c r="C477" s="9"/>
      <c r="D477" s="10"/>
      <c r="E477" s="21"/>
      <c r="F477" s="22"/>
      <c r="G477" s="6"/>
    </row>
    <row r="478" spans="1:7" x14ac:dyDescent="0.35">
      <c r="A478" s="13" t="s">
        <v>270</v>
      </c>
      <c r="B478" s="8"/>
      <c r="C478" s="9"/>
      <c r="D478" s="10"/>
      <c r="E478" s="21"/>
      <c r="F478" s="22"/>
      <c r="G478" s="6"/>
    </row>
    <row r="479" spans="1:7" x14ac:dyDescent="0.35">
      <c r="A479" s="13" t="s">
        <v>271</v>
      </c>
      <c r="B479" s="8"/>
      <c r="C479" s="9"/>
      <c r="D479" s="10"/>
      <c r="E479" s="21"/>
      <c r="F479" s="22"/>
      <c r="G479" s="6"/>
    </row>
    <row r="480" spans="1:7" x14ac:dyDescent="0.35">
      <c r="A480" s="2"/>
      <c r="B480" s="2"/>
      <c r="C480" s="2"/>
      <c r="D480" s="2"/>
      <c r="E480" s="2"/>
      <c r="F480" s="2"/>
      <c r="G480" s="2"/>
    </row>
    <row r="481" spans="1:7" x14ac:dyDescent="0.35">
      <c r="A481" s="13" t="s">
        <v>21</v>
      </c>
      <c r="B481" s="15" t="s">
        <v>0</v>
      </c>
      <c r="C481" s="16" t="s">
        <v>1</v>
      </c>
      <c r="D481" s="17" t="s">
        <v>2</v>
      </c>
      <c r="E481" s="24" t="s">
        <v>3</v>
      </c>
      <c r="F481" s="23" t="s">
        <v>4</v>
      </c>
      <c r="G481" s="18" t="s">
        <v>5</v>
      </c>
    </row>
    <row r="482" spans="1:7" x14ac:dyDescent="0.35">
      <c r="A482" s="13" t="s">
        <v>242</v>
      </c>
      <c r="B482" s="8"/>
      <c r="C482" s="9"/>
      <c r="D482" s="10"/>
      <c r="E482" s="21"/>
      <c r="F482" s="22"/>
      <c r="G482" s="6"/>
    </row>
    <row r="483" spans="1:7" x14ac:dyDescent="0.35">
      <c r="A483" s="13" t="s">
        <v>243</v>
      </c>
      <c r="B483" s="8"/>
      <c r="C483" s="9"/>
      <c r="D483" s="10"/>
      <c r="E483" s="21"/>
      <c r="F483" s="22"/>
      <c r="G483" s="6"/>
    </row>
    <row r="484" spans="1:7" x14ac:dyDescent="0.35">
      <c r="A484" s="13" t="s">
        <v>244</v>
      </c>
      <c r="B484" s="8"/>
      <c r="C484" s="9"/>
      <c r="D484" s="10"/>
      <c r="E484" s="21"/>
      <c r="F484" s="22"/>
      <c r="G484" s="6"/>
    </row>
    <row r="485" spans="1:7" x14ac:dyDescent="0.35">
      <c r="A485" s="13" t="s">
        <v>245</v>
      </c>
      <c r="B485" s="8"/>
      <c r="C485" s="9"/>
      <c r="D485" s="10"/>
      <c r="E485" s="21"/>
      <c r="F485" s="22"/>
      <c r="G485" s="6"/>
    </row>
    <row r="486" spans="1:7" x14ac:dyDescent="0.35">
      <c r="A486" s="13" t="s">
        <v>246</v>
      </c>
      <c r="B486" s="8"/>
      <c r="C486" s="9"/>
      <c r="D486" s="10"/>
      <c r="E486" s="21"/>
      <c r="F486" s="22"/>
      <c r="G486" s="6"/>
    </row>
    <row r="487" spans="1:7" x14ac:dyDescent="0.35">
      <c r="A487" s="13" t="s">
        <v>247</v>
      </c>
      <c r="B487" s="8"/>
      <c r="C487" s="9"/>
      <c r="D487" s="10"/>
      <c r="E487" s="21"/>
      <c r="F487" s="22"/>
      <c r="G487" s="6"/>
    </row>
    <row r="488" spans="1:7" x14ac:dyDescent="0.35">
      <c r="A488" s="13" t="s">
        <v>248</v>
      </c>
      <c r="B488" s="8"/>
      <c r="C488" s="9"/>
      <c r="D488" s="10"/>
      <c r="E488" s="21"/>
      <c r="F488" s="22"/>
      <c r="G488" s="6"/>
    </row>
    <row r="489" spans="1:7" x14ac:dyDescent="0.35">
      <c r="A489" s="13" t="s">
        <v>249</v>
      </c>
      <c r="B489" s="8"/>
      <c r="C489" s="9"/>
      <c r="D489" s="10"/>
      <c r="E489" s="21"/>
      <c r="F489" s="22"/>
      <c r="G489" s="6"/>
    </row>
    <row r="490" spans="1:7" x14ac:dyDescent="0.35">
      <c r="A490" s="13" t="s">
        <v>250</v>
      </c>
      <c r="B490" s="8"/>
      <c r="C490" s="9"/>
      <c r="D490" s="10"/>
      <c r="E490" s="21"/>
      <c r="F490" s="22"/>
      <c r="G490" s="6"/>
    </row>
    <row r="491" spans="1:7" x14ac:dyDescent="0.35">
      <c r="A491" s="13" t="s">
        <v>251</v>
      </c>
      <c r="B491" s="8"/>
      <c r="C491" s="9"/>
      <c r="D491" s="10"/>
      <c r="E491" s="21"/>
      <c r="F491" s="22"/>
      <c r="G491" s="6"/>
    </row>
    <row r="492" spans="1:7" x14ac:dyDescent="0.35">
      <c r="A492" s="13" t="s">
        <v>252</v>
      </c>
      <c r="B492" s="8"/>
      <c r="C492" s="9"/>
      <c r="D492" s="10"/>
      <c r="E492" s="21"/>
      <c r="F492" s="22"/>
      <c r="G492" s="6"/>
    </row>
    <row r="493" spans="1:7" x14ac:dyDescent="0.35">
      <c r="A493" s="13" t="s">
        <v>253</v>
      </c>
      <c r="B493" s="8"/>
      <c r="C493" s="9"/>
      <c r="D493" s="10"/>
      <c r="E493" s="21"/>
      <c r="F493" s="22"/>
      <c r="G493" s="6"/>
    </row>
    <row r="494" spans="1:7" x14ac:dyDescent="0.35">
      <c r="A494" s="13" t="s">
        <v>254</v>
      </c>
      <c r="B494" s="8"/>
      <c r="C494" s="9"/>
      <c r="D494" s="10"/>
      <c r="E494" s="21"/>
      <c r="F494" s="22"/>
      <c r="G494" s="6"/>
    </row>
    <row r="495" spans="1:7" x14ac:dyDescent="0.35">
      <c r="A495" s="13" t="s">
        <v>255</v>
      </c>
      <c r="B495" s="8"/>
      <c r="C495" s="9"/>
      <c r="D495" s="10"/>
      <c r="E495" s="21"/>
      <c r="F495" s="22"/>
      <c r="G495" s="6"/>
    </row>
    <row r="496" spans="1:7" x14ac:dyDescent="0.35">
      <c r="A496" s="13" t="s">
        <v>256</v>
      </c>
      <c r="B496" s="8"/>
      <c r="C496" s="9"/>
      <c r="D496" s="10"/>
      <c r="E496" s="21"/>
      <c r="F496" s="22"/>
      <c r="G496" s="6"/>
    </row>
    <row r="497" spans="1:7" x14ac:dyDescent="0.35">
      <c r="A497" s="13" t="s">
        <v>257</v>
      </c>
      <c r="B497" s="8"/>
      <c r="C497" s="9"/>
      <c r="D497" s="10"/>
      <c r="E497" s="21"/>
      <c r="F497" s="22"/>
      <c r="G497" s="6"/>
    </row>
    <row r="498" spans="1:7" x14ac:dyDescent="0.35">
      <c r="A498" s="13" t="s">
        <v>258</v>
      </c>
      <c r="B498" s="8"/>
      <c r="C498" s="9"/>
      <c r="D498" s="10"/>
      <c r="E498" s="21"/>
      <c r="F498" s="22"/>
      <c r="G498" s="6"/>
    </row>
    <row r="499" spans="1:7" x14ac:dyDescent="0.35">
      <c r="A499" s="13" t="s">
        <v>259</v>
      </c>
      <c r="B499" s="8"/>
      <c r="C499" s="9"/>
      <c r="D499" s="10"/>
      <c r="E499" s="21"/>
      <c r="F499" s="22"/>
      <c r="G499" s="6"/>
    </row>
    <row r="500" spans="1:7" x14ac:dyDescent="0.35">
      <c r="A500" s="13" t="s">
        <v>260</v>
      </c>
      <c r="B500" s="8"/>
      <c r="C500" s="9"/>
      <c r="D500" s="10"/>
      <c r="E500" s="21"/>
      <c r="F500" s="22"/>
      <c r="G500" s="6"/>
    </row>
    <row r="501" spans="1:7" x14ac:dyDescent="0.35">
      <c r="A501" s="13" t="s">
        <v>261</v>
      </c>
      <c r="B501" s="8"/>
      <c r="C501" s="9"/>
      <c r="D501" s="10"/>
      <c r="E501" s="21"/>
      <c r="F501" s="22"/>
      <c r="G501" s="6"/>
    </row>
    <row r="502" spans="1:7" x14ac:dyDescent="0.35">
      <c r="A502" s="13" t="s">
        <v>262</v>
      </c>
      <c r="B502" s="8"/>
      <c r="C502" s="9"/>
      <c r="D502" s="10"/>
      <c r="E502" s="21"/>
      <c r="F502" s="22"/>
      <c r="G502" s="6"/>
    </row>
    <row r="503" spans="1:7" x14ac:dyDescent="0.35">
      <c r="A503" s="13" t="s">
        <v>263</v>
      </c>
      <c r="B503" s="8"/>
      <c r="C503" s="9"/>
      <c r="D503" s="10"/>
      <c r="E503" s="21"/>
      <c r="F503" s="22"/>
      <c r="G503" s="6"/>
    </row>
    <row r="504" spans="1:7" x14ac:dyDescent="0.35">
      <c r="A504" s="13" t="s">
        <v>264</v>
      </c>
      <c r="B504" s="8"/>
      <c r="C504" s="9"/>
      <c r="D504" s="10"/>
      <c r="E504" s="21"/>
      <c r="F504" s="22"/>
      <c r="G504" s="6"/>
    </row>
    <row r="505" spans="1:7" x14ac:dyDescent="0.35">
      <c r="A505" s="13" t="s">
        <v>265</v>
      </c>
      <c r="B505" s="8"/>
      <c r="C505" s="9"/>
      <c r="D505" s="10"/>
      <c r="E505" s="21"/>
      <c r="F505" s="22"/>
      <c r="G505" s="6"/>
    </row>
    <row r="506" spans="1:7" x14ac:dyDescent="0.35">
      <c r="A506" s="13" t="s">
        <v>266</v>
      </c>
      <c r="B506" s="8"/>
      <c r="C506" s="9"/>
      <c r="D506" s="10"/>
      <c r="E506" s="21"/>
      <c r="F506" s="22"/>
      <c r="G506" s="6"/>
    </row>
    <row r="507" spans="1:7" x14ac:dyDescent="0.35">
      <c r="A507" s="13" t="s">
        <v>267</v>
      </c>
      <c r="B507" s="8"/>
      <c r="C507" s="9"/>
      <c r="D507" s="10"/>
      <c r="E507" s="21"/>
      <c r="F507" s="22"/>
      <c r="G507" s="6"/>
    </row>
    <row r="508" spans="1:7" x14ac:dyDescent="0.35">
      <c r="A508" s="13" t="s">
        <v>268</v>
      </c>
      <c r="B508" s="8"/>
      <c r="C508" s="9"/>
      <c r="D508" s="10"/>
      <c r="E508" s="21"/>
      <c r="F508" s="22"/>
      <c r="G508" s="6"/>
    </row>
    <row r="509" spans="1:7" x14ac:dyDescent="0.35">
      <c r="A509" s="13" t="s">
        <v>269</v>
      </c>
      <c r="B509" s="8"/>
      <c r="C509" s="9"/>
      <c r="D509" s="10"/>
      <c r="E509" s="21"/>
      <c r="F509" s="22"/>
      <c r="G509" s="6"/>
    </row>
    <row r="510" spans="1:7" x14ac:dyDescent="0.35">
      <c r="A510" s="13" t="s">
        <v>270</v>
      </c>
      <c r="B510" s="8"/>
      <c r="C510" s="9"/>
      <c r="D510" s="10"/>
      <c r="E510" s="21"/>
      <c r="F510" s="22"/>
      <c r="G510" s="6"/>
    </row>
    <row r="511" spans="1:7" x14ac:dyDescent="0.35">
      <c r="A511" s="13" t="s">
        <v>271</v>
      </c>
      <c r="B511" s="8"/>
      <c r="C511" s="9"/>
      <c r="D511" s="10"/>
      <c r="E511" s="21"/>
      <c r="F511" s="22"/>
      <c r="G511" s="6"/>
    </row>
    <row r="512" spans="1:7" x14ac:dyDescent="0.35">
      <c r="A512" s="2"/>
      <c r="B512" s="2"/>
      <c r="C512" s="2"/>
      <c r="D512" s="2"/>
      <c r="E512" s="2"/>
      <c r="F512" s="2"/>
      <c r="G512" s="2"/>
    </row>
    <row r="513" spans="1:7" x14ac:dyDescent="0.35">
      <c r="A513" s="13" t="s">
        <v>22</v>
      </c>
      <c r="B513" s="15" t="s">
        <v>0</v>
      </c>
      <c r="C513" s="16" t="s">
        <v>1</v>
      </c>
      <c r="D513" s="17" t="s">
        <v>2</v>
      </c>
      <c r="E513" s="24" t="s">
        <v>3</v>
      </c>
      <c r="F513" s="23" t="s">
        <v>4</v>
      </c>
      <c r="G513" s="18" t="s">
        <v>5</v>
      </c>
    </row>
    <row r="514" spans="1:7" x14ac:dyDescent="0.35">
      <c r="A514" s="13" t="s">
        <v>242</v>
      </c>
      <c r="B514" s="8"/>
      <c r="C514" s="9"/>
      <c r="D514" s="10"/>
      <c r="E514" s="21"/>
      <c r="F514" s="22"/>
      <c r="G514" s="6"/>
    </row>
    <row r="515" spans="1:7" x14ac:dyDescent="0.35">
      <c r="A515" s="13" t="s">
        <v>243</v>
      </c>
      <c r="B515" s="8"/>
      <c r="C515" s="9"/>
      <c r="D515" s="10"/>
      <c r="E515" s="21"/>
      <c r="F515" s="22"/>
      <c r="G515" s="6"/>
    </row>
    <row r="516" spans="1:7" x14ac:dyDescent="0.35">
      <c r="A516" s="13" t="s">
        <v>244</v>
      </c>
      <c r="B516" s="8"/>
      <c r="C516" s="9"/>
      <c r="D516" s="10"/>
      <c r="E516" s="21"/>
      <c r="F516" s="22"/>
      <c r="G516" s="6"/>
    </row>
    <row r="517" spans="1:7" x14ac:dyDescent="0.35">
      <c r="A517" s="13" t="s">
        <v>245</v>
      </c>
      <c r="B517" s="8"/>
      <c r="C517" s="9"/>
      <c r="D517" s="10"/>
      <c r="E517" s="21"/>
      <c r="F517" s="22"/>
      <c r="G517" s="6"/>
    </row>
    <row r="518" spans="1:7" x14ac:dyDescent="0.35">
      <c r="A518" s="13" t="s">
        <v>246</v>
      </c>
      <c r="B518" s="8"/>
      <c r="C518" s="9"/>
      <c r="D518" s="10"/>
      <c r="E518" s="21"/>
      <c r="F518" s="22"/>
      <c r="G518" s="6"/>
    </row>
    <row r="519" spans="1:7" x14ac:dyDescent="0.35">
      <c r="A519" s="13" t="s">
        <v>247</v>
      </c>
      <c r="B519" s="8"/>
      <c r="C519" s="9"/>
      <c r="D519" s="10"/>
      <c r="E519" s="21"/>
      <c r="F519" s="22"/>
      <c r="G519" s="6"/>
    </row>
    <row r="520" spans="1:7" x14ac:dyDescent="0.35">
      <c r="A520" s="13" t="s">
        <v>248</v>
      </c>
      <c r="B520" s="8"/>
      <c r="C520" s="9"/>
      <c r="D520" s="10"/>
      <c r="E520" s="21"/>
      <c r="F520" s="22"/>
      <c r="G520" s="6"/>
    </row>
    <row r="521" spans="1:7" x14ac:dyDescent="0.35">
      <c r="A521" s="13" t="s">
        <v>249</v>
      </c>
      <c r="B521" s="8"/>
      <c r="C521" s="9"/>
      <c r="D521" s="10"/>
      <c r="E521" s="21"/>
      <c r="F521" s="22"/>
      <c r="G521" s="6"/>
    </row>
    <row r="522" spans="1:7" x14ac:dyDescent="0.35">
      <c r="A522" s="13" t="s">
        <v>250</v>
      </c>
      <c r="B522" s="8"/>
      <c r="C522" s="9"/>
      <c r="D522" s="10"/>
      <c r="E522" s="21"/>
      <c r="F522" s="22"/>
      <c r="G522" s="6"/>
    </row>
    <row r="523" spans="1:7" x14ac:dyDescent="0.35">
      <c r="A523" s="13" t="s">
        <v>251</v>
      </c>
      <c r="B523" s="8"/>
      <c r="C523" s="9"/>
      <c r="D523" s="10"/>
      <c r="E523" s="21"/>
      <c r="F523" s="22"/>
      <c r="G523" s="6"/>
    </row>
    <row r="524" spans="1:7" x14ac:dyDescent="0.35">
      <c r="A524" s="13" t="s">
        <v>252</v>
      </c>
      <c r="B524" s="8"/>
      <c r="C524" s="9"/>
      <c r="D524" s="10"/>
      <c r="E524" s="21"/>
      <c r="F524" s="22"/>
      <c r="G524" s="6"/>
    </row>
    <row r="525" spans="1:7" x14ac:dyDescent="0.35">
      <c r="A525" s="13" t="s">
        <v>253</v>
      </c>
      <c r="B525" s="8"/>
      <c r="C525" s="9"/>
      <c r="D525" s="10"/>
      <c r="E525" s="21"/>
      <c r="F525" s="22"/>
      <c r="G525" s="6"/>
    </row>
    <row r="526" spans="1:7" x14ac:dyDescent="0.35">
      <c r="A526" s="13" t="s">
        <v>254</v>
      </c>
      <c r="B526" s="8"/>
      <c r="C526" s="9"/>
      <c r="D526" s="10"/>
      <c r="E526" s="21"/>
      <c r="F526" s="22"/>
      <c r="G526" s="6"/>
    </row>
    <row r="527" spans="1:7" x14ac:dyDescent="0.35">
      <c r="A527" s="13" t="s">
        <v>255</v>
      </c>
      <c r="B527" s="8"/>
      <c r="C527" s="9"/>
      <c r="D527" s="10"/>
      <c r="E527" s="21"/>
      <c r="F527" s="22"/>
      <c r="G527" s="6"/>
    </row>
    <row r="528" spans="1:7" x14ac:dyDescent="0.35">
      <c r="A528" s="13" t="s">
        <v>256</v>
      </c>
      <c r="B528" s="8"/>
      <c r="C528" s="9"/>
      <c r="D528" s="10"/>
      <c r="E528" s="21"/>
      <c r="F528" s="22"/>
      <c r="G528" s="6"/>
    </row>
    <row r="529" spans="1:7" x14ac:dyDescent="0.35">
      <c r="A529" s="13" t="s">
        <v>257</v>
      </c>
      <c r="B529" s="8"/>
      <c r="C529" s="9"/>
      <c r="D529" s="10"/>
      <c r="E529" s="21"/>
      <c r="F529" s="22"/>
      <c r="G529" s="6"/>
    </row>
    <row r="530" spans="1:7" x14ac:dyDescent="0.35">
      <c r="A530" s="13" t="s">
        <v>258</v>
      </c>
      <c r="B530" s="8"/>
      <c r="C530" s="9"/>
      <c r="D530" s="10"/>
      <c r="E530" s="21"/>
      <c r="F530" s="22"/>
      <c r="G530" s="6"/>
    </row>
    <row r="531" spans="1:7" x14ac:dyDescent="0.35">
      <c r="A531" s="13" t="s">
        <v>259</v>
      </c>
      <c r="B531" s="8"/>
      <c r="C531" s="9"/>
      <c r="D531" s="10"/>
      <c r="E531" s="21"/>
      <c r="F531" s="22"/>
      <c r="G531" s="6"/>
    </row>
    <row r="532" spans="1:7" x14ac:dyDescent="0.35">
      <c r="A532" s="13" t="s">
        <v>260</v>
      </c>
      <c r="B532" s="8"/>
      <c r="C532" s="9"/>
      <c r="D532" s="10"/>
      <c r="E532" s="21"/>
      <c r="F532" s="22"/>
      <c r="G532" s="6"/>
    </row>
    <row r="533" spans="1:7" x14ac:dyDescent="0.35">
      <c r="A533" s="13" t="s">
        <v>261</v>
      </c>
      <c r="B533" s="8"/>
      <c r="C533" s="9"/>
      <c r="D533" s="10"/>
      <c r="E533" s="21"/>
      <c r="F533" s="22"/>
      <c r="G533" s="6"/>
    </row>
    <row r="534" spans="1:7" x14ac:dyDescent="0.35">
      <c r="A534" s="13" t="s">
        <v>262</v>
      </c>
      <c r="B534" s="8"/>
      <c r="C534" s="9"/>
      <c r="D534" s="10"/>
      <c r="E534" s="21"/>
      <c r="F534" s="22"/>
      <c r="G534" s="6"/>
    </row>
    <row r="535" spans="1:7" x14ac:dyDescent="0.35">
      <c r="A535" s="13" t="s">
        <v>263</v>
      </c>
      <c r="B535" s="8"/>
      <c r="C535" s="9"/>
      <c r="D535" s="10"/>
      <c r="E535" s="21"/>
      <c r="F535" s="22"/>
      <c r="G535" s="6"/>
    </row>
    <row r="536" spans="1:7" x14ac:dyDescent="0.35">
      <c r="A536" s="13" t="s">
        <v>264</v>
      </c>
      <c r="B536" s="8"/>
      <c r="C536" s="9"/>
      <c r="D536" s="10"/>
      <c r="E536" s="21"/>
      <c r="F536" s="22"/>
      <c r="G536" s="6"/>
    </row>
    <row r="537" spans="1:7" x14ac:dyDescent="0.35">
      <c r="A537" s="13" t="s">
        <v>265</v>
      </c>
      <c r="B537" s="8"/>
      <c r="C537" s="9"/>
      <c r="D537" s="10"/>
      <c r="E537" s="21"/>
      <c r="F537" s="22"/>
      <c r="G537" s="6"/>
    </row>
    <row r="538" spans="1:7" x14ac:dyDescent="0.35">
      <c r="A538" s="13" t="s">
        <v>266</v>
      </c>
      <c r="B538" s="8"/>
      <c r="C538" s="9"/>
      <c r="D538" s="10"/>
      <c r="E538" s="21"/>
      <c r="F538" s="22"/>
      <c r="G538" s="6"/>
    </row>
    <row r="539" spans="1:7" x14ac:dyDescent="0.35">
      <c r="A539" s="13" t="s">
        <v>267</v>
      </c>
      <c r="B539" s="8"/>
      <c r="C539" s="9"/>
      <c r="D539" s="10"/>
      <c r="E539" s="21"/>
      <c r="F539" s="22"/>
      <c r="G539" s="6"/>
    </row>
    <row r="540" spans="1:7" x14ac:dyDescent="0.35">
      <c r="A540" s="13" t="s">
        <v>268</v>
      </c>
      <c r="B540" s="8"/>
      <c r="C540" s="9"/>
      <c r="D540" s="10"/>
      <c r="E540" s="21"/>
      <c r="F540" s="22"/>
      <c r="G540" s="6"/>
    </row>
    <row r="541" spans="1:7" x14ac:dyDescent="0.35">
      <c r="A541" s="13" t="s">
        <v>269</v>
      </c>
      <c r="B541" s="8"/>
      <c r="C541" s="9"/>
      <c r="D541" s="10"/>
      <c r="E541" s="21"/>
      <c r="F541" s="22"/>
      <c r="G541" s="6"/>
    </row>
    <row r="542" spans="1:7" x14ac:dyDescent="0.35">
      <c r="A542" s="13" t="s">
        <v>270</v>
      </c>
      <c r="B542" s="8"/>
      <c r="C542" s="9"/>
      <c r="D542" s="10"/>
      <c r="E542" s="21"/>
      <c r="F542" s="22"/>
      <c r="G542" s="6"/>
    </row>
    <row r="543" spans="1:7" x14ac:dyDescent="0.35">
      <c r="A543" s="13" t="s">
        <v>271</v>
      </c>
      <c r="B543" s="8"/>
      <c r="C543" s="9"/>
      <c r="D543" s="10"/>
      <c r="E543" s="21"/>
      <c r="F543" s="22"/>
      <c r="G543" s="6"/>
    </row>
    <row r="544" spans="1:7" x14ac:dyDescent="0.35">
      <c r="A544" s="2"/>
      <c r="B544" s="2"/>
      <c r="C544" s="2"/>
      <c r="D544" s="2"/>
      <c r="E544" s="2"/>
      <c r="F544" s="2"/>
      <c r="G544" s="2"/>
    </row>
    <row r="545" spans="1:7" x14ac:dyDescent="0.35">
      <c r="A545" s="13" t="s">
        <v>23</v>
      </c>
      <c r="B545" s="15" t="s">
        <v>0</v>
      </c>
      <c r="C545" s="16" t="s">
        <v>1</v>
      </c>
      <c r="D545" s="17" t="s">
        <v>2</v>
      </c>
      <c r="E545" s="24" t="s">
        <v>3</v>
      </c>
      <c r="F545" s="23" t="s">
        <v>4</v>
      </c>
      <c r="G545" s="18" t="s">
        <v>5</v>
      </c>
    </row>
    <row r="546" spans="1:7" x14ac:dyDescent="0.35">
      <c r="A546" s="13" t="s">
        <v>242</v>
      </c>
      <c r="B546" s="8"/>
      <c r="C546" s="9"/>
      <c r="D546" s="10"/>
      <c r="E546" s="21"/>
      <c r="F546" s="22"/>
      <c r="G546" s="6"/>
    </row>
    <row r="547" spans="1:7" x14ac:dyDescent="0.35">
      <c r="A547" s="13" t="s">
        <v>243</v>
      </c>
      <c r="B547" s="8"/>
      <c r="C547" s="9"/>
      <c r="D547" s="10"/>
      <c r="E547" s="21"/>
      <c r="F547" s="22"/>
      <c r="G547" s="6"/>
    </row>
    <row r="548" spans="1:7" x14ac:dyDescent="0.35">
      <c r="A548" s="13" t="s">
        <v>244</v>
      </c>
      <c r="B548" s="8"/>
      <c r="C548" s="9"/>
      <c r="D548" s="10"/>
      <c r="E548" s="21"/>
      <c r="F548" s="22"/>
      <c r="G548" s="6"/>
    </row>
    <row r="549" spans="1:7" x14ac:dyDescent="0.35">
      <c r="A549" s="13" t="s">
        <v>245</v>
      </c>
      <c r="B549" s="8"/>
      <c r="C549" s="9"/>
      <c r="D549" s="10"/>
      <c r="E549" s="21"/>
      <c r="F549" s="22"/>
      <c r="G549" s="6"/>
    </row>
    <row r="550" spans="1:7" x14ac:dyDescent="0.35">
      <c r="A550" s="13" t="s">
        <v>246</v>
      </c>
      <c r="B550" s="8"/>
      <c r="C550" s="9"/>
      <c r="D550" s="10"/>
      <c r="E550" s="21"/>
      <c r="F550" s="22"/>
      <c r="G550" s="6"/>
    </row>
    <row r="551" spans="1:7" x14ac:dyDescent="0.35">
      <c r="A551" s="13" t="s">
        <v>247</v>
      </c>
      <c r="B551" s="8"/>
      <c r="C551" s="9"/>
      <c r="D551" s="10"/>
      <c r="E551" s="21"/>
      <c r="F551" s="22"/>
      <c r="G551" s="6"/>
    </row>
    <row r="552" spans="1:7" x14ac:dyDescent="0.35">
      <c r="A552" s="13" t="s">
        <v>248</v>
      </c>
      <c r="B552" s="8"/>
      <c r="C552" s="9"/>
      <c r="D552" s="10"/>
      <c r="E552" s="21"/>
      <c r="F552" s="22"/>
      <c r="G552" s="6"/>
    </row>
    <row r="553" spans="1:7" x14ac:dyDescent="0.35">
      <c r="A553" s="13" t="s">
        <v>249</v>
      </c>
      <c r="B553" s="8"/>
      <c r="C553" s="9"/>
      <c r="D553" s="10"/>
      <c r="E553" s="21"/>
      <c r="F553" s="22"/>
      <c r="G553" s="6"/>
    </row>
    <row r="554" spans="1:7" x14ac:dyDescent="0.35">
      <c r="A554" s="13" t="s">
        <v>250</v>
      </c>
      <c r="B554" s="8"/>
      <c r="C554" s="9"/>
      <c r="D554" s="10"/>
      <c r="E554" s="21"/>
      <c r="F554" s="22"/>
      <c r="G554" s="6"/>
    </row>
    <row r="555" spans="1:7" x14ac:dyDescent="0.35">
      <c r="A555" s="13" t="s">
        <v>251</v>
      </c>
      <c r="B555" s="8"/>
      <c r="C555" s="9"/>
      <c r="D555" s="10"/>
      <c r="E555" s="21"/>
      <c r="F555" s="22"/>
      <c r="G555" s="6"/>
    </row>
    <row r="556" spans="1:7" x14ac:dyDescent="0.35">
      <c r="A556" s="13" t="s">
        <v>252</v>
      </c>
      <c r="B556" s="8"/>
      <c r="C556" s="9"/>
      <c r="D556" s="10"/>
      <c r="E556" s="21"/>
      <c r="F556" s="22"/>
      <c r="G556" s="6"/>
    </row>
    <row r="557" spans="1:7" x14ac:dyDescent="0.35">
      <c r="A557" s="13" t="s">
        <v>253</v>
      </c>
      <c r="B557" s="8"/>
      <c r="C557" s="9"/>
      <c r="D557" s="10"/>
      <c r="E557" s="21"/>
      <c r="F557" s="22"/>
      <c r="G557" s="6"/>
    </row>
    <row r="558" spans="1:7" x14ac:dyDescent="0.35">
      <c r="A558" s="13" t="s">
        <v>254</v>
      </c>
      <c r="B558" s="8"/>
      <c r="C558" s="9"/>
      <c r="D558" s="10"/>
      <c r="E558" s="21"/>
      <c r="F558" s="22"/>
      <c r="G558" s="6"/>
    </row>
    <row r="559" spans="1:7" x14ac:dyDescent="0.35">
      <c r="A559" s="13" t="s">
        <v>255</v>
      </c>
      <c r="B559" s="8"/>
      <c r="C559" s="9"/>
      <c r="D559" s="10"/>
      <c r="E559" s="21"/>
      <c r="F559" s="22"/>
      <c r="G559" s="6"/>
    </row>
    <row r="560" spans="1:7" x14ac:dyDescent="0.35">
      <c r="A560" s="13" t="s">
        <v>256</v>
      </c>
      <c r="B560" s="8"/>
      <c r="C560" s="9"/>
      <c r="D560" s="10"/>
      <c r="E560" s="21"/>
      <c r="F560" s="22"/>
      <c r="G560" s="6"/>
    </row>
    <row r="561" spans="1:7" x14ac:dyDescent="0.35">
      <c r="A561" s="13" t="s">
        <v>257</v>
      </c>
      <c r="B561" s="8"/>
      <c r="C561" s="9"/>
      <c r="D561" s="10"/>
      <c r="E561" s="21"/>
      <c r="F561" s="22"/>
      <c r="G561" s="6"/>
    </row>
    <row r="562" spans="1:7" x14ac:dyDescent="0.35">
      <c r="A562" s="13" t="s">
        <v>258</v>
      </c>
      <c r="B562" s="8"/>
      <c r="C562" s="9"/>
      <c r="D562" s="10"/>
      <c r="E562" s="21"/>
      <c r="F562" s="22"/>
      <c r="G562" s="6"/>
    </row>
    <row r="563" spans="1:7" x14ac:dyDescent="0.35">
      <c r="A563" s="13" t="s">
        <v>259</v>
      </c>
      <c r="B563" s="8"/>
      <c r="C563" s="9"/>
      <c r="D563" s="10"/>
      <c r="E563" s="21"/>
      <c r="F563" s="22"/>
      <c r="G563" s="6"/>
    </row>
    <row r="564" spans="1:7" x14ac:dyDescent="0.35">
      <c r="A564" s="13" t="s">
        <v>260</v>
      </c>
      <c r="B564" s="8"/>
      <c r="C564" s="9"/>
      <c r="D564" s="10"/>
      <c r="E564" s="21"/>
      <c r="F564" s="22"/>
      <c r="G564" s="6"/>
    </row>
    <row r="565" spans="1:7" x14ac:dyDescent="0.35">
      <c r="A565" s="13" t="s">
        <v>261</v>
      </c>
      <c r="B565" s="8"/>
      <c r="C565" s="9"/>
      <c r="D565" s="10"/>
      <c r="E565" s="21"/>
      <c r="F565" s="22"/>
      <c r="G565" s="6"/>
    </row>
    <row r="566" spans="1:7" x14ac:dyDescent="0.35">
      <c r="A566" s="13" t="s">
        <v>262</v>
      </c>
      <c r="B566" s="8"/>
      <c r="C566" s="9"/>
      <c r="D566" s="10"/>
      <c r="E566" s="21"/>
      <c r="F566" s="22"/>
      <c r="G566" s="6"/>
    </row>
    <row r="567" spans="1:7" x14ac:dyDescent="0.35">
      <c r="A567" s="13" t="s">
        <v>263</v>
      </c>
      <c r="B567" s="8"/>
      <c r="C567" s="9"/>
      <c r="D567" s="10"/>
      <c r="E567" s="21"/>
      <c r="F567" s="22"/>
      <c r="G567" s="6"/>
    </row>
    <row r="568" spans="1:7" x14ac:dyDescent="0.35">
      <c r="A568" s="13" t="s">
        <v>264</v>
      </c>
      <c r="B568" s="8"/>
      <c r="C568" s="9"/>
      <c r="D568" s="10"/>
      <c r="E568" s="21"/>
      <c r="F568" s="22"/>
      <c r="G568" s="6"/>
    </row>
    <row r="569" spans="1:7" x14ac:dyDescent="0.35">
      <c r="A569" s="13" t="s">
        <v>265</v>
      </c>
      <c r="B569" s="8"/>
      <c r="C569" s="9"/>
      <c r="D569" s="10"/>
      <c r="E569" s="21"/>
      <c r="F569" s="22"/>
      <c r="G569" s="6"/>
    </row>
    <row r="570" spans="1:7" x14ac:dyDescent="0.35">
      <c r="A570" s="13" t="s">
        <v>266</v>
      </c>
      <c r="B570" s="8"/>
      <c r="C570" s="9"/>
      <c r="D570" s="10"/>
      <c r="E570" s="21"/>
      <c r="F570" s="22"/>
      <c r="G570" s="6"/>
    </row>
    <row r="571" spans="1:7" x14ac:dyDescent="0.35">
      <c r="A571" s="13" t="s">
        <v>267</v>
      </c>
      <c r="B571" s="8"/>
      <c r="C571" s="9"/>
      <c r="D571" s="10"/>
      <c r="E571" s="21"/>
      <c r="F571" s="22"/>
      <c r="G571" s="6"/>
    </row>
    <row r="572" spans="1:7" x14ac:dyDescent="0.35">
      <c r="A572" s="13" t="s">
        <v>268</v>
      </c>
      <c r="B572" s="8"/>
      <c r="C572" s="9"/>
      <c r="D572" s="10"/>
      <c r="E572" s="21"/>
      <c r="F572" s="22"/>
      <c r="G572" s="6"/>
    </row>
    <row r="573" spans="1:7" x14ac:dyDescent="0.35">
      <c r="A573" s="13" t="s">
        <v>269</v>
      </c>
      <c r="B573" s="8"/>
      <c r="C573" s="9"/>
      <c r="D573" s="10"/>
      <c r="E573" s="21"/>
      <c r="F573" s="22"/>
      <c r="G573" s="6"/>
    </row>
    <row r="574" spans="1:7" x14ac:dyDescent="0.35">
      <c r="A574" s="13" t="s">
        <v>270</v>
      </c>
      <c r="B574" s="8"/>
      <c r="C574" s="9"/>
      <c r="D574" s="10"/>
      <c r="E574" s="21"/>
      <c r="F574" s="22"/>
      <c r="G574" s="6"/>
    </row>
    <row r="575" spans="1:7" x14ac:dyDescent="0.35">
      <c r="A575" s="13" t="s">
        <v>271</v>
      </c>
      <c r="B575" s="8"/>
      <c r="C575" s="9"/>
      <c r="D575" s="10"/>
      <c r="E575" s="21"/>
      <c r="F575" s="22"/>
      <c r="G575" s="6"/>
    </row>
    <row r="576" spans="1:7" x14ac:dyDescent="0.35">
      <c r="A576" s="2"/>
      <c r="B576" s="2"/>
      <c r="C576" s="2"/>
      <c r="D576" s="2"/>
      <c r="E576" s="2"/>
      <c r="F576" s="2"/>
      <c r="G576" s="2"/>
    </row>
    <row r="577" spans="1:7" x14ac:dyDescent="0.35">
      <c r="A577" s="13" t="s">
        <v>24</v>
      </c>
      <c r="B577" s="15" t="s">
        <v>0</v>
      </c>
      <c r="C577" s="16" t="s">
        <v>1</v>
      </c>
      <c r="D577" s="17" t="s">
        <v>2</v>
      </c>
      <c r="E577" s="24" t="s">
        <v>3</v>
      </c>
      <c r="F577" s="23" t="s">
        <v>4</v>
      </c>
      <c r="G577" s="18" t="s">
        <v>5</v>
      </c>
    </row>
    <row r="578" spans="1:7" x14ac:dyDescent="0.35">
      <c r="A578" s="13" t="s">
        <v>242</v>
      </c>
      <c r="B578" s="8"/>
      <c r="C578" s="9"/>
      <c r="D578" s="10"/>
      <c r="E578" s="21"/>
      <c r="F578" s="22"/>
      <c r="G578" s="6"/>
    </row>
    <row r="579" spans="1:7" x14ac:dyDescent="0.35">
      <c r="A579" s="13" t="s">
        <v>243</v>
      </c>
      <c r="B579" s="8"/>
      <c r="C579" s="9"/>
      <c r="D579" s="10"/>
      <c r="E579" s="21"/>
      <c r="F579" s="22"/>
      <c r="G579" s="6"/>
    </row>
    <row r="580" spans="1:7" x14ac:dyDescent="0.35">
      <c r="A580" s="13" t="s">
        <v>244</v>
      </c>
      <c r="B580" s="8"/>
      <c r="C580" s="9"/>
      <c r="D580" s="10"/>
      <c r="E580" s="21"/>
      <c r="F580" s="22"/>
      <c r="G580" s="6"/>
    </row>
    <row r="581" spans="1:7" x14ac:dyDescent="0.35">
      <c r="A581" s="13" t="s">
        <v>245</v>
      </c>
      <c r="B581" s="8"/>
      <c r="C581" s="9"/>
      <c r="D581" s="10"/>
      <c r="E581" s="21"/>
      <c r="F581" s="22"/>
      <c r="G581" s="6"/>
    </row>
    <row r="582" spans="1:7" x14ac:dyDescent="0.35">
      <c r="A582" s="13" t="s">
        <v>246</v>
      </c>
      <c r="B582" s="8"/>
      <c r="C582" s="9"/>
      <c r="D582" s="10"/>
      <c r="E582" s="21"/>
      <c r="F582" s="22"/>
      <c r="G582" s="6"/>
    </row>
    <row r="583" spans="1:7" x14ac:dyDescent="0.35">
      <c r="A583" s="13" t="s">
        <v>247</v>
      </c>
      <c r="B583" s="8"/>
      <c r="C583" s="9"/>
      <c r="D583" s="10"/>
      <c r="E583" s="21"/>
      <c r="F583" s="22"/>
      <c r="G583" s="6"/>
    </row>
    <row r="584" spans="1:7" x14ac:dyDescent="0.35">
      <c r="A584" s="13" t="s">
        <v>248</v>
      </c>
      <c r="B584" s="8"/>
      <c r="C584" s="9"/>
      <c r="D584" s="10"/>
      <c r="E584" s="21"/>
      <c r="F584" s="22"/>
      <c r="G584" s="6"/>
    </row>
    <row r="585" spans="1:7" x14ac:dyDescent="0.35">
      <c r="A585" s="13" t="s">
        <v>249</v>
      </c>
      <c r="B585" s="8"/>
      <c r="C585" s="9"/>
      <c r="D585" s="10"/>
      <c r="E585" s="21"/>
      <c r="F585" s="22"/>
      <c r="G585" s="6"/>
    </row>
    <row r="586" spans="1:7" x14ac:dyDescent="0.35">
      <c r="A586" s="13" t="s">
        <v>250</v>
      </c>
      <c r="B586" s="8"/>
      <c r="C586" s="9"/>
      <c r="D586" s="10"/>
      <c r="E586" s="21"/>
      <c r="F586" s="22"/>
      <c r="G586" s="6"/>
    </row>
    <row r="587" spans="1:7" x14ac:dyDescent="0.35">
      <c r="A587" s="13" t="s">
        <v>251</v>
      </c>
      <c r="B587" s="8"/>
      <c r="C587" s="9"/>
      <c r="D587" s="10"/>
      <c r="E587" s="21"/>
      <c r="F587" s="22"/>
      <c r="G587" s="6"/>
    </row>
    <row r="588" spans="1:7" x14ac:dyDescent="0.35">
      <c r="A588" s="13" t="s">
        <v>252</v>
      </c>
      <c r="B588" s="8"/>
      <c r="C588" s="9"/>
      <c r="D588" s="10"/>
      <c r="E588" s="21"/>
      <c r="F588" s="22"/>
      <c r="G588" s="6"/>
    </row>
    <row r="589" spans="1:7" x14ac:dyDescent="0.35">
      <c r="A589" s="13" t="s">
        <v>253</v>
      </c>
      <c r="B589" s="8"/>
      <c r="C589" s="9"/>
      <c r="D589" s="10"/>
      <c r="E589" s="21"/>
      <c r="F589" s="22"/>
      <c r="G589" s="6"/>
    </row>
    <row r="590" spans="1:7" x14ac:dyDescent="0.35">
      <c r="A590" s="13" t="s">
        <v>254</v>
      </c>
      <c r="B590" s="8"/>
      <c r="C590" s="9"/>
      <c r="D590" s="10"/>
      <c r="E590" s="21"/>
      <c r="F590" s="22"/>
      <c r="G590" s="6"/>
    </row>
    <row r="591" spans="1:7" x14ac:dyDescent="0.35">
      <c r="A591" s="13" t="s">
        <v>255</v>
      </c>
      <c r="B591" s="8"/>
      <c r="C591" s="9"/>
      <c r="D591" s="10"/>
      <c r="E591" s="21"/>
      <c r="F591" s="22"/>
      <c r="G591" s="6"/>
    </row>
    <row r="592" spans="1:7" x14ac:dyDescent="0.35">
      <c r="A592" s="13" t="s">
        <v>256</v>
      </c>
      <c r="B592" s="8"/>
      <c r="C592" s="9"/>
      <c r="D592" s="10"/>
      <c r="E592" s="21"/>
      <c r="F592" s="22"/>
      <c r="G592" s="6"/>
    </row>
    <row r="593" spans="1:7" x14ac:dyDescent="0.35">
      <c r="A593" s="13" t="s">
        <v>257</v>
      </c>
      <c r="B593" s="8"/>
      <c r="C593" s="9"/>
      <c r="D593" s="10"/>
      <c r="E593" s="21"/>
      <c r="F593" s="22"/>
      <c r="G593" s="6"/>
    </row>
    <row r="594" spans="1:7" x14ac:dyDescent="0.35">
      <c r="A594" s="13" t="s">
        <v>258</v>
      </c>
      <c r="B594" s="8"/>
      <c r="C594" s="9"/>
      <c r="D594" s="10"/>
      <c r="E594" s="21"/>
      <c r="F594" s="22"/>
      <c r="G594" s="6"/>
    </row>
    <row r="595" spans="1:7" x14ac:dyDescent="0.35">
      <c r="A595" s="13" t="s">
        <v>259</v>
      </c>
      <c r="B595" s="8"/>
      <c r="C595" s="9"/>
      <c r="D595" s="10"/>
      <c r="E595" s="21"/>
      <c r="F595" s="22"/>
      <c r="G595" s="6"/>
    </row>
    <row r="596" spans="1:7" x14ac:dyDescent="0.35">
      <c r="A596" s="13" t="s">
        <v>260</v>
      </c>
      <c r="B596" s="8"/>
      <c r="C596" s="9"/>
      <c r="D596" s="10"/>
      <c r="E596" s="21"/>
      <c r="F596" s="22"/>
      <c r="G596" s="6"/>
    </row>
    <row r="597" spans="1:7" x14ac:dyDescent="0.35">
      <c r="A597" s="13" t="s">
        <v>261</v>
      </c>
      <c r="B597" s="8"/>
      <c r="C597" s="9"/>
      <c r="D597" s="10"/>
      <c r="E597" s="21"/>
      <c r="F597" s="22"/>
      <c r="G597" s="6"/>
    </row>
    <row r="598" spans="1:7" x14ac:dyDescent="0.35">
      <c r="A598" s="13" t="s">
        <v>262</v>
      </c>
      <c r="B598" s="8"/>
      <c r="C598" s="9"/>
      <c r="D598" s="10"/>
      <c r="E598" s="21"/>
      <c r="F598" s="22"/>
      <c r="G598" s="6"/>
    </row>
    <row r="599" spans="1:7" x14ac:dyDescent="0.35">
      <c r="A599" s="13" t="s">
        <v>263</v>
      </c>
      <c r="B599" s="8"/>
      <c r="C599" s="9"/>
      <c r="D599" s="10"/>
      <c r="E599" s="21"/>
      <c r="F599" s="22"/>
      <c r="G599" s="6"/>
    </row>
    <row r="600" spans="1:7" x14ac:dyDescent="0.35">
      <c r="A600" s="13" t="s">
        <v>264</v>
      </c>
      <c r="B600" s="8"/>
      <c r="C600" s="9"/>
      <c r="D600" s="10"/>
      <c r="E600" s="21"/>
      <c r="F600" s="22"/>
      <c r="G600" s="6"/>
    </row>
    <row r="601" spans="1:7" x14ac:dyDescent="0.35">
      <c r="A601" s="13" t="s">
        <v>265</v>
      </c>
      <c r="B601" s="8"/>
      <c r="C601" s="9"/>
      <c r="D601" s="10"/>
      <c r="E601" s="21"/>
      <c r="F601" s="22"/>
      <c r="G601" s="6"/>
    </row>
    <row r="602" spans="1:7" x14ac:dyDescent="0.35">
      <c r="A602" s="13" t="s">
        <v>266</v>
      </c>
      <c r="B602" s="8"/>
      <c r="C602" s="9"/>
      <c r="D602" s="10"/>
      <c r="E602" s="21"/>
      <c r="F602" s="22"/>
      <c r="G602" s="6"/>
    </row>
    <row r="603" spans="1:7" x14ac:dyDescent="0.35">
      <c r="A603" s="13" t="s">
        <v>267</v>
      </c>
      <c r="B603" s="8"/>
      <c r="C603" s="9"/>
      <c r="D603" s="10"/>
      <c r="E603" s="21"/>
      <c r="F603" s="22"/>
      <c r="G603" s="6"/>
    </row>
    <row r="604" spans="1:7" x14ac:dyDescent="0.35">
      <c r="A604" s="13" t="s">
        <v>268</v>
      </c>
      <c r="B604" s="8"/>
      <c r="C604" s="9"/>
      <c r="D604" s="10"/>
      <c r="E604" s="21"/>
      <c r="F604" s="22"/>
      <c r="G604" s="6"/>
    </row>
    <row r="605" spans="1:7" x14ac:dyDescent="0.35">
      <c r="A605" s="13" t="s">
        <v>269</v>
      </c>
      <c r="B605" s="8"/>
      <c r="C605" s="9"/>
      <c r="D605" s="10"/>
      <c r="E605" s="21"/>
      <c r="F605" s="22"/>
      <c r="G605" s="6"/>
    </row>
    <row r="606" spans="1:7" x14ac:dyDescent="0.35">
      <c r="A606" s="13" t="s">
        <v>270</v>
      </c>
      <c r="B606" s="8"/>
      <c r="C606" s="9"/>
      <c r="D606" s="10"/>
      <c r="E606" s="21"/>
      <c r="F606" s="22"/>
      <c r="G606" s="6"/>
    </row>
    <row r="607" spans="1:7" x14ac:dyDescent="0.35">
      <c r="A607" s="13" t="s">
        <v>271</v>
      </c>
      <c r="B607" s="8"/>
      <c r="C607" s="9"/>
      <c r="D607" s="10"/>
      <c r="E607" s="21"/>
      <c r="F607" s="22"/>
      <c r="G607" s="6"/>
    </row>
    <row r="608" spans="1:7" x14ac:dyDescent="0.35">
      <c r="A608" s="2"/>
      <c r="B608" s="2"/>
      <c r="C608" s="2"/>
      <c r="D608" s="2"/>
      <c r="E608" s="2"/>
      <c r="F608" s="2"/>
      <c r="G608" s="2"/>
    </row>
    <row r="609" spans="1:7" x14ac:dyDescent="0.35">
      <c r="A609" s="13" t="s">
        <v>25</v>
      </c>
      <c r="B609" s="15" t="s">
        <v>0</v>
      </c>
      <c r="C609" s="16" t="s">
        <v>1</v>
      </c>
      <c r="D609" s="17" t="s">
        <v>2</v>
      </c>
      <c r="E609" s="24" t="s">
        <v>3</v>
      </c>
      <c r="F609" s="23" t="s">
        <v>4</v>
      </c>
      <c r="G609" s="18" t="s">
        <v>5</v>
      </c>
    </row>
    <row r="610" spans="1:7" x14ac:dyDescent="0.35">
      <c r="A610" s="13" t="s">
        <v>242</v>
      </c>
      <c r="B610" s="8"/>
      <c r="C610" s="9"/>
      <c r="D610" s="10"/>
      <c r="E610" s="21"/>
      <c r="F610" s="22"/>
      <c r="G610" s="6"/>
    </row>
    <row r="611" spans="1:7" x14ac:dyDescent="0.35">
      <c r="A611" s="13" t="s">
        <v>243</v>
      </c>
      <c r="B611" s="8"/>
      <c r="C611" s="9"/>
      <c r="D611" s="10"/>
      <c r="E611" s="21"/>
      <c r="F611" s="22"/>
      <c r="G611" s="6"/>
    </row>
    <row r="612" spans="1:7" x14ac:dyDescent="0.35">
      <c r="A612" s="13" t="s">
        <v>244</v>
      </c>
      <c r="B612" s="8"/>
      <c r="C612" s="9"/>
      <c r="D612" s="10"/>
      <c r="E612" s="21"/>
      <c r="F612" s="22"/>
      <c r="G612" s="6"/>
    </row>
    <row r="613" spans="1:7" x14ac:dyDescent="0.35">
      <c r="A613" s="13" t="s">
        <v>245</v>
      </c>
      <c r="B613" s="8"/>
      <c r="C613" s="9"/>
      <c r="D613" s="10"/>
      <c r="E613" s="21"/>
      <c r="F613" s="22"/>
      <c r="G613" s="6"/>
    </row>
    <row r="614" spans="1:7" x14ac:dyDescent="0.35">
      <c r="A614" s="13" t="s">
        <v>246</v>
      </c>
      <c r="B614" s="8"/>
      <c r="C614" s="9"/>
      <c r="D614" s="10"/>
      <c r="E614" s="21"/>
      <c r="F614" s="22"/>
      <c r="G614" s="6"/>
    </row>
    <row r="615" spans="1:7" x14ac:dyDescent="0.35">
      <c r="A615" s="13" t="s">
        <v>247</v>
      </c>
      <c r="B615" s="8"/>
      <c r="C615" s="9"/>
      <c r="D615" s="10"/>
      <c r="E615" s="21"/>
      <c r="F615" s="22"/>
      <c r="G615" s="6"/>
    </row>
    <row r="616" spans="1:7" x14ac:dyDescent="0.35">
      <c r="A616" s="13" t="s">
        <v>248</v>
      </c>
      <c r="B616" s="8"/>
      <c r="C616" s="9"/>
      <c r="D616" s="10"/>
      <c r="E616" s="21"/>
      <c r="F616" s="22"/>
      <c r="G616" s="6"/>
    </row>
    <row r="617" spans="1:7" x14ac:dyDescent="0.35">
      <c r="A617" s="13" t="s">
        <v>249</v>
      </c>
      <c r="B617" s="8"/>
      <c r="C617" s="9"/>
      <c r="D617" s="10"/>
      <c r="E617" s="21"/>
      <c r="F617" s="22"/>
      <c r="G617" s="6"/>
    </row>
    <row r="618" spans="1:7" x14ac:dyDescent="0.35">
      <c r="A618" s="13" t="s">
        <v>250</v>
      </c>
      <c r="B618" s="8"/>
      <c r="C618" s="9"/>
      <c r="D618" s="10"/>
      <c r="E618" s="21"/>
      <c r="F618" s="22"/>
      <c r="G618" s="6"/>
    </row>
    <row r="619" spans="1:7" x14ac:dyDescent="0.35">
      <c r="A619" s="13" t="s">
        <v>251</v>
      </c>
      <c r="B619" s="8"/>
      <c r="C619" s="9"/>
      <c r="D619" s="10"/>
      <c r="E619" s="21"/>
      <c r="F619" s="22"/>
      <c r="G619" s="6"/>
    </row>
    <row r="620" spans="1:7" x14ac:dyDescent="0.35">
      <c r="A620" s="13" t="s">
        <v>252</v>
      </c>
      <c r="B620" s="8"/>
      <c r="C620" s="9"/>
      <c r="D620" s="10"/>
      <c r="E620" s="21"/>
      <c r="F620" s="22"/>
      <c r="G620" s="6"/>
    </row>
    <row r="621" spans="1:7" x14ac:dyDescent="0.35">
      <c r="A621" s="13" t="s">
        <v>253</v>
      </c>
      <c r="B621" s="8"/>
      <c r="C621" s="9"/>
      <c r="D621" s="10"/>
      <c r="E621" s="21"/>
      <c r="F621" s="22"/>
      <c r="G621" s="6"/>
    </row>
    <row r="622" spans="1:7" x14ac:dyDescent="0.35">
      <c r="A622" s="13" t="s">
        <v>254</v>
      </c>
      <c r="B622" s="8"/>
      <c r="C622" s="9"/>
      <c r="D622" s="10"/>
      <c r="E622" s="21"/>
      <c r="F622" s="22"/>
      <c r="G622" s="6"/>
    </row>
    <row r="623" spans="1:7" x14ac:dyDescent="0.35">
      <c r="A623" s="13" t="s">
        <v>255</v>
      </c>
      <c r="B623" s="8"/>
      <c r="C623" s="9"/>
      <c r="D623" s="10"/>
      <c r="E623" s="21"/>
      <c r="F623" s="22"/>
      <c r="G623" s="6"/>
    </row>
    <row r="624" spans="1:7" x14ac:dyDescent="0.35">
      <c r="A624" s="13" t="s">
        <v>256</v>
      </c>
      <c r="B624" s="8"/>
      <c r="C624" s="9"/>
      <c r="D624" s="10"/>
      <c r="E624" s="21"/>
      <c r="F624" s="22"/>
      <c r="G624" s="6"/>
    </row>
    <row r="625" spans="1:7" x14ac:dyDescent="0.35">
      <c r="A625" s="13" t="s">
        <v>257</v>
      </c>
      <c r="B625" s="8"/>
      <c r="C625" s="9"/>
      <c r="D625" s="10"/>
      <c r="E625" s="21"/>
      <c r="F625" s="22"/>
      <c r="G625" s="6"/>
    </row>
    <row r="626" spans="1:7" x14ac:dyDescent="0.35">
      <c r="A626" s="13" t="s">
        <v>258</v>
      </c>
      <c r="B626" s="8"/>
      <c r="C626" s="9"/>
      <c r="D626" s="10"/>
      <c r="E626" s="21"/>
      <c r="F626" s="22"/>
      <c r="G626" s="6"/>
    </row>
    <row r="627" spans="1:7" x14ac:dyDescent="0.35">
      <c r="A627" s="13" t="s">
        <v>259</v>
      </c>
      <c r="B627" s="8"/>
      <c r="C627" s="9"/>
      <c r="D627" s="10"/>
      <c r="E627" s="21"/>
      <c r="F627" s="22"/>
      <c r="G627" s="6"/>
    </row>
    <row r="628" spans="1:7" x14ac:dyDescent="0.35">
      <c r="A628" s="13" t="s">
        <v>260</v>
      </c>
      <c r="B628" s="8"/>
      <c r="C628" s="9"/>
      <c r="D628" s="10"/>
      <c r="E628" s="21"/>
      <c r="F628" s="22"/>
      <c r="G628" s="6"/>
    </row>
    <row r="629" spans="1:7" x14ac:dyDescent="0.35">
      <c r="A629" s="13" t="s">
        <v>261</v>
      </c>
      <c r="B629" s="8"/>
      <c r="C629" s="9"/>
      <c r="D629" s="10"/>
      <c r="E629" s="21"/>
      <c r="F629" s="22"/>
      <c r="G629" s="6"/>
    </row>
    <row r="630" spans="1:7" x14ac:dyDescent="0.35">
      <c r="A630" s="13" t="s">
        <v>262</v>
      </c>
      <c r="B630" s="8"/>
      <c r="C630" s="9"/>
      <c r="D630" s="10"/>
      <c r="E630" s="21"/>
      <c r="F630" s="22"/>
      <c r="G630" s="6"/>
    </row>
    <row r="631" spans="1:7" x14ac:dyDescent="0.35">
      <c r="A631" s="13" t="s">
        <v>263</v>
      </c>
      <c r="B631" s="8"/>
      <c r="C631" s="9"/>
      <c r="D631" s="10"/>
      <c r="E631" s="21"/>
      <c r="F631" s="22"/>
      <c r="G631" s="6"/>
    </row>
    <row r="632" spans="1:7" x14ac:dyDescent="0.35">
      <c r="A632" s="13" t="s">
        <v>264</v>
      </c>
      <c r="B632" s="8"/>
      <c r="C632" s="9"/>
      <c r="D632" s="10"/>
      <c r="E632" s="21"/>
      <c r="F632" s="22"/>
      <c r="G632" s="6"/>
    </row>
    <row r="633" spans="1:7" x14ac:dyDescent="0.35">
      <c r="A633" s="13" t="s">
        <v>265</v>
      </c>
      <c r="B633" s="8"/>
      <c r="C633" s="9"/>
      <c r="D633" s="10"/>
      <c r="E633" s="21"/>
      <c r="F633" s="22"/>
      <c r="G633" s="6"/>
    </row>
    <row r="634" spans="1:7" x14ac:dyDescent="0.35">
      <c r="A634" s="13" t="s">
        <v>266</v>
      </c>
      <c r="B634" s="8"/>
      <c r="C634" s="9"/>
      <c r="D634" s="10"/>
      <c r="E634" s="21"/>
      <c r="F634" s="22"/>
      <c r="G634" s="6"/>
    </row>
    <row r="635" spans="1:7" x14ac:dyDescent="0.35">
      <c r="A635" s="13" t="s">
        <v>267</v>
      </c>
      <c r="B635" s="8"/>
      <c r="C635" s="9"/>
      <c r="D635" s="10"/>
      <c r="E635" s="21"/>
      <c r="F635" s="22"/>
      <c r="G635" s="6"/>
    </row>
    <row r="636" spans="1:7" x14ac:dyDescent="0.35">
      <c r="A636" s="13" t="s">
        <v>268</v>
      </c>
      <c r="B636" s="8"/>
      <c r="C636" s="9"/>
      <c r="D636" s="10"/>
      <c r="E636" s="21"/>
      <c r="F636" s="22"/>
      <c r="G636" s="6"/>
    </row>
    <row r="637" spans="1:7" x14ac:dyDescent="0.35">
      <c r="A637" s="13" t="s">
        <v>269</v>
      </c>
      <c r="B637" s="8"/>
      <c r="C637" s="9"/>
      <c r="D637" s="10"/>
      <c r="E637" s="21"/>
      <c r="F637" s="22"/>
      <c r="G637" s="6"/>
    </row>
    <row r="638" spans="1:7" x14ac:dyDescent="0.35">
      <c r="A638" s="13" t="s">
        <v>270</v>
      </c>
      <c r="B638" s="8"/>
      <c r="C638" s="9"/>
      <c r="D638" s="10"/>
      <c r="E638" s="21"/>
      <c r="F638" s="22"/>
      <c r="G638" s="6"/>
    </row>
    <row r="639" spans="1:7" x14ac:dyDescent="0.35">
      <c r="A639" s="13" t="s">
        <v>271</v>
      </c>
      <c r="B639" s="8"/>
      <c r="C639" s="9"/>
      <c r="D639" s="10"/>
      <c r="E639" s="21"/>
      <c r="F639" s="22"/>
      <c r="G639" s="6"/>
    </row>
    <row r="640" spans="1:7" x14ac:dyDescent="0.35">
      <c r="A640" s="2"/>
      <c r="B640" s="2"/>
      <c r="C640" s="2"/>
      <c r="D640" s="2"/>
      <c r="E640" s="2"/>
      <c r="F640" s="2"/>
      <c r="G640" s="2"/>
    </row>
    <row r="641" spans="1:7" x14ac:dyDescent="0.35">
      <c r="A641" s="13" t="s">
        <v>26</v>
      </c>
      <c r="B641" s="15" t="s">
        <v>0</v>
      </c>
      <c r="C641" s="16" t="s">
        <v>1</v>
      </c>
      <c r="D641" s="17" t="s">
        <v>2</v>
      </c>
      <c r="E641" s="24" t="s">
        <v>3</v>
      </c>
      <c r="F641" s="23" t="s">
        <v>4</v>
      </c>
      <c r="G641" s="18" t="s">
        <v>5</v>
      </c>
    </row>
    <row r="642" spans="1:7" x14ac:dyDescent="0.35">
      <c r="A642" s="13" t="s">
        <v>242</v>
      </c>
      <c r="B642" s="8"/>
      <c r="C642" s="9"/>
      <c r="D642" s="10"/>
      <c r="E642" s="21"/>
      <c r="F642" s="22"/>
      <c r="G642" s="6"/>
    </row>
    <row r="643" spans="1:7" x14ac:dyDescent="0.35">
      <c r="A643" s="13" t="s">
        <v>243</v>
      </c>
      <c r="B643" s="8"/>
      <c r="C643" s="9"/>
      <c r="D643" s="10"/>
      <c r="E643" s="21"/>
      <c r="F643" s="22"/>
      <c r="G643" s="6"/>
    </row>
    <row r="644" spans="1:7" x14ac:dyDescent="0.35">
      <c r="A644" s="13" t="s">
        <v>244</v>
      </c>
      <c r="B644" s="8"/>
      <c r="C644" s="9"/>
      <c r="D644" s="10"/>
      <c r="E644" s="21"/>
      <c r="F644" s="22"/>
      <c r="G644" s="6"/>
    </row>
    <row r="645" spans="1:7" x14ac:dyDescent="0.35">
      <c r="A645" s="13" t="s">
        <v>245</v>
      </c>
      <c r="B645" s="8"/>
      <c r="C645" s="9"/>
      <c r="D645" s="10"/>
      <c r="E645" s="21"/>
      <c r="F645" s="22"/>
      <c r="G645" s="6"/>
    </row>
    <row r="646" spans="1:7" x14ac:dyDescent="0.35">
      <c r="A646" s="13" t="s">
        <v>246</v>
      </c>
      <c r="B646" s="8"/>
      <c r="C646" s="9"/>
      <c r="D646" s="10"/>
      <c r="E646" s="21"/>
      <c r="F646" s="22"/>
      <c r="G646" s="6"/>
    </row>
    <row r="647" spans="1:7" x14ac:dyDescent="0.35">
      <c r="A647" s="13" t="s">
        <v>247</v>
      </c>
      <c r="B647" s="8"/>
      <c r="C647" s="9"/>
      <c r="D647" s="10"/>
      <c r="E647" s="21"/>
      <c r="F647" s="22"/>
      <c r="G647" s="6"/>
    </row>
    <row r="648" spans="1:7" x14ac:dyDescent="0.35">
      <c r="A648" s="13" t="s">
        <v>248</v>
      </c>
      <c r="B648" s="8"/>
      <c r="C648" s="9"/>
      <c r="D648" s="10"/>
      <c r="E648" s="21"/>
      <c r="F648" s="22"/>
      <c r="G648" s="6"/>
    </row>
    <row r="649" spans="1:7" x14ac:dyDescent="0.35">
      <c r="A649" s="13" t="s">
        <v>249</v>
      </c>
      <c r="B649" s="8"/>
      <c r="C649" s="9"/>
      <c r="D649" s="10"/>
      <c r="E649" s="21"/>
      <c r="F649" s="22"/>
      <c r="G649" s="6"/>
    </row>
    <row r="650" spans="1:7" x14ac:dyDescent="0.35">
      <c r="A650" s="13" t="s">
        <v>250</v>
      </c>
      <c r="B650" s="8"/>
      <c r="C650" s="9"/>
      <c r="D650" s="10"/>
      <c r="E650" s="21"/>
      <c r="F650" s="22"/>
      <c r="G650" s="6"/>
    </row>
    <row r="651" spans="1:7" x14ac:dyDescent="0.35">
      <c r="A651" s="13" t="s">
        <v>251</v>
      </c>
      <c r="B651" s="8"/>
      <c r="C651" s="9"/>
      <c r="D651" s="10"/>
      <c r="E651" s="21"/>
      <c r="F651" s="22"/>
      <c r="G651" s="6"/>
    </row>
    <row r="652" spans="1:7" x14ac:dyDescent="0.35">
      <c r="A652" s="13" t="s">
        <v>252</v>
      </c>
      <c r="B652" s="8"/>
      <c r="C652" s="9"/>
      <c r="D652" s="10"/>
      <c r="E652" s="21"/>
      <c r="F652" s="22"/>
      <c r="G652" s="6"/>
    </row>
    <row r="653" spans="1:7" x14ac:dyDescent="0.35">
      <c r="A653" s="13" t="s">
        <v>253</v>
      </c>
      <c r="B653" s="8"/>
      <c r="C653" s="9"/>
      <c r="D653" s="10"/>
      <c r="E653" s="21"/>
      <c r="F653" s="22"/>
      <c r="G653" s="6"/>
    </row>
    <row r="654" spans="1:7" x14ac:dyDescent="0.35">
      <c r="A654" s="13" t="s">
        <v>254</v>
      </c>
      <c r="B654" s="8"/>
      <c r="C654" s="9"/>
      <c r="D654" s="10"/>
      <c r="E654" s="21"/>
      <c r="F654" s="22"/>
      <c r="G654" s="6"/>
    </row>
    <row r="655" spans="1:7" x14ac:dyDescent="0.35">
      <c r="A655" s="13" t="s">
        <v>255</v>
      </c>
      <c r="B655" s="8"/>
      <c r="C655" s="9"/>
      <c r="D655" s="10"/>
      <c r="E655" s="21"/>
      <c r="F655" s="22"/>
      <c r="G655" s="6"/>
    </row>
    <row r="656" spans="1:7" x14ac:dyDescent="0.35">
      <c r="A656" s="13" t="s">
        <v>256</v>
      </c>
      <c r="B656" s="8"/>
      <c r="C656" s="9"/>
      <c r="D656" s="10"/>
      <c r="E656" s="21"/>
      <c r="F656" s="22"/>
      <c r="G656" s="6"/>
    </row>
    <row r="657" spans="1:7" x14ac:dyDescent="0.35">
      <c r="A657" s="13" t="s">
        <v>257</v>
      </c>
      <c r="B657" s="8"/>
      <c r="C657" s="9"/>
      <c r="D657" s="10"/>
      <c r="E657" s="21"/>
      <c r="F657" s="22"/>
      <c r="G657" s="6"/>
    </row>
    <row r="658" spans="1:7" x14ac:dyDescent="0.35">
      <c r="A658" s="13" t="s">
        <v>258</v>
      </c>
      <c r="B658" s="8"/>
      <c r="C658" s="9"/>
      <c r="D658" s="10"/>
      <c r="E658" s="21"/>
      <c r="F658" s="22"/>
      <c r="G658" s="6"/>
    </row>
    <row r="659" spans="1:7" x14ac:dyDescent="0.35">
      <c r="A659" s="13" t="s">
        <v>259</v>
      </c>
      <c r="B659" s="8"/>
      <c r="C659" s="9"/>
      <c r="D659" s="10"/>
      <c r="E659" s="21"/>
      <c r="F659" s="22"/>
      <c r="G659" s="6"/>
    </row>
    <row r="660" spans="1:7" x14ac:dyDescent="0.35">
      <c r="A660" s="13" t="s">
        <v>260</v>
      </c>
      <c r="B660" s="8"/>
      <c r="C660" s="9"/>
      <c r="D660" s="10"/>
      <c r="E660" s="21"/>
      <c r="F660" s="22"/>
      <c r="G660" s="6"/>
    </row>
    <row r="661" spans="1:7" x14ac:dyDescent="0.35">
      <c r="A661" s="13" t="s">
        <v>261</v>
      </c>
      <c r="B661" s="8"/>
      <c r="C661" s="9"/>
      <c r="D661" s="10"/>
      <c r="E661" s="21"/>
      <c r="F661" s="22"/>
      <c r="G661" s="6"/>
    </row>
    <row r="662" spans="1:7" x14ac:dyDescent="0.35">
      <c r="A662" s="13" t="s">
        <v>262</v>
      </c>
      <c r="B662" s="8"/>
      <c r="C662" s="9"/>
      <c r="D662" s="10"/>
      <c r="E662" s="21"/>
      <c r="F662" s="22"/>
      <c r="G662" s="6"/>
    </row>
    <row r="663" spans="1:7" x14ac:dyDescent="0.35">
      <c r="A663" s="13" t="s">
        <v>263</v>
      </c>
      <c r="B663" s="8"/>
      <c r="C663" s="9"/>
      <c r="D663" s="10"/>
      <c r="E663" s="21"/>
      <c r="F663" s="22"/>
      <c r="G663" s="6"/>
    </row>
    <row r="664" spans="1:7" x14ac:dyDescent="0.35">
      <c r="A664" s="13" t="s">
        <v>264</v>
      </c>
      <c r="B664" s="8"/>
      <c r="C664" s="9"/>
      <c r="D664" s="10"/>
      <c r="E664" s="21"/>
      <c r="F664" s="22"/>
      <c r="G664" s="6"/>
    </row>
    <row r="665" spans="1:7" x14ac:dyDescent="0.35">
      <c r="A665" s="13" t="s">
        <v>265</v>
      </c>
      <c r="B665" s="8"/>
      <c r="C665" s="9"/>
      <c r="D665" s="10"/>
      <c r="E665" s="21"/>
      <c r="F665" s="22"/>
      <c r="G665" s="6"/>
    </row>
    <row r="666" spans="1:7" x14ac:dyDescent="0.35">
      <c r="A666" s="13" t="s">
        <v>266</v>
      </c>
      <c r="B666" s="8"/>
      <c r="C666" s="9"/>
      <c r="D666" s="10"/>
      <c r="E666" s="21"/>
      <c r="F666" s="22"/>
      <c r="G666" s="6"/>
    </row>
    <row r="667" spans="1:7" x14ac:dyDescent="0.35">
      <c r="A667" s="13" t="s">
        <v>267</v>
      </c>
      <c r="B667" s="8"/>
      <c r="C667" s="9"/>
      <c r="D667" s="10"/>
      <c r="E667" s="21"/>
      <c r="F667" s="22"/>
      <c r="G667" s="6"/>
    </row>
    <row r="668" spans="1:7" x14ac:dyDescent="0.35">
      <c r="A668" s="13" t="s">
        <v>268</v>
      </c>
      <c r="B668" s="8"/>
      <c r="C668" s="9"/>
      <c r="D668" s="10"/>
      <c r="E668" s="21"/>
      <c r="F668" s="22"/>
      <c r="G668" s="6"/>
    </row>
    <row r="669" spans="1:7" x14ac:dyDescent="0.35">
      <c r="A669" s="13" t="s">
        <v>269</v>
      </c>
      <c r="B669" s="8"/>
      <c r="C669" s="9"/>
      <c r="D669" s="10"/>
      <c r="E669" s="21"/>
      <c r="F669" s="22"/>
      <c r="G669" s="6"/>
    </row>
    <row r="670" spans="1:7" x14ac:dyDescent="0.35">
      <c r="A670" s="13" t="s">
        <v>270</v>
      </c>
      <c r="B670" s="8"/>
      <c r="C670" s="9"/>
      <c r="D670" s="10"/>
      <c r="E670" s="21"/>
      <c r="F670" s="22"/>
      <c r="G670" s="6"/>
    </row>
    <row r="671" spans="1:7" x14ac:dyDescent="0.35">
      <c r="A671" s="13" t="s">
        <v>271</v>
      </c>
      <c r="B671" s="8"/>
      <c r="C671" s="9"/>
      <c r="D671" s="10"/>
      <c r="E671" s="21"/>
      <c r="F671" s="22"/>
      <c r="G671" s="6"/>
    </row>
    <row r="672" spans="1:7" x14ac:dyDescent="0.35">
      <c r="A672" s="2"/>
      <c r="B672" s="2"/>
      <c r="C672" s="2"/>
      <c r="D672" s="2"/>
      <c r="E672" s="2"/>
      <c r="F672" s="2"/>
      <c r="G672" s="2"/>
    </row>
    <row r="673" spans="1:7" x14ac:dyDescent="0.35">
      <c r="A673" s="13" t="s">
        <v>27</v>
      </c>
      <c r="B673" s="15" t="s">
        <v>0</v>
      </c>
      <c r="C673" s="16" t="s">
        <v>1</v>
      </c>
      <c r="D673" s="17" t="s">
        <v>2</v>
      </c>
      <c r="E673" s="24" t="s">
        <v>3</v>
      </c>
      <c r="F673" s="23" t="s">
        <v>4</v>
      </c>
      <c r="G673" s="18" t="s">
        <v>5</v>
      </c>
    </row>
    <row r="674" spans="1:7" x14ac:dyDescent="0.35">
      <c r="A674" s="13" t="s">
        <v>242</v>
      </c>
      <c r="B674" s="8"/>
      <c r="C674" s="9"/>
      <c r="D674" s="10"/>
      <c r="E674" s="21"/>
      <c r="F674" s="22"/>
      <c r="G674" s="6"/>
    </row>
    <row r="675" spans="1:7" x14ac:dyDescent="0.35">
      <c r="A675" s="13" t="s">
        <v>243</v>
      </c>
      <c r="B675" s="8"/>
      <c r="C675" s="9"/>
      <c r="D675" s="10"/>
      <c r="E675" s="21"/>
      <c r="F675" s="22"/>
      <c r="G675" s="6"/>
    </row>
    <row r="676" spans="1:7" x14ac:dyDescent="0.35">
      <c r="A676" s="13" t="s">
        <v>244</v>
      </c>
      <c r="B676" s="8"/>
      <c r="C676" s="9"/>
      <c r="D676" s="10"/>
      <c r="E676" s="21"/>
      <c r="F676" s="22"/>
      <c r="G676" s="6"/>
    </row>
    <row r="677" spans="1:7" x14ac:dyDescent="0.35">
      <c r="A677" s="13" t="s">
        <v>245</v>
      </c>
      <c r="B677" s="8"/>
      <c r="C677" s="9"/>
      <c r="D677" s="10"/>
      <c r="E677" s="21"/>
      <c r="F677" s="22"/>
      <c r="G677" s="6"/>
    </row>
    <row r="678" spans="1:7" x14ac:dyDescent="0.35">
      <c r="A678" s="13" t="s">
        <v>246</v>
      </c>
      <c r="B678" s="8"/>
      <c r="C678" s="9"/>
      <c r="D678" s="10"/>
      <c r="E678" s="21"/>
      <c r="F678" s="22"/>
      <c r="G678" s="6"/>
    </row>
    <row r="679" spans="1:7" x14ac:dyDescent="0.35">
      <c r="A679" s="13" t="s">
        <v>247</v>
      </c>
      <c r="B679" s="8"/>
      <c r="C679" s="9"/>
      <c r="D679" s="10"/>
      <c r="E679" s="21"/>
      <c r="F679" s="22"/>
      <c r="G679" s="6"/>
    </row>
    <row r="680" spans="1:7" x14ac:dyDescent="0.35">
      <c r="A680" s="13" t="s">
        <v>248</v>
      </c>
      <c r="B680" s="8"/>
      <c r="C680" s="9"/>
      <c r="D680" s="10"/>
      <c r="E680" s="21"/>
      <c r="F680" s="22"/>
      <c r="G680" s="6"/>
    </row>
    <row r="681" spans="1:7" x14ac:dyDescent="0.35">
      <c r="A681" s="13" t="s">
        <v>249</v>
      </c>
      <c r="B681" s="8"/>
      <c r="C681" s="9"/>
      <c r="D681" s="10"/>
      <c r="E681" s="21"/>
      <c r="F681" s="22"/>
      <c r="G681" s="6"/>
    </row>
    <row r="682" spans="1:7" x14ac:dyDescent="0.35">
      <c r="A682" s="13" t="s">
        <v>250</v>
      </c>
      <c r="B682" s="8"/>
      <c r="C682" s="9"/>
      <c r="D682" s="10"/>
      <c r="E682" s="21"/>
      <c r="F682" s="22"/>
      <c r="G682" s="6"/>
    </row>
    <row r="683" spans="1:7" x14ac:dyDescent="0.35">
      <c r="A683" s="13" t="s">
        <v>251</v>
      </c>
      <c r="B683" s="8"/>
      <c r="C683" s="9"/>
      <c r="D683" s="10"/>
      <c r="E683" s="21"/>
      <c r="F683" s="22"/>
      <c r="G683" s="6"/>
    </row>
    <row r="684" spans="1:7" x14ac:dyDescent="0.35">
      <c r="A684" s="13" t="s">
        <v>252</v>
      </c>
      <c r="B684" s="8"/>
      <c r="C684" s="9"/>
      <c r="D684" s="10"/>
      <c r="E684" s="21"/>
      <c r="F684" s="22"/>
      <c r="G684" s="6"/>
    </row>
    <row r="685" spans="1:7" x14ac:dyDescent="0.35">
      <c r="A685" s="13" t="s">
        <v>253</v>
      </c>
      <c r="B685" s="8"/>
      <c r="C685" s="9"/>
      <c r="D685" s="10"/>
      <c r="E685" s="21"/>
      <c r="F685" s="22"/>
      <c r="G685" s="6"/>
    </row>
    <row r="686" spans="1:7" x14ac:dyDescent="0.35">
      <c r="A686" s="13" t="s">
        <v>254</v>
      </c>
      <c r="B686" s="8"/>
      <c r="C686" s="9"/>
      <c r="D686" s="10"/>
      <c r="E686" s="21"/>
      <c r="F686" s="22"/>
      <c r="G686" s="6"/>
    </row>
    <row r="687" spans="1:7" x14ac:dyDescent="0.35">
      <c r="A687" s="13" t="s">
        <v>255</v>
      </c>
      <c r="B687" s="8"/>
      <c r="C687" s="9"/>
      <c r="D687" s="10"/>
      <c r="E687" s="21"/>
      <c r="F687" s="22"/>
      <c r="G687" s="6"/>
    </row>
    <row r="688" spans="1:7" x14ac:dyDescent="0.35">
      <c r="A688" s="13" t="s">
        <v>256</v>
      </c>
      <c r="B688" s="8"/>
      <c r="C688" s="9"/>
      <c r="D688" s="10"/>
      <c r="E688" s="21"/>
      <c r="F688" s="22"/>
      <c r="G688" s="6"/>
    </row>
    <row r="689" spans="1:7" x14ac:dyDescent="0.35">
      <c r="A689" s="13" t="s">
        <v>257</v>
      </c>
      <c r="B689" s="8"/>
      <c r="C689" s="9"/>
      <c r="D689" s="10"/>
      <c r="E689" s="21"/>
      <c r="F689" s="22"/>
      <c r="G689" s="6"/>
    </row>
    <row r="690" spans="1:7" x14ac:dyDescent="0.35">
      <c r="A690" s="13" t="s">
        <v>258</v>
      </c>
      <c r="B690" s="8"/>
      <c r="C690" s="9"/>
      <c r="D690" s="10"/>
      <c r="E690" s="21"/>
      <c r="F690" s="22"/>
      <c r="G690" s="6"/>
    </row>
    <row r="691" spans="1:7" x14ac:dyDescent="0.35">
      <c r="A691" s="13" t="s">
        <v>259</v>
      </c>
      <c r="B691" s="8"/>
      <c r="C691" s="9"/>
      <c r="D691" s="10"/>
      <c r="E691" s="21"/>
      <c r="F691" s="22"/>
      <c r="G691" s="6"/>
    </row>
    <row r="692" spans="1:7" x14ac:dyDescent="0.35">
      <c r="A692" s="13" t="s">
        <v>260</v>
      </c>
      <c r="B692" s="8"/>
      <c r="C692" s="9"/>
      <c r="D692" s="10"/>
      <c r="E692" s="21"/>
      <c r="F692" s="22"/>
      <c r="G692" s="6"/>
    </row>
    <row r="693" spans="1:7" x14ac:dyDescent="0.35">
      <c r="A693" s="13" t="s">
        <v>261</v>
      </c>
      <c r="B693" s="8"/>
      <c r="C693" s="9"/>
      <c r="D693" s="10"/>
      <c r="E693" s="21"/>
      <c r="F693" s="22"/>
      <c r="G693" s="6"/>
    </row>
    <row r="694" spans="1:7" x14ac:dyDescent="0.35">
      <c r="A694" s="13" t="s">
        <v>262</v>
      </c>
      <c r="B694" s="8"/>
      <c r="C694" s="9"/>
      <c r="D694" s="10"/>
      <c r="E694" s="21"/>
      <c r="F694" s="22"/>
      <c r="G694" s="6"/>
    </row>
    <row r="695" spans="1:7" x14ac:dyDescent="0.35">
      <c r="A695" s="13" t="s">
        <v>263</v>
      </c>
      <c r="B695" s="8"/>
      <c r="C695" s="9"/>
      <c r="D695" s="10"/>
      <c r="E695" s="21"/>
      <c r="F695" s="22"/>
      <c r="G695" s="6"/>
    </row>
    <row r="696" spans="1:7" x14ac:dyDescent="0.35">
      <c r="A696" s="13" t="s">
        <v>264</v>
      </c>
      <c r="B696" s="8"/>
      <c r="C696" s="9"/>
      <c r="D696" s="10"/>
      <c r="E696" s="21"/>
      <c r="F696" s="22"/>
      <c r="G696" s="6"/>
    </row>
    <row r="697" spans="1:7" x14ac:dyDescent="0.35">
      <c r="A697" s="13" t="s">
        <v>265</v>
      </c>
      <c r="B697" s="8"/>
      <c r="C697" s="9"/>
      <c r="D697" s="10"/>
      <c r="E697" s="21"/>
      <c r="F697" s="22"/>
      <c r="G697" s="6"/>
    </row>
    <row r="698" spans="1:7" x14ac:dyDescent="0.35">
      <c r="A698" s="13" t="s">
        <v>266</v>
      </c>
      <c r="B698" s="8"/>
      <c r="C698" s="9"/>
      <c r="D698" s="10"/>
      <c r="E698" s="21"/>
      <c r="F698" s="22"/>
      <c r="G698" s="6"/>
    </row>
    <row r="699" spans="1:7" x14ac:dyDescent="0.35">
      <c r="A699" s="13" t="s">
        <v>267</v>
      </c>
      <c r="B699" s="8"/>
      <c r="C699" s="9"/>
      <c r="D699" s="10"/>
      <c r="E699" s="21"/>
      <c r="F699" s="22"/>
      <c r="G699" s="6"/>
    </row>
    <row r="700" spans="1:7" x14ac:dyDescent="0.35">
      <c r="A700" s="13" t="s">
        <v>268</v>
      </c>
      <c r="B700" s="8"/>
      <c r="C700" s="9"/>
      <c r="D700" s="10"/>
      <c r="E700" s="21"/>
      <c r="F700" s="22"/>
      <c r="G700" s="6"/>
    </row>
    <row r="701" spans="1:7" x14ac:dyDescent="0.35">
      <c r="A701" s="13" t="s">
        <v>269</v>
      </c>
      <c r="B701" s="8"/>
      <c r="C701" s="9"/>
      <c r="D701" s="10"/>
      <c r="E701" s="21"/>
      <c r="F701" s="22"/>
      <c r="G701" s="6"/>
    </row>
    <row r="702" spans="1:7" x14ac:dyDescent="0.35">
      <c r="A702" s="13" t="s">
        <v>270</v>
      </c>
      <c r="B702" s="8"/>
      <c r="C702" s="9"/>
      <c r="D702" s="10"/>
      <c r="E702" s="21"/>
      <c r="F702" s="22"/>
      <c r="G702" s="6"/>
    </row>
    <row r="703" spans="1:7" x14ac:dyDescent="0.35">
      <c r="A703" s="13" t="s">
        <v>271</v>
      </c>
      <c r="B703" s="8"/>
      <c r="C703" s="9"/>
      <c r="D703" s="10"/>
      <c r="E703" s="21"/>
      <c r="F703" s="22"/>
      <c r="G703" s="6"/>
    </row>
    <row r="704" spans="1:7" x14ac:dyDescent="0.35">
      <c r="A704" s="2"/>
      <c r="B704" s="2"/>
      <c r="C704" s="2"/>
      <c r="D704" s="2"/>
      <c r="E704" s="2"/>
      <c r="F704" s="2"/>
      <c r="G704" s="2"/>
    </row>
    <row r="705" spans="1:7" x14ac:dyDescent="0.35">
      <c r="A705" s="13" t="s">
        <v>28</v>
      </c>
      <c r="B705" s="15" t="s">
        <v>0</v>
      </c>
      <c r="C705" s="16" t="s">
        <v>1</v>
      </c>
      <c r="D705" s="17" t="s">
        <v>2</v>
      </c>
      <c r="E705" s="24" t="s">
        <v>3</v>
      </c>
      <c r="F705" s="23" t="s">
        <v>4</v>
      </c>
      <c r="G705" s="18" t="s">
        <v>5</v>
      </c>
    </row>
    <row r="706" spans="1:7" x14ac:dyDescent="0.35">
      <c r="A706" s="13" t="s">
        <v>242</v>
      </c>
      <c r="B706" s="8"/>
      <c r="C706" s="9"/>
      <c r="D706" s="10"/>
      <c r="E706" s="21"/>
      <c r="F706" s="22"/>
      <c r="G706" s="6"/>
    </row>
    <row r="707" spans="1:7" x14ac:dyDescent="0.35">
      <c r="A707" s="13" t="s">
        <v>243</v>
      </c>
      <c r="B707" s="8"/>
      <c r="C707" s="9"/>
      <c r="D707" s="10"/>
      <c r="E707" s="21"/>
      <c r="F707" s="22"/>
      <c r="G707" s="6"/>
    </row>
    <row r="708" spans="1:7" x14ac:dyDescent="0.35">
      <c r="A708" s="13" t="s">
        <v>244</v>
      </c>
      <c r="B708" s="8"/>
      <c r="C708" s="9"/>
      <c r="D708" s="10"/>
      <c r="E708" s="21"/>
      <c r="F708" s="22"/>
      <c r="G708" s="6"/>
    </row>
    <row r="709" spans="1:7" x14ac:dyDescent="0.35">
      <c r="A709" s="13" t="s">
        <v>245</v>
      </c>
      <c r="B709" s="8"/>
      <c r="C709" s="9"/>
      <c r="D709" s="10"/>
      <c r="E709" s="21"/>
      <c r="F709" s="22"/>
      <c r="G709" s="6"/>
    </row>
    <row r="710" spans="1:7" x14ac:dyDescent="0.35">
      <c r="A710" s="13" t="s">
        <v>246</v>
      </c>
      <c r="B710" s="8"/>
      <c r="C710" s="9"/>
      <c r="D710" s="10"/>
      <c r="E710" s="21"/>
      <c r="F710" s="22"/>
      <c r="G710" s="6"/>
    </row>
    <row r="711" spans="1:7" x14ac:dyDescent="0.35">
      <c r="A711" s="13" t="s">
        <v>247</v>
      </c>
      <c r="B711" s="8"/>
      <c r="C711" s="9"/>
      <c r="D711" s="10"/>
      <c r="E711" s="21"/>
      <c r="F711" s="22"/>
      <c r="G711" s="6"/>
    </row>
    <row r="712" spans="1:7" x14ac:dyDescent="0.35">
      <c r="A712" s="13" t="s">
        <v>248</v>
      </c>
      <c r="B712" s="8"/>
      <c r="C712" s="9"/>
      <c r="D712" s="10"/>
      <c r="E712" s="21"/>
      <c r="F712" s="22"/>
      <c r="G712" s="6"/>
    </row>
    <row r="713" spans="1:7" x14ac:dyDescent="0.35">
      <c r="A713" s="13" t="s">
        <v>249</v>
      </c>
      <c r="B713" s="8"/>
      <c r="C713" s="9"/>
      <c r="D713" s="10"/>
      <c r="E713" s="21"/>
      <c r="F713" s="22"/>
      <c r="G713" s="6"/>
    </row>
    <row r="714" spans="1:7" x14ac:dyDescent="0.35">
      <c r="A714" s="13" t="s">
        <v>250</v>
      </c>
      <c r="B714" s="8"/>
      <c r="C714" s="9"/>
      <c r="D714" s="10"/>
      <c r="E714" s="21"/>
      <c r="F714" s="22"/>
      <c r="G714" s="6"/>
    </row>
    <row r="715" spans="1:7" x14ac:dyDescent="0.35">
      <c r="A715" s="13" t="s">
        <v>251</v>
      </c>
      <c r="B715" s="8"/>
      <c r="C715" s="9"/>
      <c r="D715" s="10"/>
      <c r="E715" s="21"/>
      <c r="F715" s="22"/>
      <c r="G715" s="6"/>
    </row>
    <row r="716" spans="1:7" x14ac:dyDescent="0.35">
      <c r="A716" s="13" t="s">
        <v>252</v>
      </c>
      <c r="B716" s="8"/>
      <c r="C716" s="9"/>
      <c r="D716" s="10"/>
      <c r="E716" s="21"/>
      <c r="F716" s="22"/>
      <c r="G716" s="6"/>
    </row>
    <row r="717" spans="1:7" x14ac:dyDescent="0.35">
      <c r="A717" s="13" t="s">
        <v>253</v>
      </c>
      <c r="B717" s="8"/>
      <c r="C717" s="9"/>
      <c r="D717" s="10"/>
      <c r="E717" s="21"/>
      <c r="F717" s="22"/>
      <c r="G717" s="6"/>
    </row>
    <row r="718" spans="1:7" x14ac:dyDescent="0.35">
      <c r="A718" s="13" t="s">
        <v>254</v>
      </c>
      <c r="B718" s="8"/>
      <c r="C718" s="9"/>
      <c r="D718" s="10"/>
      <c r="E718" s="21"/>
      <c r="F718" s="22"/>
      <c r="G718" s="6"/>
    </row>
    <row r="719" spans="1:7" x14ac:dyDescent="0.35">
      <c r="A719" s="13" t="s">
        <v>255</v>
      </c>
      <c r="B719" s="8"/>
      <c r="C719" s="9"/>
      <c r="D719" s="10"/>
      <c r="E719" s="21"/>
      <c r="F719" s="22"/>
      <c r="G719" s="6"/>
    </row>
    <row r="720" spans="1:7" x14ac:dyDescent="0.35">
      <c r="A720" s="13" t="s">
        <v>256</v>
      </c>
      <c r="B720" s="8"/>
      <c r="C720" s="9"/>
      <c r="D720" s="10"/>
      <c r="E720" s="21"/>
      <c r="F720" s="22"/>
      <c r="G720" s="6"/>
    </row>
    <row r="721" spans="1:7" x14ac:dyDescent="0.35">
      <c r="A721" s="13" t="s">
        <v>257</v>
      </c>
      <c r="B721" s="8"/>
      <c r="C721" s="9"/>
      <c r="D721" s="10"/>
      <c r="E721" s="21"/>
      <c r="F721" s="22"/>
      <c r="G721" s="6"/>
    </row>
    <row r="722" spans="1:7" x14ac:dyDescent="0.35">
      <c r="A722" s="13" t="s">
        <v>258</v>
      </c>
      <c r="B722" s="8"/>
      <c r="C722" s="9"/>
      <c r="D722" s="10"/>
      <c r="E722" s="21"/>
      <c r="F722" s="22"/>
      <c r="G722" s="6"/>
    </row>
    <row r="723" spans="1:7" x14ac:dyDescent="0.35">
      <c r="A723" s="13" t="s">
        <v>259</v>
      </c>
      <c r="B723" s="8"/>
      <c r="C723" s="9"/>
      <c r="D723" s="10"/>
      <c r="E723" s="21"/>
      <c r="F723" s="22"/>
      <c r="G723" s="6"/>
    </row>
    <row r="724" spans="1:7" x14ac:dyDescent="0.35">
      <c r="A724" s="13" t="s">
        <v>260</v>
      </c>
      <c r="B724" s="8"/>
      <c r="C724" s="9"/>
      <c r="D724" s="10"/>
      <c r="E724" s="21"/>
      <c r="F724" s="22"/>
      <c r="G724" s="6"/>
    </row>
    <row r="725" spans="1:7" x14ac:dyDescent="0.35">
      <c r="A725" s="13" t="s">
        <v>261</v>
      </c>
      <c r="B725" s="8"/>
      <c r="C725" s="9"/>
      <c r="D725" s="10"/>
      <c r="E725" s="21"/>
      <c r="F725" s="22"/>
      <c r="G725" s="6"/>
    </row>
    <row r="726" spans="1:7" x14ac:dyDescent="0.35">
      <c r="A726" s="13" t="s">
        <v>262</v>
      </c>
      <c r="B726" s="8"/>
      <c r="C726" s="9"/>
      <c r="D726" s="10"/>
      <c r="E726" s="21"/>
      <c r="F726" s="22"/>
      <c r="G726" s="6"/>
    </row>
    <row r="727" spans="1:7" x14ac:dyDescent="0.35">
      <c r="A727" s="13" t="s">
        <v>263</v>
      </c>
      <c r="B727" s="8"/>
      <c r="C727" s="9"/>
      <c r="D727" s="10"/>
      <c r="E727" s="21"/>
      <c r="F727" s="22"/>
      <c r="G727" s="6"/>
    </row>
    <row r="728" spans="1:7" x14ac:dyDescent="0.35">
      <c r="A728" s="13" t="s">
        <v>264</v>
      </c>
      <c r="B728" s="8"/>
      <c r="C728" s="9"/>
      <c r="D728" s="10"/>
      <c r="E728" s="21"/>
      <c r="F728" s="22"/>
      <c r="G728" s="6"/>
    </row>
    <row r="729" spans="1:7" x14ac:dyDescent="0.35">
      <c r="A729" s="13" t="s">
        <v>265</v>
      </c>
      <c r="B729" s="8"/>
      <c r="C729" s="9"/>
      <c r="D729" s="10"/>
      <c r="E729" s="21"/>
      <c r="F729" s="22"/>
      <c r="G729" s="6"/>
    </row>
    <row r="730" spans="1:7" x14ac:dyDescent="0.35">
      <c r="A730" s="13" t="s">
        <v>266</v>
      </c>
      <c r="B730" s="8"/>
      <c r="C730" s="9"/>
      <c r="D730" s="10"/>
      <c r="E730" s="21"/>
      <c r="F730" s="22"/>
      <c r="G730" s="6"/>
    </row>
    <row r="731" spans="1:7" x14ac:dyDescent="0.35">
      <c r="A731" s="13" t="s">
        <v>267</v>
      </c>
      <c r="B731" s="8"/>
      <c r="C731" s="9"/>
      <c r="D731" s="10"/>
      <c r="E731" s="21"/>
      <c r="F731" s="22"/>
      <c r="G731" s="6"/>
    </row>
    <row r="732" spans="1:7" x14ac:dyDescent="0.35">
      <c r="A732" s="13" t="s">
        <v>268</v>
      </c>
      <c r="B732" s="8"/>
      <c r="C732" s="9"/>
      <c r="D732" s="10"/>
      <c r="E732" s="21"/>
      <c r="F732" s="22"/>
      <c r="G732" s="6"/>
    </row>
    <row r="733" spans="1:7" x14ac:dyDescent="0.35">
      <c r="A733" s="13" t="s">
        <v>269</v>
      </c>
      <c r="B733" s="8"/>
      <c r="C733" s="9"/>
      <c r="D733" s="10"/>
      <c r="E733" s="21"/>
      <c r="F733" s="22"/>
      <c r="G733" s="6"/>
    </row>
    <row r="734" spans="1:7" x14ac:dyDescent="0.35">
      <c r="A734" s="13" t="s">
        <v>270</v>
      </c>
      <c r="B734" s="8"/>
      <c r="C734" s="9"/>
      <c r="D734" s="10"/>
      <c r="E734" s="21"/>
      <c r="F734" s="22"/>
      <c r="G734" s="6"/>
    </row>
    <row r="735" spans="1:7" x14ac:dyDescent="0.35">
      <c r="A735" s="13" t="s">
        <v>271</v>
      </c>
      <c r="B735" s="8"/>
      <c r="C735" s="9"/>
      <c r="D735" s="10"/>
      <c r="E735" s="21"/>
      <c r="F735" s="22"/>
      <c r="G735" s="6"/>
    </row>
    <row r="736" spans="1:7" x14ac:dyDescent="0.35">
      <c r="A736" s="2"/>
      <c r="B736" s="2"/>
      <c r="C736" s="2"/>
      <c r="D736" s="2"/>
      <c r="E736" s="2"/>
      <c r="F736" s="2"/>
      <c r="G736" s="2"/>
    </row>
    <row r="737" spans="1:7" x14ac:dyDescent="0.35">
      <c r="A737" s="13" t="s">
        <v>29</v>
      </c>
      <c r="B737" s="15" t="s">
        <v>0</v>
      </c>
      <c r="C737" s="16" t="s">
        <v>1</v>
      </c>
      <c r="D737" s="17" t="s">
        <v>2</v>
      </c>
      <c r="E737" s="24" t="s">
        <v>3</v>
      </c>
      <c r="F737" s="23" t="s">
        <v>4</v>
      </c>
      <c r="G737" s="18" t="s">
        <v>5</v>
      </c>
    </row>
    <row r="738" spans="1:7" x14ac:dyDescent="0.35">
      <c r="A738" s="13" t="s">
        <v>242</v>
      </c>
      <c r="B738" s="8"/>
      <c r="C738" s="9"/>
      <c r="D738" s="10"/>
      <c r="E738" s="21"/>
      <c r="F738" s="22"/>
      <c r="G738" s="6"/>
    </row>
    <row r="739" spans="1:7" x14ac:dyDescent="0.35">
      <c r="A739" s="13" t="s">
        <v>243</v>
      </c>
      <c r="B739" s="8"/>
      <c r="C739" s="9"/>
      <c r="D739" s="10"/>
      <c r="E739" s="21"/>
      <c r="F739" s="22"/>
      <c r="G739" s="6"/>
    </row>
    <row r="740" spans="1:7" x14ac:dyDescent="0.35">
      <c r="A740" s="13" t="s">
        <v>244</v>
      </c>
      <c r="B740" s="8"/>
      <c r="C740" s="9"/>
      <c r="D740" s="10"/>
      <c r="E740" s="21"/>
      <c r="F740" s="22"/>
      <c r="G740" s="6"/>
    </row>
    <row r="741" spans="1:7" x14ac:dyDescent="0.35">
      <c r="A741" s="13" t="s">
        <v>245</v>
      </c>
      <c r="B741" s="8"/>
      <c r="C741" s="9"/>
      <c r="D741" s="10"/>
      <c r="E741" s="21"/>
      <c r="F741" s="22"/>
      <c r="G741" s="6"/>
    </row>
    <row r="742" spans="1:7" x14ac:dyDescent="0.35">
      <c r="A742" s="13" t="s">
        <v>246</v>
      </c>
      <c r="B742" s="8"/>
      <c r="C742" s="9"/>
      <c r="D742" s="10"/>
      <c r="E742" s="21"/>
      <c r="F742" s="22"/>
      <c r="G742" s="6"/>
    </row>
    <row r="743" spans="1:7" x14ac:dyDescent="0.35">
      <c r="A743" s="13" t="s">
        <v>247</v>
      </c>
      <c r="B743" s="8"/>
      <c r="C743" s="9"/>
      <c r="D743" s="10"/>
      <c r="E743" s="21"/>
      <c r="F743" s="22"/>
      <c r="G743" s="6"/>
    </row>
    <row r="744" spans="1:7" x14ac:dyDescent="0.35">
      <c r="A744" s="13" t="s">
        <v>248</v>
      </c>
      <c r="B744" s="8"/>
      <c r="C744" s="9"/>
      <c r="D744" s="10"/>
      <c r="E744" s="21"/>
      <c r="F744" s="22"/>
      <c r="G744" s="6"/>
    </row>
    <row r="745" spans="1:7" x14ac:dyDescent="0.35">
      <c r="A745" s="13" t="s">
        <v>249</v>
      </c>
      <c r="B745" s="8"/>
      <c r="C745" s="9"/>
      <c r="D745" s="10"/>
      <c r="E745" s="21"/>
      <c r="F745" s="22"/>
      <c r="G745" s="6"/>
    </row>
    <row r="746" spans="1:7" x14ac:dyDescent="0.35">
      <c r="A746" s="13" t="s">
        <v>250</v>
      </c>
      <c r="B746" s="8"/>
      <c r="C746" s="9"/>
      <c r="D746" s="10"/>
      <c r="E746" s="21"/>
      <c r="F746" s="22"/>
      <c r="G746" s="6"/>
    </row>
    <row r="747" spans="1:7" x14ac:dyDescent="0.35">
      <c r="A747" s="13" t="s">
        <v>251</v>
      </c>
      <c r="B747" s="8"/>
      <c r="C747" s="9"/>
      <c r="D747" s="10"/>
      <c r="E747" s="21"/>
      <c r="F747" s="22"/>
      <c r="G747" s="6"/>
    </row>
    <row r="748" spans="1:7" x14ac:dyDescent="0.35">
      <c r="A748" s="13" t="s">
        <v>252</v>
      </c>
      <c r="B748" s="8"/>
      <c r="C748" s="9"/>
      <c r="D748" s="10"/>
      <c r="E748" s="21"/>
      <c r="F748" s="22"/>
      <c r="G748" s="6"/>
    </row>
    <row r="749" spans="1:7" x14ac:dyDescent="0.35">
      <c r="A749" s="13" t="s">
        <v>253</v>
      </c>
      <c r="B749" s="8"/>
      <c r="C749" s="9"/>
      <c r="D749" s="10"/>
      <c r="E749" s="21"/>
      <c r="F749" s="22"/>
      <c r="G749" s="6"/>
    </row>
    <row r="750" spans="1:7" x14ac:dyDescent="0.35">
      <c r="A750" s="13" t="s">
        <v>254</v>
      </c>
      <c r="B750" s="8"/>
      <c r="C750" s="9"/>
      <c r="D750" s="10"/>
      <c r="E750" s="21"/>
      <c r="F750" s="22"/>
      <c r="G750" s="6"/>
    </row>
    <row r="751" spans="1:7" x14ac:dyDescent="0.35">
      <c r="A751" s="13" t="s">
        <v>255</v>
      </c>
      <c r="B751" s="8"/>
      <c r="C751" s="9"/>
      <c r="D751" s="10"/>
      <c r="E751" s="21"/>
      <c r="F751" s="22"/>
      <c r="G751" s="6"/>
    </row>
    <row r="752" spans="1:7" x14ac:dyDescent="0.35">
      <c r="A752" s="13" t="s">
        <v>256</v>
      </c>
      <c r="B752" s="8"/>
      <c r="C752" s="9"/>
      <c r="D752" s="10"/>
      <c r="E752" s="21"/>
      <c r="F752" s="22"/>
      <c r="G752" s="6"/>
    </row>
    <row r="753" spans="1:7" x14ac:dyDescent="0.35">
      <c r="A753" s="13" t="s">
        <v>257</v>
      </c>
      <c r="B753" s="8"/>
      <c r="C753" s="9"/>
      <c r="D753" s="10"/>
      <c r="E753" s="21"/>
      <c r="F753" s="22"/>
      <c r="G753" s="6"/>
    </row>
    <row r="754" spans="1:7" x14ac:dyDescent="0.35">
      <c r="A754" s="13" t="s">
        <v>258</v>
      </c>
      <c r="B754" s="8"/>
      <c r="C754" s="9"/>
      <c r="D754" s="10"/>
      <c r="E754" s="21"/>
      <c r="F754" s="22"/>
      <c r="G754" s="6"/>
    </row>
    <row r="755" spans="1:7" x14ac:dyDescent="0.35">
      <c r="A755" s="13" t="s">
        <v>259</v>
      </c>
      <c r="B755" s="8"/>
      <c r="C755" s="9"/>
      <c r="D755" s="10"/>
      <c r="E755" s="21"/>
      <c r="F755" s="22"/>
      <c r="G755" s="6"/>
    </row>
    <row r="756" spans="1:7" x14ac:dyDescent="0.35">
      <c r="A756" s="13" t="s">
        <v>260</v>
      </c>
      <c r="B756" s="8"/>
      <c r="C756" s="9"/>
      <c r="D756" s="10"/>
      <c r="E756" s="21"/>
      <c r="F756" s="22"/>
      <c r="G756" s="6"/>
    </row>
    <row r="757" spans="1:7" x14ac:dyDescent="0.35">
      <c r="A757" s="13" t="s">
        <v>261</v>
      </c>
      <c r="B757" s="8"/>
      <c r="C757" s="9"/>
      <c r="D757" s="10"/>
      <c r="E757" s="21"/>
      <c r="F757" s="22"/>
      <c r="G757" s="6"/>
    </row>
    <row r="758" spans="1:7" x14ac:dyDescent="0.35">
      <c r="A758" s="13" t="s">
        <v>262</v>
      </c>
      <c r="B758" s="8"/>
      <c r="C758" s="9"/>
      <c r="D758" s="10"/>
      <c r="E758" s="21"/>
      <c r="F758" s="22"/>
      <c r="G758" s="6"/>
    </row>
    <row r="759" spans="1:7" x14ac:dyDescent="0.35">
      <c r="A759" s="13" t="s">
        <v>263</v>
      </c>
      <c r="B759" s="8"/>
      <c r="C759" s="9"/>
      <c r="D759" s="10"/>
      <c r="E759" s="21"/>
      <c r="F759" s="22"/>
      <c r="G759" s="6"/>
    </row>
    <row r="760" spans="1:7" x14ac:dyDescent="0.35">
      <c r="A760" s="13" t="s">
        <v>264</v>
      </c>
      <c r="B760" s="8"/>
      <c r="C760" s="9"/>
      <c r="D760" s="10"/>
      <c r="E760" s="21"/>
      <c r="F760" s="22"/>
      <c r="G760" s="6"/>
    </row>
    <row r="761" spans="1:7" x14ac:dyDescent="0.35">
      <c r="A761" s="13" t="s">
        <v>265</v>
      </c>
      <c r="B761" s="8"/>
      <c r="C761" s="9"/>
      <c r="D761" s="10"/>
      <c r="E761" s="21"/>
      <c r="F761" s="22"/>
      <c r="G761" s="6"/>
    </row>
    <row r="762" spans="1:7" x14ac:dyDescent="0.35">
      <c r="A762" s="13" t="s">
        <v>266</v>
      </c>
      <c r="B762" s="8"/>
      <c r="C762" s="9"/>
      <c r="D762" s="10"/>
      <c r="E762" s="21"/>
      <c r="F762" s="22"/>
      <c r="G762" s="6"/>
    </row>
    <row r="763" spans="1:7" x14ac:dyDescent="0.35">
      <c r="A763" s="13" t="s">
        <v>267</v>
      </c>
      <c r="B763" s="8"/>
      <c r="C763" s="9"/>
      <c r="D763" s="10"/>
      <c r="E763" s="21"/>
      <c r="F763" s="22"/>
      <c r="G763" s="6"/>
    </row>
    <row r="764" spans="1:7" x14ac:dyDescent="0.35">
      <c r="A764" s="13" t="s">
        <v>268</v>
      </c>
      <c r="B764" s="8"/>
      <c r="C764" s="9"/>
      <c r="D764" s="10"/>
      <c r="E764" s="21"/>
      <c r="F764" s="22"/>
      <c r="G764" s="6"/>
    </row>
    <row r="765" spans="1:7" x14ac:dyDescent="0.35">
      <c r="A765" s="13" t="s">
        <v>269</v>
      </c>
      <c r="B765" s="8"/>
      <c r="C765" s="9"/>
      <c r="D765" s="10"/>
      <c r="E765" s="21"/>
      <c r="F765" s="22"/>
      <c r="G765" s="6"/>
    </row>
    <row r="766" spans="1:7" x14ac:dyDescent="0.35">
      <c r="A766" s="13" t="s">
        <v>270</v>
      </c>
      <c r="B766" s="8"/>
      <c r="C766" s="9"/>
      <c r="D766" s="10"/>
      <c r="E766" s="21"/>
      <c r="F766" s="22"/>
      <c r="G766" s="6"/>
    </row>
    <row r="767" spans="1:7" x14ac:dyDescent="0.35">
      <c r="A767" s="13" t="s">
        <v>271</v>
      </c>
      <c r="B767" s="8"/>
      <c r="C767" s="9"/>
      <c r="D767" s="10"/>
      <c r="E767" s="21"/>
      <c r="F767" s="22"/>
      <c r="G767" s="6"/>
    </row>
    <row r="768" spans="1:7" x14ac:dyDescent="0.35">
      <c r="A768" s="2"/>
      <c r="B768" s="2"/>
      <c r="C768" s="2"/>
      <c r="D768" s="2"/>
      <c r="E768" s="2"/>
      <c r="F768" s="2"/>
      <c r="G768" s="2"/>
    </row>
    <row r="769" spans="1:7" x14ac:dyDescent="0.35">
      <c r="A769" s="13" t="s">
        <v>30</v>
      </c>
      <c r="B769" s="15" t="s">
        <v>0</v>
      </c>
      <c r="C769" s="16" t="s">
        <v>1</v>
      </c>
      <c r="D769" s="17" t="s">
        <v>2</v>
      </c>
      <c r="E769" s="24" t="s">
        <v>3</v>
      </c>
      <c r="F769" s="23" t="s">
        <v>4</v>
      </c>
      <c r="G769" s="18" t="s">
        <v>5</v>
      </c>
    </row>
    <row r="770" spans="1:7" x14ac:dyDescent="0.35">
      <c r="A770" s="13" t="s">
        <v>242</v>
      </c>
      <c r="B770" s="8"/>
      <c r="C770" s="9"/>
      <c r="D770" s="10"/>
      <c r="E770" s="21"/>
      <c r="F770" s="22"/>
      <c r="G770" s="6"/>
    </row>
    <row r="771" spans="1:7" x14ac:dyDescent="0.35">
      <c r="A771" s="13" t="s">
        <v>243</v>
      </c>
      <c r="B771" s="8"/>
      <c r="C771" s="9"/>
      <c r="D771" s="10"/>
      <c r="E771" s="21"/>
      <c r="F771" s="22"/>
      <c r="G771" s="6"/>
    </row>
    <row r="772" spans="1:7" x14ac:dyDescent="0.35">
      <c r="A772" s="13" t="s">
        <v>244</v>
      </c>
      <c r="B772" s="8"/>
      <c r="C772" s="9"/>
      <c r="D772" s="10"/>
      <c r="E772" s="21"/>
      <c r="F772" s="22"/>
      <c r="G772" s="6"/>
    </row>
    <row r="773" spans="1:7" x14ac:dyDescent="0.35">
      <c r="A773" s="13" t="s">
        <v>245</v>
      </c>
      <c r="B773" s="8"/>
      <c r="C773" s="9"/>
      <c r="D773" s="10"/>
      <c r="E773" s="21"/>
      <c r="F773" s="22"/>
      <c r="G773" s="6"/>
    </row>
    <row r="774" spans="1:7" x14ac:dyDescent="0.35">
      <c r="A774" s="13" t="s">
        <v>246</v>
      </c>
      <c r="B774" s="8"/>
      <c r="C774" s="9"/>
      <c r="D774" s="10"/>
      <c r="E774" s="21"/>
      <c r="F774" s="22"/>
      <c r="G774" s="6"/>
    </row>
    <row r="775" spans="1:7" x14ac:dyDescent="0.35">
      <c r="A775" s="13" t="s">
        <v>247</v>
      </c>
      <c r="B775" s="8"/>
      <c r="C775" s="9"/>
      <c r="D775" s="10"/>
      <c r="E775" s="21"/>
      <c r="F775" s="22"/>
      <c r="G775" s="6"/>
    </row>
    <row r="776" spans="1:7" x14ac:dyDescent="0.35">
      <c r="A776" s="13" t="s">
        <v>248</v>
      </c>
      <c r="B776" s="8"/>
      <c r="C776" s="9"/>
      <c r="D776" s="10"/>
      <c r="E776" s="21"/>
      <c r="F776" s="22"/>
      <c r="G776" s="6"/>
    </row>
    <row r="777" spans="1:7" x14ac:dyDescent="0.35">
      <c r="A777" s="13" t="s">
        <v>249</v>
      </c>
      <c r="B777" s="8"/>
      <c r="C777" s="9"/>
      <c r="D777" s="10"/>
      <c r="E777" s="21"/>
      <c r="F777" s="22"/>
      <c r="G777" s="6"/>
    </row>
    <row r="778" spans="1:7" x14ac:dyDescent="0.35">
      <c r="A778" s="13" t="s">
        <v>250</v>
      </c>
      <c r="B778" s="8"/>
      <c r="C778" s="9"/>
      <c r="D778" s="10"/>
      <c r="E778" s="21"/>
      <c r="F778" s="22"/>
      <c r="G778" s="6"/>
    </row>
    <row r="779" spans="1:7" x14ac:dyDescent="0.35">
      <c r="A779" s="13" t="s">
        <v>251</v>
      </c>
      <c r="B779" s="8"/>
      <c r="C779" s="9"/>
      <c r="D779" s="10"/>
      <c r="E779" s="21"/>
      <c r="F779" s="22"/>
      <c r="G779" s="6"/>
    </row>
    <row r="780" spans="1:7" x14ac:dyDescent="0.35">
      <c r="A780" s="13" t="s">
        <v>252</v>
      </c>
      <c r="B780" s="8"/>
      <c r="C780" s="9"/>
      <c r="D780" s="10"/>
      <c r="E780" s="21"/>
      <c r="F780" s="22"/>
      <c r="G780" s="6"/>
    </row>
    <row r="781" spans="1:7" x14ac:dyDescent="0.35">
      <c r="A781" s="13" t="s">
        <v>253</v>
      </c>
      <c r="B781" s="8"/>
      <c r="C781" s="9"/>
      <c r="D781" s="10"/>
      <c r="E781" s="21"/>
      <c r="F781" s="22"/>
      <c r="G781" s="6"/>
    </row>
    <row r="782" spans="1:7" x14ac:dyDescent="0.35">
      <c r="A782" s="13" t="s">
        <v>254</v>
      </c>
      <c r="B782" s="8"/>
      <c r="C782" s="9"/>
      <c r="D782" s="10"/>
      <c r="E782" s="21"/>
      <c r="F782" s="22"/>
      <c r="G782" s="6"/>
    </row>
    <row r="783" spans="1:7" x14ac:dyDescent="0.35">
      <c r="A783" s="13" t="s">
        <v>255</v>
      </c>
      <c r="B783" s="8"/>
      <c r="C783" s="9"/>
      <c r="D783" s="10"/>
      <c r="E783" s="21"/>
      <c r="F783" s="22"/>
      <c r="G783" s="6"/>
    </row>
    <row r="784" spans="1:7" x14ac:dyDescent="0.35">
      <c r="A784" s="13" t="s">
        <v>256</v>
      </c>
      <c r="B784" s="8"/>
      <c r="C784" s="9"/>
      <c r="D784" s="10"/>
      <c r="E784" s="21"/>
      <c r="F784" s="22"/>
      <c r="G784" s="6"/>
    </row>
    <row r="785" spans="1:7" x14ac:dyDescent="0.35">
      <c r="A785" s="13" t="s">
        <v>257</v>
      </c>
      <c r="B785" s="8"/>
      <c r="C785" s="9"/>
      <c r="D785" s="10"/>
      <c r="E785" s="21"/>
      <c r="F785" s="22"/>
      <c r="G785" s="6"/>
    </row>
    <row r="786" spans="1:7" x14ac:dyDescent="0.35">
      <c r="A786" s="13" t="s">
        <v>258</v>
      </c>
      <c r="B786" s="8"/>
      <c r="C786" s="9"/>
      <c r="D786" s="10"/>
      <c r="E786" s="21"/>
      <c r="F786" s="22"/>
      <c r="G786" s="6"/>
    </row>
    <row r="787" spans="1:7" x14ac:dyDescent="0.35">
      <c r="A787" s="13" t="s">
        <v>259</v>
      </c>
      <c r="B787" s="8"/>
      <c r="C787" s="9"/>
      <c r="D787" s="10"/>
      <c r="E787" s="21"/>
      <c r="F787" s="22"/>
      <c r="G787" s="6"/>
    </row>
    <row r="788" spans="1:7" x14ac:dyDescent="0.35">
      <c r="A788" s="13" t="s">
        <v>260</v>
      </c>
      <c r="B788" s="8"/>
      <c r="C788" s="9"/>
      <c r="D788" s="10"/>
      <c r="E788" s="21"/>
      <c r="F788" s="22"/>
      <c r="G788" s="6"/>
    </row>
    <row r="789" spans="1:7" x14ac:dyDescent="0.35">
      <c r="A789" s="13" t="s">
        <v>261</v>
      </c>
      <c r="B789" s="8"/>
      <c r="C789" s="9"/>
      <c r="D789" s="10"/>
      <c r="E789" s="21"/>
      <c r="F789" s="22"/>
      <c r="G789" s="6"/>
    </row>
    <row r="790" spans="1:7" x14ac:dyDescent="0.35">
      <c r="A790" s="13" t="s">
        <v>262</v>
      </c>
      <c r="B790" s="8"/>
      <c r="C790" s="9"/>
      <c r="D790" s="10"/>
      <c r="E790" s="21"/>
      <c r="F790" s="22"/>
      <c r="G790" s="6"/>
    </row>
    <row r="791" spans="1:7" x14ac:dyDescent="0.35">
      <c r="A791" s="13" t="s">
        <v>263</v>
      </c>
      <c r="B791" s="8"/>
      <c r="C791" s="9"/>
      <c r="D791" s="10"/>
      <c r="E791" s="21"/>
      <c r="F791" s="22"/>
      <c r="G791" s="6"/>
    </row>
    <row r="792" spans="1:7" x14ac:dyDescent="0.35">
      <c r="A792" s="13" t="s">
        <v>264</v>
      </c>
      <c r="B792" s="8"/>
      <c r="C792" s="9"/>
      <c r="D792" s="10"/>
      <c r="E792" s="21"/>
      <c r="F792" s="22"/>
      <c r="G792" s="6"/>
    </row>
    <row r="793" spans="1:7" x14ac:dyDescent="0.35">
      <c r="A793" s="13" t="s">
        <v>265</v>
      </c>
      <c r="B793" s="8"/>
      <c r="C793" s="9"/>
      <c r="D793" s="10"/>
      <c r="E793" s="21"/>
      <c r="F793" s="22"/>
      <c r="G793" s="6"/>
    </row>
    <row r="794" spans="1:7" x14ac:dyDescent="0.35">
      <c r="A794" s="13" t="s">
        <v>266</v>
      </c>
      <c r="B794" s="8"/>
      <c r="C794" s="9"/>
      <c r="D794" s="10"/>
      <c r="E794" s="21"/>
      <c r="F794" s="22"/>
      <c r="G794" s="6"/>
    </row>
    <row r="795" spans="1:7" x14ac:dyDescent="0.35">
      <c r="A795" s="13" t="s">
        <v>267</v>
      </c>
      <c r="B795" s="8"/>
      <c r="C795" s="9"/>
      <c r="D795" s="10"/>
      <c r="E795" s="21"/>
      <c r="F795" s="22"/>
      <c r="G795" s="6"/>
    </row>
    <row r="796" spans="1:7" x14ac:dyDescent="0.35">
      <c r="A796" s="13" t="s">
        <v>268</v>
      </c>
      <c r="B796" s="8"/>
      <c r="C796" s="9"/>
      <c r="D796" s="10"/>
      <c r="E796" s="21"/>
      <c r="F796" s="22"/>
      <c r="G796" s="6"/>
    </row>
    <row r="797" spans="1:7" x14ac:dyDescent="0.35">
      <c r="A797" s="13" t="s">
        <v>269</v>
      </c>
      <c r="B797" s="8"/>
      <c r="C797" s="9"/>
      <c r="D797" s="10"/>
      <c r="E797" s="21"/>
      <c r="F797" s="22"/>
      <c r="G797" s="6"/>
    </row>
    <row r="798" spans="1:7" x14ac:dyDescent="0.35">
      <c r="A798" s="13" t="s">
        <v>270</v>
      </c>
      <c r="B798" s="8"/>
      <c r="C798" s="9"/>
      <c r="D798" s="10"/>
      <c r="E798" s="21"/>
      <c r="F798" s="22"/>
      <c r="G798" s="6"/>
    </row>
    <row r="799" spans="1:7" x14ac:dyDescent="0.35">
      <c r="A799" s="13" t="s">
        <v>271</v>
      </c>
      <c r="B799" s="8"/>
      <c r="C799" s="9"/>
      <c r="D799" s="10"/>
      <c r="E799" s="21"/>
      <c r="F799" s="22"/>
      <c r="G799" s="6"/>
    </row>
    <row r="800" spans="1:7" x14ac:dyDescent="0.35">
      <c r="A800" s="2"/>
      <c r="B800" s="2"/>
      <c r="C800" s="2"/>
      <c r="D800" s="2"/>
      <c r="E800" s="2"/>
      <c r="F800" s="2"/>
      <c r="G800" s="2"/>
    </row>
    <row r="801" spans="1:7" x14ac:dyDescent="0.35">
      <c r="A801" s="13" t="s">
        <v>31</v>
      </c>
      <c r="B801" s="15" t="s">
        <v>0</v>
      </c>
      <c r="C801" s="16" t="s">
        <v>1</v>
      </c>
      <c r="D801" s="17" t="s">
        <v>2</v>
      </c>
      <c r="E801" s="24" t="s">
        <v>3</v>
      </c>
      <c r="F801" s="23" t="s">
        <v>4</v>
      </c>
      <c r="G801" s="18" t="s">
        <v>5</v>
      </c>
    </row>
    <row r="802" spans="1:7" x14ac:dyDescent="0.35">
      <c r="A802" s="13" t="s">
        <v>242</v>
      </c>
      <c r="B802" s="8"/>
      <c r="C802" s="9"/>
      <c r="D802" s="10"/>
      <c r="E802" s="21"/>
      <c r="F802" s="22"/>
      <c r="G802" s="6"/>
    </row>
    <row r="803" spans="1:7" x14ac:dyDescent="0.35">
      <c r="A803" s="13" t="s">
        <v>243</v>
      </c>
      <c r="B803" s="8"/>
      <c r="C803" s="9"/>
      <c r="D803" s="10"/>
      <c r="E803" s="21"/>
      <c r="F803" s="22"/>
      <c r="G803" s="6"/>
    </row>
    <row r="804" spans="1:7" x14ac:dyDescent="0.35">
      <c r="A804" s="13" t="s">
        <v>244</v>
      </c>
      <c r="B804" s="8"/>
      <c r="C804" s="9"/>
      <c r="D804" s="10"/>
      <c r="E804" s="21"/>
      <c r="F804" s="22"/>
      <c r="G804" s="6"/>
    </row>
    <row r="805" spans="1:7" x14ac:dyDescent="0.35">
      <c r="A805" s="13" t="s">
        <v>245</v>
      </c>
      <c r="B805" s="8"/>
      <c r="C805" s="9"/>
      <c r="D805" s="10"/>
      <c r="E805" s="21"/>
      <c r="F805" s="22"/>
      <c r="G805" s="6"/>
    </row>
    <row r="806" spans="1:7" x14ac:dyDescent="0.35">
      <c r="A806" s="13" t="s">
        <v>246</v>
      </c>
      <c r="B806" s="8"/>
      <c r="C806" s="9"/>
      <c r="D806" s="10"/>
      <c r="E806" s="21"/>
      <c r="F806" s="22"/>
      <c r="G806" s="6"/>
    </row>
    <row r="807" spans="1:7" x14ac:dyDescent="0.35">
      <c r="A807" s="13" t="s">
        <v>247</v>
      </c>
      <c r="B807" s="8"/>
      <c r="C807" s="9"/>
      <c r="D807" s="10"/>
      <c r="E807" s="21"/>
      <c r="F807" s="22"/>
      <c r="G807" s="6"/>
    </row>
    <row r="808" spans="1:7" x14ac:dyDescent="0.35">
      <c r="A808" s="13" t="s">
        <v>248</v>
      </c>
      <c r="B808" s="8"/>
      <c r="C808" s="9"/>
      <c r="D808" s="10"/>
      <c r="E808" s="21"/>
      <c r="F808" s="22"/>
      <c r="G808" s="6"/>
    </row>
    <row r="809" spans="1:7" x14ac:dyDescent="0.35">
      <c r="A809" s="13" t="s">
        <v>249</v>
      </c>
      <c r="B809" s="8"/>
      <c r="C809" s="9"/>
      <c r="D809" s="10"/>
      <c r="E809" s="21"/>
      <c r="F809" s="22"/>
      <c r="G809" s="6"/>
    </row>
    <row r="810" spans="1:7" x14ac:dyDescent="0.35">
      <c r="A810" s="13" t="s">
        <v>250</v>
      </c>
      <c r="B810" s="8"/>
      <c r="C810" s="9"/>
      <c r="D810" s="10"/>
      <c r="E810" s="21"/>
      <c r="F810" s="22"/>
      <c r="G810" s="6"/>
    </row>
    <row r="811" spans="1:7" x14ac:dyDescent="0.35">
      <c r="A811" s="13" t="s">
        <v>251</v>
      </c>
      <c r="B811" s="8"/>
      <c r="C811" s="9"/>
      <c r="D811" s="10"/>
      <c r="E811" s="21"/>
      <c r="F811" s="22"/>
      <c r="G811" s="6"/>
    </row>
    <row r="812" spans="1:7" x14ac:dyDescent="0.35">
      <c r="A812" s="13" t="s">
        <v>252</v>
      </c>
      <c r="B812" s="8"/>
      <c r="C812" s="9"/>
      <c r="D812" s="10"/>
      <c r="E812" s="21"/>
      <c r="F812" s="22"/>
      <c r="G812" s="6"/>
    </row>
    <row r="813" spans="1:7" x14ac:dyDescent="0.35">
      <c r="A813" s="13" t="s">
        <v>253</v>
      </c>
      <c r="B813" s="8"/>
      <c r="C813" s="9"/>
      <c r="D813" s="10"/>
      <c r="E813" s="21"/>
      <c r="F813" s="22"/>
      <c r="G813" s="6"/>
    </row>
    <row r="814" spans="1:7" x14ac:dyDescent="0.35">
      <c r="A814" s="13" t="s">
        <v>254</v>
      </c>
      <c r="B814" s="8"/>
      <c r="C814" s="9"/>
      <c r="D814" s="10"/>
      <c r="E814" s="21"/>
      <c r="F814" s="22"/>
      <c r="G814" s="6"/>
    </row>
    <row r="815" spans="1:7" x14ac:dyDescent="0.35">
      <c r="A815" s="13" t="s">
        <v>255</v>
      </c>
      <c r="B815" s="8"/>
      <c r="C815" s="9"/>
      <c r="D815" s="10"/>
      <c r="E815" s="21"/>
      <c r="F815" s="22"/>
      <c r="G815" s="6"/>
    </row>
    <row r="816" spans="1:7" x14ac:dyDescent="0.35">
      <c r="A816" s="13" t="s">
        <v>256</v>
      </c>
      <c r="B816" s="8"/>
      <c r="C816" s="9"/>
      <c r="D816" s="10"/>
      <c r="E816" s="21"/>
      <c r="F816" s="22"/>
      <c r="G816" s="6"/>
    </row>
    <row r="817" spans="1:7" x14ac:dyDescent="0.35">
      <c r="A817" s="13" t="s">
        <v>257</v>
      </c>
      <c r="B817" s="8"/>
      <c r="C817" s="9"/>
      <c r="D817" s="10"/>
      <c r="E817" s="21"/>
      <c r="F817" s="22"/>
      <c r="G817" s="6"/>
    </row>
    <row r="818" spans="1:7" x14ac:dyDescent="0.35">
      <c r="A818" s="13" t="s">
        <v>258</v>
      </c>
      <c r="B818" s="8"/>
      <c r="C818" s="9"/>
      <c r="D818" s="10"/>
      <c r="E818" s="21"/>
      <c r="F818" s="22"/>
      <c r="G818" s="6"/>
    </row>
    <row r="819" spans="1:7" x14ac:dyDescent="0.35">
      <c r="A819" s="13" t="s">
        <v>259</v>
      </c>
      <c r="B819" s="8"/>
      <c r="C819" s="9"/>
      <c r="D819" s="10"/>
      <c r="E819" s="21"/>
      <c r="F819" s="22"/>
      <c r="G819" s="6"/>
    </row>
    <row r="820" spans="1:7" x14ac:dyDescent="0.35">
      <c r="A820" s="13" t="s">
        <v>260</v>
      </c>
      <c r="B820" s="8"/>
      <c r="C820" s="9"/>
      <c r="D820" s="10"/>
      <c r="E820" s="21"/>
      <c r="F820" s="22"/>
      <c r="G820" s="6"/>
    </row>
    <row r="821" spans="1:7" x14ac:dyDescent="0.35">
      <c r="A821" s="13" t="s">
        <v>261</v>
      </c>
      <c r="B821" s="8"/>
      <c r="C821" s="9"/>
      <c r="D821" s="10"/>
      <c r="E821" s="21"/>
      <c r="F821" s="22"/>
      <c r="G821" s="6"/>
    </row>
    <row r="822" spans="1:7" x14ac:dyDescent="0.35">
      <c r="A822" s="13" t="s">
        <v>262</v>
      </c>
      <c r="B822" s="8"/>
      <c r="C822" s="9"/>
      <c r="D822" s="10"/>
      <c r="E822" s="21"/>
      <c r="F822" s="22"/>
      <c r="G822" s="6"/>
    </row>
    <row r="823" spans="1:7" x14ac:dyDescent="0.35">
      <c r="A823" s="13" t="s">
        <v>263</v>
      </c>
      <c r="B823" s="8"/>
      <c r="C823" s="9"/>
      <c r="D823" s="10"/>
      <c r="E823" s="21"/>
      <c r="F823" s="22"/>
      <c r="G823" s="6"/>
    </row>
    <row r="824" spans="1:7" x14ac:dyDescent="0.35">
      <c r="A824" s="13" t="s">
        <v>264</v>
      </c>
      <c r="B824" s="8"/>
      <c r="C824" s="9"/>
      <c r="D824" s="10"/>
      <c r="E824" s="21"/>
      <c r="F824" s="22"/>
      <c r="G824" s="6"/>
    </row>
    <row r="825" spans="1:7" x14ac:dyDescent="0.35">
      <c r="A825" s="13" t="s">
        <v>265</v>
      </c>
      <c r="B825" s="8"/>
      <c r="C825" s="9"/>
      <c r="D825" s="10"/>
      <c r="E825" s="21"/>
      <c r="F825" s="22"/>
      <c r="G825" s="6"/>
    </row>
    <row r="826" spans="1:7" x14ac:dyDescent="0.35">
      <c r="A826" s="13" t="s">
        <v>266</v>
      </c>
      <c r="B826" s="8"/>
      <c r="C826" s="9"/>
      <c r="D826" s="10"/>
      <c r="E826" s="21"/>
      <c r="F826" s="22"/>
      <c r="G826" s="6"/>
    </row>
    <row r="827" spans="1:7" x14ac:dyDescent="0.35">
      <c r="A827" s="13" t="s">
        <v>267</v>
      </c>
      <c r="B827" s="8"/>
      <c r="C827" s="9"/>
      <c r="D827" s="10"/>
      <c r="E827" s="21"/>
      <c r="F827" s="22"/>
      <c r="G827" s="6"/>
    </row>
    <row r="828" spans="1:7" x14ac:dyDescent="0.35">
      <c r="A828" s="13" t="s">
        <v>268</v>
      </c>
      <c r="B828" s="8"/>
      <c r="C828" s="9"/>
      <c r="D828" s="10"/>
      <c r="E828" s="21"/>
      <c r="F828" s="22"/>
      <c r="G828" s="6"/>
    </row>
    <row r="829" spans="1:7" x14ac:dyDescent="0.35">
      <c r="A829" s="13" t="s">
        <v>269</v>
      </c>
      <c r="B829" s="8"/>
      <c r="C829" s="9"/>
      <c r="D829" s="10"/>
      <c r="E829" s="21"/>
      <c r="F829" s="22"/>
      <c r="G829" s="6"/>
    </row>
    <row r="830" spans="1:7" x14ac:dyDescent="0.35">
      <c r="A830" s="13" t="s">
        <v>270</v>
      </c>
      <c r="B830" s="8"/>
      <c r="C830" s="9"/>
      <c r="D830" s="10"/>
      <c r="E830" s="21"/>
      <c r="F830" s="22"/>
      <c r="G830" s="6"/>
    </row>
    <row r="831" spans="1:7" x14ac:dyDescent="0.35">
      <c r="A831" s="13" t="s">
        <v>271</v>
      </c>
      <c r="B831" s="8"/>
      <c r="C831" s="9"/>
      <c r="D831" s="10"/>
      <c r="E831" s="21"/>
      <c r="F831" s="22"/>
      <c r="G831" s="6"/>
    </row>
    <row r="832" spans="1:7" x14ac:dyDescent="0.35">
      <c r="A832" s="2"/>
      <c r="B832" s="2"/>
      <c r="C832" s="2"/>
      <c r="D832" s="2"/>
      <c r="E832" s="2"/>
      <c r="F832" s="2"/>
      <c r="G832" s="2"/>
    </row>
    <row r="833" spans="1:7" x14ac:dyDescent="0.35">
      <c r="A833" s="13" t="s">
        <v>32</v>
      </c>
      <c r="B833" s="15" t="s">
        <v>0</v>
      </c>
      <c r="C833" s="16" t="s">
        <v>1</v>
      </c>
      <c r="D833" s="17" t="s">
        <v>2</v>
      </c>
      <c r="E833" s="24" t="s">
        <v>3</v>
      </c>
      <c r="F833" s="23" t="s">
        <v>4</v>
      </c>
      <c r="G833" s="18" t="s">
        <v>5</v>
      </c>
    </row>
    <row r="834" spans="1:7" x14ac:dyDescent="0.35">
      <c r="A834" s="13" t="s">
        <v>242</v>
      </c>
      <c r="B834" s="8"/>
      <c r="C834" s="9"/>
      <c r="D834" s="10"/>
      <c r="E834" s="21"/>
      <c r="F834" s="22"/>
      <c r="G834" s="6"/>
    </row>
    <row r="835" spans="1:7" x14ac:dyDescent="0.35">
      <c r="A835" s="13" t="s">
        <v>243</v>
      </c>
      <c r="B835" s="8"/>
      <c r="C835" s="9"/>
      <c r="D835" s="10"/>
      <c r="E835" s="21"/>
      <c r="F835" s="22"/>
      <c r="G835" s="6"/>
    </row>
    <row r="836" spans="1:7" x14ac:dyDescent="0.35">
      <c r="A836" s="13" t="s">
        <v>244</v>
      </c>
      <c r="B836" s="8"/>
      <c r="C836" s="9"/>
      <c r="D836" s="10"/>
      <c r="E836" s="21"/>
      <c r="F836" s="22"/>
      <c r="G836" s="6"/>
    </row>
    <row r="837" spans="1:7" x14ac:dyDescent="0.35">
      <c r="A837" s="13" t="s">
        <v>245</v>
      </c>
      <c r="B837" s="8"/>
      <c r="C837" s="9"/>
      <c r="D837" s="10"/>
      <c r="E837" s="21"/>
      <c r="F837" s="22"/>
      <c r="G837" s="6"/>
    </row>
    <row r="838" spans="1:7" x14ac:dyDescent="0.35">
      <c r="A838" s="13" t="s">
        <v>246</v>
      </c>
      <c r="B838" s="8"/>
      <c r="C838" s="9"/>
      <c r="D838" s="10"/>
      <c r="E838" s="21"/>
      <c r="F838" s="22"/>
      <c r="G838" s="6"/>
    </row>
    <row r="839" spans="1:7" x14ac:dyDescent="0.35">
      <c r="A839" s="13" t="s">
        <v>247</v>
      </c>
      <c r="B839" s="8"/>
      <c r="C839" s="9"/>
      <c r="D839" s="10"/>
      <c r="E839" s="21"/>
      <c r="F839" s="22"/>
      <c r="G839" s="6"/>
    </row>
    <row r="840" spans="1:7" x14ac:dyDescent="0.35">
      <c r="A840" s="13" t="s">
        <v>248</v>
      </c>
      <c r="B840" s="8"/>
      <c r="C840" s="9"/>
      <c r="D840" s="10"/>
      <c r="E840" s="21"/>
      <c r="F840" s="22"/>
      <c r="G840" s="6"/>
    </row>
    <row r="841" spans="1:7" x14ac:dyDescent="0.35">
      <c r="A841" s="13" t="s">
        <v>249</v>
      </c>
      <c r="B841" s="8"/>
      <c r="C841" s="9"/>
      <c r="D841" s="10"/>
      <c r="E841" s="21"/>
      <c r="F841" s="22"/>
      <c r="G841" s="6"/>
    </row>
    <row r="842" spans="1:7" x14ac:dyDescent="0.35">
      <c r="A842" s="13" t="s">
        <v>250</v>
      </c>
      <c r="B842" s="8"/>
      <c r="C842" s="9"/>
      <c r="D842" s="10"/>
      <c r="E842" s="21"/>
      <c r="F842" s="22"/>
      <c r="G842" s="6"/>
    </row>
    <row r="843" spans="1:7" x14ac:dyDescent="0.35">
      <c r="A843" s="13" t="s">
        <v>251</v>
      </c>
      <c r="B843" s="8"/>
      <c r="C843" s="9"/>
      <c r="D843" s="10"/>
      <c r="E843" s="21"/>
      <c r="F843" s="22"/>
      <c r="G843" s="6"/>
    </row>
    <row r="844" spans="1:7" x14ac:dyDescent="0.35">
      <c r="A844" s="13" t="s">
        <v>252</v>
      </c>
      <c r="B844" s="8"/>
      <c r="C844" s="9"/>
      <c r="D844" s="10"/>
      <c r="E844" s="21"/>
      <c r="F844" s="22"/>
      <c r="G844" s="6"/>
    </row>
    <row r="845" spans="1:7" x14ac:dyDescent="0.35">
      <c r="A845" s="13" t="s">
        <v>253</v>
      </c>
      <c r="B845" s="8"/>
      <c r="C845" s="9"/>
      <c r="D845" s="10"/>
      <c r="E845" s="21"/>
      <c r="F845" s="22"/>
      <c r="G845" s="6"/>
    </row>
    <row r="846" spans="1:7" x14ac:dyDescent="0.35">
      <c r="A846" s="13" t="s">
        <v>254</v>
      </c>
      <c r="B846" s="8"/>
      <c r="C846" s="9"/>
      <c r="D846" s="10"/>
      <c r="E846" s="21"/>
      <c r="F846" s="22"/>
      <c r="G846" s="6"/>
    </row>
    <row r="847" spans="1:7" x14ac:dyDescent="0.35">
      <c r="A847" s="13" t="s">
        <v>255</v>
      </c>
      <c r="B847" s="8"/>
      <c r="C847" s="9"/>
      <c r="D847" s="10"/>
      <c r="E847" s="21"/>
      <c r="F847" s="22"/>
      <c r="G847" s="6"/>
    </row>
    <row r="848" spans="1:7" x14ac:dyDescent="0.35">
      <c r="A848" s="13" t="s">
        <v>256</v>
      </c>
      <c r="B848" s="8"/>
      <c r="C848" s="9"/>
      <c r="D848" s="10"/>
      <c r="E848" s="21"/>
      <c r="F848" s="22"/>
      <c r="G848" s="6"/>
    </row>
    <row r="849" spans="1:7" x14ac:dyDescent="0.35">
      <c r="A849" s="13" t="s">
        <v>257</v>
      </c>
      <c r="B849" s="8"/>
      <c r="C849" s="9"/>
      <c r="D849" s="10"/>
      <c r="E849" s="21"/>
      <c r="F849" s="22"/>
      <c r="G849" s="6"/>
    </row>
    <row r="850" spans="1:7" x14ac:dyDescent="0.35">
      <c r="A850" s="13" t="s">
        <v>258</v>
      </c>
      <c r="B850" s="8"/>
      <c r="C850" s="9"/>
      <c r="D850" s="10"/>
      <c r="E850" s="21"/>
      <c r="F850" s="22"/>
      <c r="G850" s="6"/>
    </row>
    <row r="851" spans="1:7" x14ac:dyDescent="0.35">
      <c r="A851" s="13" t="s">
        <v>259</v>
      </c>
      <c r="B851" s="8"/>
      <c r="C851" s="9"/>
      <c r="D851" s="10"/>
      <c r="E851" s="21"/>
      <c r="F851" s="22"/>
      <c r="G851" s="6"/>
    </row>
    <row r="852" spans="1:7" x14ac:dyDescent="0.35">
      <c r="A852" s="13" t="s">
        <v>260</v>
      </c>
      <c r="B852" s="8"/>
      <c r="C852" s="9"/>
      <c r="D852" s="10"/>
      <c r="E852" s="21"/>
      <c r="F852" s="22"/>
      <c r="G852" s="6"/>
    </row>
    <row r="853" spans="1:7" x14ac:dyDescent="0.35">
      <c r="A853" s="13" t="s">
        <v>261</v>
      </c>
      <c r="B853" s="8"/>
      <c r="C853" s="9"/>
      <c r="D853" s="10"/>
      <c r="E853" s="21"/>
      <c r="F853" s="22"/>
      <c r="G853" s="6"/>
    </row>
    <row r="854" spans="1:7" x14ac:dyDescent="0.35">
      <c r="A854" s="13" t="s">
        <v>262</v>
      </c>
      <c r="B854" s="8"/>
      <c r="C854" s="9"/>
      <c r="D854" s="10"/>
      <c r="E854" s="21"/>
      <c r="F854" s="22"/>
      <c r="G854" s="6"/>
    </row>
    <row r="855" spans="1:7" x14ac:dyDescent="0.35">
      <c r="A855" s="13" t="s">
        <v>263</v>
      </c>
      <c r="B855" s="8"/>
      <c r="C855" s="9"/>
      <c r="D855" s="10"/>
      <c r="E855" s="21"/>
      <c r="F855" s="22"/>
      <c r="G855" s="6"/>
    </row>
    <row r="856" spans="1:7" x14ac:dyDescent="0.35">
      <c r="A856" s="13" t="s">
        <v>264</v>
      </c>
      <c r="B856" s="8"/>
      <c r="C856" s="9"/>
      <c r="D856" s="10"/>
      <c r="E856" s="21"/>
      <c r="F856" s="22"/>
      <c r="G856" s="6"/>
    </row>
    <row r="857" spans="1:7" x14ac:dyDescent="0.35">
      <c r="A857" s="13" t="s">
        <v>265</v>
      </c>
      <c r="B857" s="8"/>
      <c r="C857" s="9"/>
      <c r="D857" s="10"/>
      <c r="E857" s="21"/>
      <c r="F857" s="22"/>
      <c r="G857" s="6"/>
    </row>
    <row r="858" spans="1:7" x14ac:dyDescent="0.35">
      <c r="A858" s="13" t="s">
        <v>266</v>
      </c>
      <c r="B858" s="8"/>
      <c r="C858" s="9"/>
      <c r="D858" s="10"/>
      <c r="E858" s="21"/>
      <c r="F858" s="22"/>
      <c r="G858" s="6"/>
    </row>
    <row r="859" spans="1:7" x14ac:dyDescent="0.35">
      <c r="A859" s="13" t="s">
        <v>267</v>
      </c>
      <c r="B859" s="8"/>
      <c r="C859" s="9"/>
      <c r="D859" s="10"/>
      <c r="E859" s="21"/>
      <c r="F859" s="22"/>
      <c r="G859" s="6"/>
    </row>
    <row r="860" spans="1:7" x14ac:dyDescent="0.35">
      <c r="A860" s="13" t="s">
        <v>268</v>
      </c>
      <c r="B860" s="8"/>
      <c r="C860" s="9"/>
      <c r="D860" s="10"/>
      <c r="E860" s="21"/>
      <c r="F860" s="22"/>
      <c r="G860" s="6"/>
    </row>
    <row r="861" spans="1:7" x14ac:dyDescent="0.35">
      <c r="A861" s="13" t="s">
        <v>269</v>
      </c>
      <c r="B861" s="8"/>
      <c r="C861" s="9"/>
      <c r="D861" s="10"/>
      <c r="E861" s="21"/>
      <c r="F861" s="22"/>
      <c r="G861" s="6"/>
    </row>
    <row r="862" spans="1:7" x14ac:dyDescent="0.35">
      <c r="A862" s="13" t="s">
        <v>270</v>
      </c>
      <c r="B862" s="8"/>
      <c r="C862" s="9"/>
      <c r="D862" s="10"/>
      <c r="E862" s="21"/>
      <c r="F862" s="22"/>
      <c r="G862" s="6"/>
    </row>
    <row r="863" spans="1:7" x14ac:dyDescent="0.35">
      <c r="A863" s="13" t="s">
        <v>271</v>
      </c>
      <c r="B863" s="8"/>
      <c r="C863" s="9"/>
      <c r="D863" s="10"/>
      <c r="E863" s="21"/>
      <c r="F863" s="22"/>
      <c r="G863" s="6"/>
    </row>
    <row r="864" spans="1:7" x14ac:dyDescent="0.35">
      <c r="A864" s="2"/>
      <c r="B864" s="2"/>
      <c r="C864" s="2"/>
      <c r="D864" s="2"/>
      <c r="E864" s="2"/>
      <c r="F864" s="2"/>
      <c r="G864" s="2"/>
    </row>
    <row r="865" spans="1:7" x14ac:dyDescent="0.35">
      <c r="A865" s="13" t="s">
        <v>33</v>
      </c>
      <c r="B865" s="15" t="s">
        <v>0</v>
      </c>
      <c r="C865" s="16" t="s">
        <v>1</v>
      </c>
      <c r="D865" s="17" t="s">
        <v>2</v>
      </c>
      <c r="E865" s="24" t="s">
        <v>3</v>
      </c>
      <c r="F865" s="23" t="s">
        <v>4</v>
      </c>
      <c r="G865" s="18" t="s">
        <v>5</v>
      </c>
    </row>
    <row r="866" spans="1:7" x14ac:dyDescent="0.35">
      <c r="A866" s="13" t="s">
        <v>242</v>
      </c>
      <c r="B866" s="8"/>
      <c r="C866" s="9"/>
      <c r="D866" s="10"/>
      <c r="E866" s="21"/>
      <c r="F866" s="22"/>
      <c r="G866" s="6"/>
    </row>
    <row r="867" spans="1:7" x14ac:dyDescent="0.35">
      <c r="A867" s="13" t="s">
        <v>243</v>
      </c>
      <c r="B867" s="8"/>
      <c r="C867" s="9"/>
      <c r="D867" s="10"/>
      <c r="E867" s="21"/>
      <c r="F867" s="22"/>
      <c r="G867" s="6"/>
    </row>
    <row r="868" spans="1:7" x14ac:dyDescent="0.35">
      <c r="A868" s="13" t="s">
        <v>244</v>
      </c>
      <c r="B868" s="8"/>
      <c r="C868" s="9"/>
      <c r="D868" s="10"/>
      <c r="E868" s="21"/>
      <c r="F868" s="22"/>
      <c r="G868" s="6"/>
    </row>
    <row r="869" spans="1:7" x14ac:dyDescent="0.35">
      <c r="A869" s="13" t="s">
        <v>245</v>
      </c>
      <c r="B869" s="8"/>
      <c r="C869" s="9"/>
      <c r="D869" s="10"/>
      <c r="E869" s="21"/>
      <c r="F869" s="22"/>
      <c r="G869" s="6"/>
    </row>
    <row r="870" spans="1:7" x14ac:dyDescent="0.35">
      <c r="A870" s="13" t="s">
        <v>246</v>
      </c>
      <c r="B870" s="8"/>
      <c r="C870" s="9"/>
      <c r="D870" s="10"/>
      <c r="E870" s="21"/>
      <c r="F870" s="22"/>
      <c r="G870" s="6"/>
    </row>
    <row r="871" spans="1:7" x14ac:dyDescent="0.35">
      <c r="A871" s="13" t="s">
        <v>247</v>
      </c>
      <c r="B871" s="8"/>
      <c r="C871" s="9"/>
      <c r="D871" s="10"/>
      <c r="E871" s="21"/>
      <c r="F871" s="22"/>
      <c r="G871" s="6"/>
    </row>
    <row r="872" spans="1:7" x14ac:dyDescent="0.35">
      <c r="A872" s="13" t="s">
        <v>248</v>
      </c>
      <c r="B872" s="8"/>
      <c r="C872" s="9"/>
      <c r="D872" s="10"/>
      <c r="E872" s="21"/>
      <c r="F872" s="22"/>
      <c r="G872" s="6"/>
    </row>
    <row r="873" spans="1:7" x14ac:dyDescent="0.35">
      <c r="A873" s="13" t="s">
        <v>249</v>
      </c>
      <c r="B873" s="8"/>
      <c r="C873" s="9"/>
      <c r="D873" s="10"/>
      <c r="E873" s="21"/>
      <c r="F873" s="22"/>
      <c r="G873" s="6"/>
    </row>
    <row r="874" spans="1:7" x14ac:dyDescent="0.35">
      <c r="A874" s="13" t="s">
        <v>250</v>
      </c>
      <c r="B874" s="8"/>
      <c r="C874" s="9"/>
      <c r="D874" s="10"/>
      <c r="E874" s="21"/>
      <c r="F874" s="22"/>
      <c r="G874" s="6"/>
    </row>
    <row r="875" spans="1:7" x14ac:dyDescent="0.35">
      <c r="A875" s="13" t="s">
        <v>251</v>
      </c>
      <c r="B875" s="8"/>
      <c r="C875" s="9"/>
      <c r="D875" s="10"/>
      <c r="E875" s="21"/>
      <c r="F875" s="22"/>
      <c r="G875" s="6"/>
    </row>
    <row r="876" spans="1:7" x14ac:dyDescent="0.35">
      <c r="A876" s="13" t="s">
        <v>252</v>
      </c>
      <c r="B876" s="8"/>
      <c r="C876" s="9"/>
      <c r="D876" s="10"/>
      <c r="E876" s="21"/>
      <c r="F876" s="22"/>
      <c r="G876" s="6"/>
    </row>
    <row r="877" spans="1:7" x14ac:dyDescent="0.35">
      <c r="A877" s="13" t="s">
        <v>253</v>
      </c>
      <c r="B877" s="8"/>
      <c r="C877" s="9"/>
      <c r="D877" s="10"/>
      <c r="E877" s="21"/>
      <c r="F877" s="22"/>
      <c r="G877" s="6"/>
    </row>
    <row r="878" spans="1:7" x14ac:dyDescent="0.35">
      <c r="A878" s="13" t="s">
        <v>254</v>
      </c>
      <c r="B878" s="8"/>
      <c r="C878" s="9"/>
      <c r="D878" s="10"/>
      <c r="E878" s="21"/>
      <c r="F878" s="22"/>
      <c r="G878" s="6"/>
    </row>
    <row r="879" spans="1:7" x14ac:dyDescent="0.35">
      <c r="A879" s="13" t="s">
        <v>255</v>
      </c>
      <c r="B879" s="8"/>
      <c r="C879" s="9"/>
      <c r="D879" s="10"/>
      <c r="E879" s="21"/>
      <c r="F879" s="22"/>
      <c r="G879" s="6"/>
    </row>
    <row r="880" spans="1:7" x14ac:dyDescent="0.35">
      <c r="A880" s="13" t="s">
        <v>256</v>
      </c>
      <c r="B880" s="8"/>
      <c r="C880" s="9"/>
      <c r="D880" s="10"/>
      <c r="E880" s="21"/>
      <c r="F880" s="22"/>
      <c r="G880" s="6"/>
    </row>
    <row r="881" spans="1:7" x14ac:dyDescent="0.35">
      <c r="A881" s="13" t="s">
        <v>257</v>
      </c>
      <c r="B881" s="8"/>
      <c r="C881" s="9"/>
      <c r="D881" s="10"/>
      <c r="E881" s="21"/>
      <c r="F881" s="22"/>
      <c r="G881" s="6"/>
    </row>
    <row r="882" spans="1:7" x14ac:dyDescent="0.35">
      <c r="A882" s="13" t="s">
        <v>258</v>
      </c>
      <c r="B882" s="8"/>
      <c r="C882" s="9"/>
      <c r="D882" s="10"/>
      <c r="E882" s="21"/>
      <c r="F882" s="22"/>
      <c r="G882" s="6"/>
    </row>
    <row r="883" spans="1:7" x14ac:dyDescent="0.35">
      <c r="A883" s="13" t="s">
        <v>259</v>
      </c>
      <c r="B883" s="8"/>
      <c r="C883" s="9"/>
      <c r="D883" s="10"/>
      <c r="E883" s="21"/>
      <c r="F883" s="22"/>
      <c r="G883" s="6"/>
    </row>
    <row r="884" spans="1:7" x14ac:dyDescent="0.35">
      <c r="A884" s="13" t="s">
        <v>260</v>
      </c>
      <c r="B884" s="8"/>
      <c r="C884" s="9"/>
      <c r="D884" s="10"/>
      <c r="E884" s="21"/>
      <c r="F884" s="22"/>
      <c r="G884" s="6"/>
    </row>
    <row r="885" spans="1:7" x14ac:dyDescent="0.35">
      <c r="A885" s="13" t="s">
        <v>261</v>
      </c>
      <c r="B885" s="8"/>
      <c r="C885" s="9"/>
      <c r="D885" s="10"/>
      <c r="E885" s="21"/>
      <c r="F885" s="22"/>
      <c r="G885" s="6"/>
    </row>
    <row r="886" spans="1:7" x14ac:dyDescent="0.35">
      <c r="A886" s="13" t="s">
        <v>262</v>
      </c>
      <c r="B886" s="8"/>
      <c r="C886" s="9"/>
      <c r="D886" s="10"/>
      <c r="E886" s="21"/>
      <c r="F886" s="22"/>
      <c r="G886" s="6"/>
    </row>
    <row r="887" spans="1:7" x14ac:dyDescent="0.35">
      <c r="A887" s="13" t="s">
        <v>263</v>
      </c>
      <c r="B887" s="8"/>
      <c r="C887" s="9"/>
      <c r="D887" s="10"/>
      <c r="E887" s="21"/>
      <c r="F887" s="22"/>
      <c r="G887" s="6"/>
    </row>
    <row r="888" spans="1:7" x14ac:dyDescent="0.35">
      <c r="A888" s="13" t="s">
        <v>264</v>
      </c>
      <c r="B888" s="8"/>
      <c r="C888" s="9"/>
      <c r="D888" s="10"/>
      <c r="E888" s="21"/>
      <c r="F888" s="22"/>
      <c r="G888" s="6"/>
    </row>
    <row r="889" spans="1:7" x14ac:dyDescent="0.35">
      <c r="A889" s="13" t="s">
        <v>265</v>
      </c>
      <c r="B889" s="8"/>
      <c r="C889" s="9"/>
      <c r="D889" s="10"/>
      <c r="E889" s="21"/>
      <c r="F889" s="22"/>
      <c r="G889" s="6"/>
    </row>
    <row r="890" spans="1:7" x14ac:dyDescent="0.35">
      <c r="A890" s="13" t="s">
        <v>266</v>
      </c>
      <c r="B890" s="8"/>
      <c r="C890" s="9"/>
      <c r="D890" s="10"/>
      <c r="E890" s="21"/>
      <c r="F890" s="22"/>
      <c r="G890" s="6"/>
    </row>
    <row r="891" spans="1:7" x14ac:dyDescent="0.35">
      <c r="A891" s="13" t="s">
        <v>267</v>
      </c>
      <c r="B891" s="8"/>
      <c r="C891" s="9"/>
      <c r="D891" s="10"/>
      <c r="E891" s="21"/>
      <c r="F891" s="22"/>
      <c r="G891" s="6"/>
    </row>
    <row r="892" spans="1:7" x14ac:dyDescent="0.35">
      <c r="A892" s="13" t="s">
        <v>268</v>
      </c>
      <c r="B892" s="8"/>
      <c r="C892" s="9"/>
      <c r="D892" s="10"/>
      <c r="E892" s="21"/>
      <c r="F892" s="22"/>
      <c r="G892" s="6"/>
    </row>
    <row r="893" spans="1:7" x14ac:dyDescent="0.35">
      <c r="A893" s="13" t="s">
        <v>269</v>
      </c>
      <c r="B893" s="8"/>
      <c r="C893" s="9"/>
      <c r="D893" s="10"/>
      <c r="E893" s="21"/>
      <c r="F893" s="22"/>
      <c r="G893" s="6"/>
    </row>
    <row r="894" spans="1:7" x14ac:dyDescent="0.35">
      <c r="A894" s="13" t="s">
        <v>270</v>
      </c>
      <c r="B894" s="8"/>
      <c r="C894" s="9"/>
      <c r="D894" s="10"/>
      <c r="E894" s="21"/>
      <c r="F894" s="22"/>
      <c r="G894" s="6"/>
    </row>
    <row r="895" spans="1:7" x14ac:dyDescent="0.35">
      <c r="A895" s="13" t="s">
        <v>271</v>
      </c>
      <c r="B895" s="8"/>
      <c r="C895" s="9"/>
      <c r="D895" s="10"/>
      <c r="E895" s="21"/>
      <c r="F895" s="22"/>
      <c r="G895" s="6"/>
    </row>
    <row r="896" spans="1:7" x14ac:dyDescent="0.35">
      <c r="A896" s="2"/>
      <c r="B896" s="2"/>
      <c r="C896" s="2"/>
      <c r="D896" s="2"/>
      <c r="E896" s="2"/>
      <c r="F896" s="2"/>
      <c r="G896" s="2"/>
    </row>
    <row r="897" spans="1:7" x14ac:dyDescent="0.35">
      <c r="A897" s="13" t="s">
        <v>34</v>
      </c>
      <c r="B897" s="15" t="s">
        <v>0</v>
      </c>
      <c r="C897" s="16" t="s">
        <v>1</v>
      </c>
      <c r="D897" s="17" t="s">
        <v>2</v>
      </c>
      <c r="E897" s="24" t="s">
        <v>3</v>
      </c>
      <c r="F897" s="23" t="s">
        <v>4</v>
      </c>
      <c r="G897" s="18" t="s">
        <v>5</v>
      </c>
    </row>
    <row r="898" spans="1:7" x14ac:dyDescent="0.35">
      <c r="A898" s="13" t="s">
        <v>242</v>
      </c>
      <c r="B898" s="8"/>
      <c r="C898" s="9"/>
      <c r="D898" s="10"/>
      <c r="E898" s="21"/>
      <c r="F898" s="22"/>
      <c r="G898" s="6"/>
    </row>
    <row r="899" spans="1:7" x14ac:dyDescent="0.35">
      <c r="A899" s="13" t="s">
        <v>243</v>
      </c>
      <c r="B899" s="8"/>
      <c r="C899" s="9"/>
      <c r="D899" s="10"/>
      <c r="E899" s="21"/>
      <c r="F899" s="22"/>
      <c r="G899" s="6"/>
    </row>
    <row r="900" spans="1:7" x14ac:dyDescent="0.35">
      <c r="A900" s="13" t="s">
        <v>244</v>
      </c>
      <c r="B900" s="8"/>
      <c r="C900" s="9"/>
      <c r="D900" s="10"/>
      <c r="E900" s="21"/>
      <c r="F900" s="22"/>
      <c r="G900" s="6"/>
    </row>
    <row r="901" spans="1:7" x14ac:dyDescent="0.35">
      <c r="A901" s="13" t="s">
        <v>245</v>
      </c>
      <c r="B901" s="8"/>
      <c r="C901" s="9"/>
      <c r="D901" s="10"/>
      <c r="E901" s="21"/>
      <c r="F901" s="22"/>
      <c r="G901" s="6"/>
    </row>
    <row r="902" spans="1:7" x14ac:dyDescent="0.35">
      <c r="A902" s="13" t="s">
        <v>246</v>
      </c>
      <c r="B902" s="8"/>
      <c r="C902" s="9"/>
      <c r="D902" s="10"/>
      <c r="E902" s="21"/>
      <c r="F902" s="22"/>
      <c r="G902" s="6"/>
    </row>
    <row r="903" spans="1:7" x14ac:dyDescent="0.35">
      <c r="A903" s="13" t="s">
        <v>247</v>
      </c>
      <c r="B903" s="8"/>
      <c r="C903" s="9"/>
      <c r="D903" s="10"/>
      <c r="E903" s="21"/>
      <c r="F903" s="22"/>
      <c r="G903" s="6"/>
    </row>
    <row r="904" spans="1:7" x14ac:dyDescent="0.35">
      <c r="A904" s="13" t="s">
        <v>248</v>
      </c>
      <c r="B904" s="8"/>
      <c r="C904" s="9"/>
      <c r="D904" s="10"/>
      <c r="E904" s="21"/>
      <c r="F904" s="22"/>
      <c r="G904" s="6"/>
    </row>
    <row r="905" spans="1:7" x14ac:dyDescent="0.35">
      <c r="A905" s="13" t="s">
        <v>249</v>
      </c>
      <c r="B905" s="8"/>
      <c r="C905" s="9"/>
      <c r="D905" s="10"/>
      <c r="E905" s="21"/>
      <c r="F905" s="22"/>
      <c r="G905" s="6"/>
    </row>
    <row r="906" spans="1:7" x14ac:dyDescent="0.35">
      <c r="A906" s="13" t="s">
        <v>250</v>
      </c>
      <c r="B906" s="8"/>
      <c r="C906" s="9"/>
      <c r="D906" s="10"/>
      <c r="E906" s="21"/>
      <c r="F906" s="22"/>
      <c r="G906" s="6"/>
    </row>
    <row r="907" spans="1:7" x14ac:dyDescent="0.35">
      <c r="A907" s="13" t="s">
        <v>251</v>
      </c>
      <c r="B907" s="8"/>
      <c r="C907" s="9"/>
      <c r="D907" s="10"/>
      <c r="E907" s="21"/>
      <c r="F907" s="22"/>
      <c r="G907" s="6"/>
    </row>
    <row r="908" spans="1:7" x14ac:dyDescent="0.35">
      <c r="A908" s="13" t="s">
        <v>252</v>
      </c>
      <c r="B908" s="8"/>
      <c r="C908" s="9"/>
      <c r="D908" s="10"/>
      <c r="E908" s="21"/>
      <c r="F908" s="22"/>
      <c r="G908" s="6"/>
    </row>
    <row r="909" spans="1:7" x14ac:dyDescent="0.35">
      <c r="A909" s="13" t="s">
        <v>253</v>
      </c>
      <c r="B909" s="8"/>
      <c r="C909" s="9"/>
      <c r="D909" s="10"/>
      <c r="E909" s="21"/>
      <c r="F909" s="22"/>
      <c r="G909" s="6"/>
    </row>
    <row r="910" spans="1:7" x14ac:dyDescent="0.35">
      <c r="A910" s="13" t="s">
        <v>254</v>
      </c>
      <c r="B910" s="8"/>
      <c r="C910" s="9"/>
      <c r="D910" s="10"/>
      <c r="E910" s="21"/>
      <c r="F910" s="22"/>
      <c r="G910" s="6"/>
    </row>
    <row r="911" spans="1:7" x14ac:dyDescent="0.35">
      <c r="A911" s="13" t="s">
        <v>255</v>
      </c>
      <c r="B911" s="8"/>
      <c r="C911" s="9"/>
      <c r="D911" s="10"/>
      <c r="E911" s="21"/>
      <c r="F911" s="22"/>
      <c r="G911" s="6"/>
    </row>
    <row r="912" spans="1:7" x14ac:dyDescent="0.35">
      <c r="A912" s="13" t="s">
        <v>256</v>
      </c>
      <c r="B912" s="8"/>
      <c r="C912" s="9"/>
      <c r="D912" s="10"/>
      <c r="E912" s="21"/>
      <c r="F912" s="22"/>
      <c r="G912" s="6"/>
    </row>
    <row r="913" spans="1:7" x14ac:dyDescent="0.35">
      <c r="A913" s="13" t="s">
        <v>257</v>
      </c>
      <c r="B913" s="8"/>
      <c r="C913" s="9"/>
      <c r="D913" s="10"/>
      <c r="E913" s="21"/>
      <c r="F913" s="22"/>
      <c r="G913" s="6"/>
    </row>
    <row r="914" spans="1:7" x14ac:dyDescent="0.35">
      <c r="A914" s="13" t="s">
        <v>258</v>
      </c>
      <c r="B914" s="8"/>
      <c r="C914" s="9"/>
      <c r="D914" s="10"/>
      <c r="E914" s="21"/>
      <c r="F914" s="22"/>
      <c r="G914" s="6"/>
    </row>
    <row r="915" spans="1:7" x14ac:dyDescent="0.35">
      <c r="A915" s="13" t="s">
        <v>259</v>
      </c>
      <c r="B915" s="8"/>
      <c r="C915" s="9"/>
      <c r="D915" s="10"/>
      <c r="E915" s="21"/>
      <c r="F915" s="22"/>
      <c r="G915" s="6"/>
    </row>
    <row r="916" spans="1:7" x14ac:dyDescent="0.35">
      <c r="A916" s="13" t="s">
        <v>260</v>
      </c>
      <c r="B916" s="8"/>
      <c r="C916" s="9"/>
      <c r="D916" s="10"/>
      <c r="E916" s="21"/>
      <c r="F916" s="22"/>
      <c r="G916" s="6"/>
    </row>
    <row r="917" spans="1:7" x14ac:dyDescent="0.35">
      <c r="A917" s="13" t="s">
        <v>261</v>
      </c>
      <c r="B917" s="8"/>
      <c r="C917" s="9"/>
      <c r="D917" s="10"/>
      <c r="E917" s="21"/>
      <c r="F917" s="22"/>
      <c r="G917" s="6"/>
    </row>
    <row r="918" spans="1:7" x14ac:dyDescent="0.35">
      <c r="A918" s="13" t="s">
        <v>262</v>
      </c>
      <c r="B918" s="8"/>
      <c r="C918" s="9"/>
      <c r="D918" s="10"/>
      <c r="E918" s="21"/>
      <c r="F918" s="22"/>
      <c r="G918" s="6"/>
    </row>
    <row r="919" spans="1:7" x14ac:dyDescent="0.35">
      <c r="A919" s="13" t="s">
        <v>263</v>
      </c>
      <c r="B919" s="8"/>
      <c r="C919" s="9"/>
      <c r="D919" s="10"/>
      <c r="E919" s="21"/>
      <c r="F919" s="22"/>
      <c r="G919" s="6"/>
    </row>
    <row r="920" spans="1:7" x14ac:dyDescent="0.35">
      <c r="A920" s="13" t="s">
        <v>264</v>
      </c>
      <c r="B920" s="8"/>
      <c r="C920" s="9"/>
      <c r="D920" s="10"/>
      <c r="E920" s="21"/>
      <c r="F920" s="22"/>
      <c r="G920" s="6"/>
    </row>
    <row r="921" spans="1:7" x14ac:dyDescent="0.35">
      <c r="A921" s="13" t="s">
        <v>265</v>
      </c>
      <c r="B921" s="8"/>
      <c r="C921" s="9"/>
      <c r="D921" s="10"/>
      <c r="E921" s="21"/>
      <c r="F921" s="22"/>
      <c r="G921" s="6"/>
    </row>
    <row r="922" spans="1:7" x14ac:dyDescent="0.35">
      <c r="A922" s="13" t="s">
        <v>266</v>
      </c>
      <c r="B922" s="8"/>
      <c r="C922" s="9"/>
      <c r="D922" s="10"/>
      <c r="E922" s="21"/>
      <c r="F922" s="22"/>
      <c r="G922" s="6"/>
    </row>
    <row r="923" spans="1:7" x14ac:dyDescent="0.35">
      <c r="A923" s="13" t="s">
        <v>267</v>
      </c>
      <c r="B923" s="8"/>
      <c r="C923" s="9"/>
      <c r="D923" s="10"/>
      <c r="E923" s="21"/>
      <c r="F923" s="22"/>
      <c r="G923" s="6"/>
    </row>
    <row r="924" spans="1:7" x14ac:dyDescent="0.35">
      <c r="A924" s="13" t="s">
        <v>268</v>
      </c>
      <c r="B924" s="8"/>
      <c r="C924" s="9"/>
      <c r="D924" s="10"/>
      <c r="E924" s="21"/>
      <c r="F924" s="22"/>
      <c r="G924" s="6"/>
    </row>
    <row r="925" spans="1:7" x14ac:dyDescent="0.35">
      <c r="A925" s="13" t="s">
        <v>269</v>
      </c>
      <c r="B925" s="8"/>
      <c r="C925" s="9"/>
      <c r="D925" s="10"/>
      <c r="E925" s="21"/>
      <c r="F925" s="22"/>
      <c r="G925" s="6"/>
    </row>
    <row r="926" spans="1:7" x14ac:dyDescent="0.35">
      <c r="A926" s="13" t="s">
        <v>270</v>
      </c>
      <c r="B926" s="8"/>
      <c r="C926" s="9"/>
      <c r="D926" s="10"/>
      <c r="E926" s="21"/>
      <c r="F926" s="22"/>
      <c r="G926" s="6"/>
    </row>
    <row r="927" spans="1:7" x14ac:dyDescent="0.35">
      <c r="A927" s="13" t="s">
        <v>271</v>
      </c>
      <c r="B927" s="8"/>
      <c r="C927" s="9"/>
      <c r="D927" s="10"/>
      <c r="E927" s="21"/>
      <c r="F927" s="22"/>
      <c r="G927" s="6"/>
    </row>
    <row r="928" spans="1:7" x14ac:dyDescent="0.35">
      <c r="A928" s="2"/>
      <c r="B928" s="2"/>
      <c r="C928" s="2"/>
      <c r="D928" s="2"/>
      <c r="E928" s="2"/>
      <c r="F928" s="2"/>
      <c r="G928" s="2"/>
    </row>
    <row r="929" spans="1:7" x14ac:dyDescent="0.35">
      <c r="A929" s="13" t="s">
        <v>35</v>
      </c>
      <c r="B929" s="15" t="s">
        <v>0</v>
      </c>
      <c r="C929" s="16" t="s">
        <v>1</v>
      </c>
      <c r="D929" s="17" t="s">
        <v>2</v>
      </c>
      <c r="E929" s="24" t="s">
        <v>3</v>
      </c>
      <c r="F929" s="23" t="s">
        <v>4</v>
      </c>
      <c r="G929" s="18" t="s">
        <v>5</v>
      </c>
    </row>
    <row r="930" spans="1:7" x14ac:dyDescent="0.35">
      <c r="A930" s="13" t="s">
        <v>242</v>
      </c>
      <c r="B930" s="8"/>
      <c r="C930" s="9"/>
      <c r="D930" s="10"/>
      <c r="E930" s="21"/>
      <c r="F930" s="22"/>
      <c r="G930" s="6"/>
    </row>
    <row r="931" spans="1:7" x14ac:dyDescent="0.35">
      <c r="A931" s="13" t="s">
        <v>243</v>
      </c>
      <c r="B931" s="8"/>
      <c r="C931" s="9"/>
      <c r="D931" s="10"/>
      <c r="E931" s="21"/>
      <c r="F931" s="22"/>
      <c r="G931" s="6"/>
    </row>
    <row r="932" spans="1:7" x14ac:dyDescent="0.35">
      <c r="A932" s="13" t="s">
        <v>244</v>
      </c>
      <c r="B932" s="8"/>
      <c r="C932" s="9"/>
      <c r="D932" s="10"/>
      <c r="E932" s="21"/>
      <c r="F932" s="22"/>
      <c r="G932" s="6"/>
    </row>
    <row r="933" spans="1:7" x14ac:dyDescent="0.35">
      <c r="A933" s="13" t="s">
        <v>245</v>
      </c>
      <c r="B933" s="8"/>
      <c r="C933" s="9"/>
      <c r="D933" s="10"/>
      <c r="E933" s="21"/>
      <c r="F933" s="22"/>
      <c r="G933" s="6"/>
    </row>
    <row r="934" spans="1:7" x14ac:dyDescent="0.35">
      <c r="A934" s="13" t="s">
        <v>246</v>
      </c>
      <c r="B934" s="8"/>
      <c r="C934" s="9"/>
      <c r="D934" s="10"/>
      <c r="E934" s="21"/>
      <c r="F934" s="22"/>
      <c r="G934" s="6"/>
    </row>
    <row r="935" spans="1:7" x14ac:dyDescent="0.35">
      <c r="A935" s="13" t="s">
        <v>247</v>
      </c>
      <c r="B935" s="8"/>
      <c r="C935" s="9"/>
      <c r="D935" s="10"/>
      <c r="E935" s="21"/>
      <c r="F935" s="22"/>
      <c r="G935" s="6"/>
    </row>
    <row r="936" spans="1:7" x14ac:dyDescent="0.35">
      <c r="A936" s="13" t="s">
        <v>248</v>
      </c>
      <c r="B936" s="8"/>
      <c r="C936" s="9"/>
      <c r="D936" s="10"/>
      <c r="E936" s="21"/>
      <c r="F936" s="22"/>
      <c r="G936" s="6"/>
    </row>
    <row r="937" spans="1:7" x14ac:dyDescent="0.35">
      <c r="A937" s="13" t="s">
        <v>249</v>
      </c>
      <c r="B937" s="8"/>
      <c r="C937" s="9"/>
      <c r="D937" s="10"/>
      <c r="E937" s="21"/>
      <c r="F937" s="22"/>
      <c r="G937" s="6"/>
    </row>
    <row r="938" spans="1:7" x14ac:dyDescent="0.35">
      <c r="A938" s="13" t="s">
        <v>250</v>
      </c>
      <c r="B938" s="8"/>
      <c r="C938" s="9"/>
      <c r="D938" s="10"/>
      <c r="E938" s="21"/>
      <c r="F938" s="22"/>
      <c r="G938" s="6"/>
    </row>
    <row r="939" spans="1:7" x14ac:dyDescent="0.35">
      <c r="A939" s="13" t="s">
        <v>251</v>
      </c>
      <c r="B939" s="8"/>
      <c r="C939" s="9"/>
      <c r="D939" s="10"/>
      <c r="E939" s="21"/>
      <c r="F939" s="22"/>
      <c r="G939" s="6"/>
    </row>
    <row r="940" spans="1:7" x14ac:dyDescent="0.35">
      <c r="A940" s="13" t="s">
        <v>252</v>
      </c>
      <c r="B940" s="8"/>
      <c r="C940" s="9"/>
      <c r="D940" s="10"/>
      <c r="E940" s="21"/>
      <c r="F940" s="22"/>
      <c r="G940" s="6"/>
    </row>
    <row r="941" spans="1:7" x14ac:dyDescent="0.35">
      <c r="A941" s="13" t="s">
        <v>253</v>
      </c>
      <c r="B941" s="8"/>
      <c r="C941" s="9"/>
      <c r="D941" s="10"/>
      <c r="E941" s="21"/>
      <c r="F941" s="22"/>
      <c r="G941" s="6"/>
    </row>
    <row r="942" spans="1:7" x14ac:dyDescent="0.35">
      <c r="A942" s="13" t="s">
        <v>254</v>
      </c>
      <c r="B942" s="8"/>
      <c r="C942" s="9"/>
      <c r="D942" s="10"/>
      <c r="E942" s="21"/>
      <c r="F942" s="22"/>
      <c r="G942" s="6"/>
    </row>
    <row r="943" spans="1:7" x14ac:dyDescent="0.35">
      <c r="A943" s="13" t="s">
        <v>255</v>
      </c>
      <c r="B943" s="8"/>
      <c r="C943" s="9"/>
      <c r="D943" s="10"/>
      <c r="E943" s="21"/>
      <c r="F943" s="22"/>
      <c r="G943" s="6"/>
    </row>
    <row r="944" spans="1:7" x14ac:dyDescent="0.35">
      <c r="A944" s="13" t="s">
        <v>256</v>
      </c>
      <c r="B944" s="8"/>
      <c r="C944" s="9"/>
      <c r="D944" s="10"/>
      <c r="E944" s="21"/>
      <c r="F944" s="22"/>
      <c r="G944" s="6"/>
    </row>
    <row r="945" spans="1:7" x14ac:dyDescent="0.35">
      <c r="A945" s="13" t="s">
        <v>257</v>
      </c>
      <c r="B945" s="8"/>
      <c r="C945" s="9"/>
      <c r="D945" s="10"/>
      <c r="E945" s="21"/>
      <c r="F945" s="22"/>
      <c r="G945" s="6"/>
    </row>
    <row r="946" spans="1:7" x14ac:dyDescent="0.35">
      <c r="A946" s="13" t="s">
        <v>258</v>
      </c>
      <c r="B946" s="8"/>
      <c r="C946" s="9"/>
      <c r="D946" s="10"/>
      <c r="E946" s="21"/>
      <c r="F946" s="22"/>
      <c r="G946" s="6"/>
    </row>
    <row r="947" spans="1:7" x14ac:dyDescent="0.35">
      <c r="A947" s="13" t="s">
        <v>259</v>
      </c>
      <c r="B947" s="8"/>
      <c r="C947" s="9"/>
      <c r="D947" s="10"/>
      <c r="E947" s="21"/>
      <c r="F947" s="22"/>
      <c r="G947" s="6"/>
    </row>
    <row r="948" spans="1:7" x14ac:dyDescent="0.35">
      <c r="A948" s="13" t="s">
        <v>260</v>
      </c>
      <c r="B948" s="8"/>
      <c r="C948" s="9"/>
      <c r="D948" s="10"/>
      <c r="E948" s="21"/>
      <c r="F948" s="22"/>
      <c r="G948" s="6"/>
    </row>
    <row r="949" spans="1:7" x14ac:dyDescent="0.35">
      <c r="A949" s="13" t="s">
        <v>261</v>
      </c>
      <c r="B949" s="8"/>
      <c r="C949" s="9"/>
      <c r="D949" s="10"/>
      <c r="E949" s="21"/>
      <c r="F949" s="22"/>
      <c r="G949" s="6"/>
    </row>
    <row r="950" spans="1:7" x14ac:dyDescent="0.35">
      <c r="A950" s="13" t="s">
        <v>262</v>
      </c>
      <c r="B950" s="8"/>
      <c r="C950" s="9"/>
      <c r="D950" s="10"/>
      <c r="E950" s="21"/>
      <c r="F950" s="22"/>
      <c r="G950" s="6"/>
    </row>
    <row r="951" spans="1:7" x14ac:dyDescent="0.35">
      <c r="A951" s="13" t="s">
        <v>263</v>
      </c>
      <c r="B951" s="8"/>
      <c r="C951" s="9"/>
      <c r="D951" s="10"/>
      <c r="E951" s="21"/>
      <c r="F951" s="22"/>
      <c r="G951" s="6"/>
    </row>
    <row r="952" spans="1:7" x14ac:dyDescent="0.35">
      <c r="A952" s="13" t="s">
        <v>264</v>
      </c>
      <c r="B952" s="8"/>
      <c r="C952" s="9"/>
      <c r="D952" s="10"/>
      <c r="E952" s="21"/>
      <c r="F952" s="22"/>
      <c r="G952" s="6"/>
    </row>
    <row r="953" spans="1:7" x14ac:dyDescent="0.35">
      <c r="A953" s="13" t="s">
        <v>265</v>
      </c>
      <c r="B953" s="8"/>
      <c r="C953" s="9"/>
      <c r="D953" s="10"/>
      <c r="E953" s="21"/>
      <c r="F953" s="22"/>
      <c r="G953" s="6"/>
    </row>
    <row r="954" spans="1:7" x14ac:dyDescent="0.35">
      <c r="A954" s="13" t="s">
        <v>266</v>
      </c>
      <c r="B954" s="8"/>
      <c r="C954" s="9"/>
      <c r="D954" s="10"/>
      <c r="E954" s="21"/>
      <c r="F954" s="22"/>
      <c r="G954" s="6"/>
    </row>
    <row r="955" spans="1:7" x14ac:dyDescent="0.35">
      <c r="A955" s="13" t="s">
        <v>267</v>
      </c>
      <c r="B955" s="8"/>
      <c r="C955" s="9"/>
      <c r="D955" s="10"/>
      <c r="E955" s="21"/>
      <c r="F955" s="22"/>
      <c r="G955" s="6"/>
    </row>
    <row r="956" spans="1:7" x14ac:dyDescent="0.35">
      <c r="A956" s="13" t="s">
        <v>268</v>
      </c>
      <c r="B956" s="8"/>
      <c r="C956" s="9"/>
      <c r="D956" s="10"/>
      <c r="E956" s="21"/>
      <c r="F956" s="22"/>
      <c r="G956" s="6"/>
    </row>
    <row r="957" spans="1:7" x14ac:dyDescent="0.35">
      <c r="A957" s="13" t="s">
        <v>269</v>
      </c>
      <c r="B957" s="8"/>
      <c r="C957" s="9"/>
      <c r="D957" s="10"/>
      <c r="E957" s="21"/>
      <c r="F957" s="22"/>
      <c r="G957" s="6"/>
    </row>
    <row r="958" spans="1:7" x14ac:dyDescent="0.35">
      <c r="A958" s="13" t="s">
        <v>270</v>
      </c>
      <c r="B958" s="8"/>
      <c r="C958" s="9"/>
      <c r="D958" s="10"/>
      <c r="E958" s="21"/>
      <c r="F958" s="22"/>
      <c r="G958" s="6"/>
    </row>
    <row r="959" spans="1:7" x14ac:dyDescent="0.35">
      <c r="A959" s="13" t="s">
        <v>271</v>
      </c>
      <c r="B959" s="8"/>
      <c r="C959" s="9"/>
      <c r="D959" s="10"/>
      <c r="E959" s="21"/>
      <c r="F959" s="22"/>
      <c r="G959" s="6"/>
    </row>
    <row r="960" spans="1:7" x14ac:dyDescent="0.35">
      <c r="A960" s="2"/>
      <c r="B960" s="2"/>
      <c r="C960" s="2"/>
      <c r="D960" s="2"/>
      <c r="E960" s="2"/>
      <c r="F960" s="2"/>
      <c r="G960" s="2"/>
    </row>
    <row r="961" spans="1:7" x14ac:dyDescent="0.35">
      <c r="A961" s="13" t="s">
        <v>36</v>
      </c>
      <c r="B961" s="15" t="s">
        <v>0</v>
      </c>
      <c r="C961" s="16" t="s">
        <v>1</v>
      </c>
      <c r="D961" s="17" t="s">
        <v>2</v>
      </c>
      <c r="E961" s="24" t="s">
        <v>3</v>
      </c>
      <c r="F961" s="23" t="s">
        <v>4</v>
      </c>
      <c r="G961" s="18" t="s">
        <v>5</v>
      </c>
    </row>
    <row r="962" spans="1:7" x14ac:dyDescent="0.35">
      <c r="A962" s="13" t="s">
        <v>242</v>
      </c>
      <c r="B962" s="8"/>
      <c r="C962" s="9"/>
      <c r="D962" s="10"/>
      <c r="E962" s="21"/>
      <c r="F962" s="22"/>
      <c r="G962" s="6"/>
    </row>
    <row r="963" spans="1:7" x14ac:dyDescent="0.35">
      <c r="A963" s="13" t="s">
        <v>243</v>
      </c>
      <c r="B963" s="8"/>
      <c r="C963" s="9"/>
      <c r="D963" s="10"/>
      <c r="E963" s="21"/>
      <c r="F963" s="22"/>
      <c r="G963" s="6"/>
    </row>
    <row r="964" spans="1:7" x14ac:dyDescent="0.35">
      <c r="A964" s="13" t="s">
        <v>244</v>
      </c>
      <c r="B964" s="8"/>
      <c r="C964" s="9"/>
      <c r="D964" s="10"/>
      <c r="E964" s="21"/>
      <c r="F964" s="22"/>
      <c r="G964" s="6"/>
    </row>
    <row r="965" spans="1:7" x14ac:dyDescent="0.35">
      <c r="A965" s="13" t="s">
        <v>245</v>
      </c>
      <c r="B965" s="8"/>
      <c r="C965" s="9"/>
      <c r="D965" s="10"/>
      <c r="E965" s="21"/>
      <c r="F965" s="22"/>
      <c r="G965" s="6"/>
    </row>
    <row r="966" spans="1:7" x14ac:dyDescent="0.35">
      <c r="A966" s="13" t="s">
        <v>246</v>
      </c>
      <c r="B966" s="8"/>
      <c r="C966" s="9"/>
      <c r="D966" s="10"/>
      <c r="E966" s="21"/>
      <c r="F966" s="22"/>
      <c r="G966" s="6"/>
    </row>
    <row r="967" spans="1:7" x14ac:dyDescent="0.35">
      <c r="A967" s="13" t="s">
        <v>247</v>
      </c>
      <c r="B967" s="8"/>
      <c r="C967" s="9"/>
      <c r="D967" s="10"/>
      <c r="E967" s="21"/>
      <c r="F967" s="22"/>
      <c r="G967" s="6"/>
    </row>
    <row r="968" spans="1:7" x14ac:dyDescent="0.35">
      <c r="A968" s="13" t="s">
        <v>248</v>
      </c>
      <c r="B968" s="8"/>
      <c r="C968" s="9"/>
      <c r="D968" s="10"/>
      <c r="E968" s="21"/>
      <c r="F968" s="22"/>
      <c r="G968" s="6"/>
    </row>
    <row r="969" spans="1:7" x14ac:dyDescent="0.35">
      <c r="A969" s="13" t="s">
        <v>249</v>
      </c>
      <c r="B969" s="8"/>
      <c r="C969" s="9"/>
      <c r="D969" s="10"/>
      <c r="E969" s="21"/>
      <c r="F969" s="22"/>
      <c r="G969" s="6"/>
    </row>
    <row r="970" spans="1:7" x14ac:dyDescent="0.35">
      <c r="A970" s="13" t="s">
        <v>250</v>
      </c>
      <c r="B970" s="8"/>
      <c r="C970" s="9"/>
      <c r="D970" s="10"/>
      <c r="E970" s="21"/>
      <c r="F970" s="22"/>
      <c r="G970" s="6"/>
    </row>
    <row r="971" spans="1:7" x14ac:dyDescent="0.35">
      <c r="A971" s="13" t="s">
        <v>251</v>
      </c>
      <c r="B971" s="8"/>
      <c r="C971" s="9"/>
      <c r="D971" s="10"/>
      <c r="E971" s="21"/>
      <c r="F971" s="22"/>
      <c r="G971" s="6"/>
    </row>
    <row r="972" spans="1:7" x14ac:dyDescent="0.35">
      <c r="A972" s="13" t="s">
        <v>252</v>
      </c>
      <c r="B972" s="8"/>
      <c r="C972" s="9"/>
      <c r="D972" s="10"/>
      <c r="E972" s="21"/>
      <c r="F972" s="22"/>
      <c r="G972" s="6"/>
    </row>
    <row r="973" spans="1:7" x14ac:dyDescent="0.35">
      <c r="A973" s="13" t="s">
        <v>253</v>
      </c>
      <c r="B973" s="8"/>
      <c r="C973" s="9"/>
      <c r="D973" s="10"/>
      <c r="E973" s="21"/>
      <c r="F973" s="22"/>
      <c r="G973" s="6"/>
    </row>
    <row r="974" spans="1:7" x14ac:dyDescent="0.35">
      <c r="A974" s="13" t="s">
        <v>254</v>
      </c>
      <c r="B974" s="8"/>
      <c r="C974" s="9"/>
      <c r="D974" s="10"/>
      <c r="E974" s="21"/>
      <c r="F974" s="22"/>
      <c r="G974" s="6"/>
    </row>
    <row r="975" spans="1:7" x14ac:dyDescent="0.35">
      <c r="A975" s="13" t="s">
        <v>255</v>
      </c>
      <c r="B975" s="8"/>
      <c r="C975" s="9"/>
      <c r="D975" s="10"/>
      <c r="E975" s="21"/>
      <c r="F975" s="22"/>
      <c r="G975" s="6"/>
    </row>
    <row r="976" spans="1:7" x14ac:dyDescent="0.35">
      <c r="A976" s="13" t="s">
        <v>256</v>
      </c>
      <c r="B976" s="8"/>
      <c r="C976" s="9"/>
      <c r="D976" s="10"/>
      <c r="E976" s="21"/>
      <c r="F976" s="22"/>
      <c r="G976" s="6"/>
    </row>
    <row r="977" spans="1:7" x14ac:dyDescent="0.35">
      <c r="A977" s="13" t="s">
        <v>257</v>
      </c>
      <c r="B977" s="8"/>
      <c r="C977" s="9"/>
      <c r="D977" s="10"/>
      <c r="E977" s="21"/>
      <c r="F977" s="22"/>
      <c r="G977" s="6"/>
    </row>
    <row r="978" spans="1:7" x14ac:dyDescent="0.35">
      <c r="A978" s="13" t="s">
        <v>258</v>
      </c>
      <c r="B978" s="8"/>
      <c r="C978" s="9"/>
      <c r="D978" s="10"/>
      <c r="E978" s="21"/>
      <c r="F978" s="22"/>
      <c r="G978" s="6"/>
    </row>
    <row r="979" spans="1:7" x14ac:dyDescent="0.35">
      <c r="A979" s="13" t="s">
        <v>259</v>
      </c>
      <c r="B979" s="8"/>
      <c r="C979" s="9"/>
      <c r="D979" s="10"/>
      <c r="E979" s="21"/>
      <c r="F979" s="22"/>
      <c r="G979" s="6"/>
    </row>
    <row r="980" spans="1:7" x14ac:dyDescent="0.35">
      <c r="A980" s="13" t="s">
        <v>260</v>
      </c>
      <c r="B980" s="8"/>
      <c r="C980" s="9"/>
      <c r="D980" s="10"/>
      <c r="E980" s="21"/>
      <c r="F980" s="22"/>
      <c r="G980" s="6"/>
    </row>
    <row r="981" spans="1:7" x14ac:dyDescent="0.35">
      <c r="A981" s="13" t="s">
        <v>261</v>
      </c>
      <c r="B981" s="8"/>
      <c r="C981" s="9"/>
      <c r="D981" s="10"/>
      <c r="E981" s="21"/>
      <c r="F981" s="22"/>
      <c r="G981" s="6"/>
    </row>
    <row r="982" spans="1:7" x14ac:dyDescent="0.35">
      <c r="A982" s="13" t="s">
        <v>262</v>
      </c>
      <c r="B982" s="8"/>
      <c r="C982" s="9"/>
      <c r="D982" s="10"/>
      <c r="E982" s="21"/>
      <c r="F982" s="22"/>
      <c r="G982" s="6"/>
    </row>
    <row r="983" spans="1:7" x14ac:dyDescent="0.35">
      <c r="A983" s="13" t="s">
        <v>263</v>
      </c>
      <c r="B983" s="8"/>
      <c r="C983" s="9"/>
      <c r="D983" s="10"/>
      <c r="E983" s="21"/>
      <c r="F983" s="22"/>
      <c r="G983" s="6"/>
    </row>
    <row r="984" spans="1:7" x14ac:dyDescent="0.35">
      <c r="A984" s="13" t="s">
        <v>264</v>
      </c>
      <c r="B984" s="8"/>
      <c r="C984" s="9"/>
      <c r="D984" s="10"/>
      <c r="E984" s="21"/>
      <c r="F984" s="22"/>
      <c r="G984" s="6"/>
    </row>
    <row r="985" spans="1:7" x14ac:dyDescent="0.35">
      <c r="A985" s="13" t="s">
        <v>265</v>
      </c>
      <c r="B985" s="8"/>
      <c r="C985" s="9"/>
      <c r="D985" s="10"/>
      <c r="E985" s="21"/>
      <c r="F985" s="22"/>
      <c r="G985" s="6"/>
    </row>
    <row r="986" spans="1:7" x14ac:dyDescent="0.35">
      <c r="A986" s="13" t="s">
        <v>266</v>
      </c>
      <c r="B986" s="8"/>
      <c r="C986" s="9"/>
      <c r="D986" s="10"/>
      <c r="E986" s="21"/>
      <c r="F986" s="22"/>
      <c r="G986" s="6"/>
    </row>
    <row r="987" spans="1:7" x14ac:dyDescent="0.35">
      <c r="A987" s="13" t="s">
        <v>267</v>
      </c>
      <c r="B987" s="8"/>
      <c r="C987" s="9"/>
      <c r="D987" s="10"/>
      <c r="E987" s="21"/>
      <c r="F987" s="22"/>
      <c r="G987" s="6"/>
    </row>
    <row r="988" spans="1:7" x14ac:dyDescent="0.35">
      <c r="A988" s="13" t="s">
        <v>268</v>
      </c>
      <c r="B988" s="8"/>
      <c r="C988" s="9"/>
      <c r="D988" s="10"/>
      <c r="E988" s="21"/>
      <c r="F988" s="22"/>
      <c r="G988" s="6"/>
    </row>
    <row r="989" spans="1:7" x14ac:dyDescent="0.35">
      <c r="A989" s="13" t="s">
        <v>269</v>
      </c>
      <c r="B989" s="8"/>
      <c r="C989" s="9"/>
      <c r="D989" s="10"/>
      <c r="E989" s="21"/>
      <c r="F989" s="22"/>
      <c r="G989" s="6"/>
    </row>
    <row r="990" spans="1:7" x14ac:dyDescent="0.35">
      <c r="A990" s="13" t="s">
        <v>270</v>
      </c>
      <c r="B990" s="8"/>
      <c r="C990" s="9"/>
      <c r="D990" s="10"/>
      <c r="E990" s="21"/>
      <c r="F990" s="22"/>
      <c r="G990" s="6"/>
    </row>
    <row r="991" spans="1:7" x14ac:dyDescent="0.35">
      <c r="A991" s="13" t="s">
        <v>271</v>
      </c>
      <c r="B991" s="8"/>
      <c r="C991" s="9"/>
      <c r="D991" s="10"/>
      <c r="E991" s="21"/>
      <c r="F991" s="22"/>
      <c r="G991" s="6"/>
    </row>
    <row r="992" spans="1:7" x14ac:dyDescent="0.35">
      <c r="A992" s="2"/>
      <c r="B992" s="2"/>
      <c r="C992" s="2"/>
      <c r="D992" s="2"/>
      <c r="E992" s="2"/>
      <c r="F992" s="2"/>
      <c r="G992" s="2"/>
    </row>
    <row r="993" spans="1:7" x14ac:dyDescent="0.35">
      <c r="A993" s="13" t="s">
        <v>37</v>
      </c>
      <c r="B993" s="15" t="s">
        <v>0</v>
      </c>
      <c r="C993" s="16" t="s">
        <v>1</v>
      </c>
      <c r="D993" s="17" t="s">
        <v>2</v>
      </c>
      <c r="E993" s="24" t="s">
        <v>3</v>
      </c>
      <c r="F993" s="23" t="s">
        <v>4</v>
      </c>
      <c r="G993" s="18" t="s">
        <v>5</v>
      </c>
    </row>
    <row r="994" spans="1:7" x14ac:dyDescent="0.35">
      <c r="A994" s="13" t="s">
        <v>242</v>
      </c>
      <c r="B994" s="8"/>
      <c r="C994" s="9"/>
      <c r="D994" s="10"/>
      <c r="E994" s="21"/>
      <c r="F994" s="22"/>
      <c r="G994" s="6"/>
    </row>
    <row r="995" spans="1:7" x14ac:dyDescent="0.35">
      <c r="A995" s="13" t="s">
        <v>243</v>
      </c>
      <c r="B995" s="8"/>
      <c r="C995" s="9"/>
      <c r="D995" s="10"/>
      <c r="E995" s="21"/>
      <c r="F995" s="22"/>
      <c r="G995" s="6"/>
    </row>
    <row r="996" spans="1:7" x14ac:dyDescent="0.35">
      <c r="A996" s="13" t="s">
        <v>244</v>
      </c>
      <c r="B996" s="8"/>
      <c r="C996" s="9"/>
      <c r="D996" s="10"/>
      <c r="E996" s="21"/>
      <c r="F996" s="22"/>
      <c r="G996" s="6"/>
    </row>
    <row r="997" spans="1:7" x14ac:dyDescent="0.35">
      <c r="A997" s="13" t="s">
        <v>245</v>
      </c>
      <c r="B997" s="8"/>
      <c r="C997" s="9"/>
      <c r="D997" s="10"/>
      <c r="E997" s="21"/>
      <c r="F997" s="22"/>
      <c r="G997" s="6"/>
    </row>
    <row r="998" spans="1:7" x14ac:dyDescent="0.35">
      <c r="A998" s="13" t="s">
        <v>246</v>
      </c>
      <c r="B998" s="8"/>
      <c r="C998" s="9"/>
      <c r="D998" s="10"/>
      <c r="E998" s="21"/>
      <c r="F998" s="22"/>
      <c r="G998" s="6"/>
    </row>
    <row r="999" spans="1:7" x14ac:dyDescent="0.35">
      <c r="A999" s="13" t="s">
        <v>247</v>
      </c>
      <c r="B999" s="8"/>
      <c r="C999" s="9"/>
      <c r="D999" s="10"/>
      <c r="E999" s="21"/>
      <c r="F999" s="22"/>
      <c r="G999" s="6"/>
    </row>
    <row r="1000" spans="1:7" x14ac:dyDescent="0.35">
      <c r="A1000" s="13" t="s">
        <v>248</v>
      </c>
      <c r="B1000" s="8"/>
      <c r="C1000" s="9"/>
      <c r="D1000" s="10"/>
      <c r="E1000" s="21"/>
      <c r="F1000" s="22"/>
      <c r="G1000" s="6"/>
    </row>
    <row r="1001" spans="1:7" x14ac:dyDescent="0.35">
      <c r="A1001" s="13" t="s">
        <v>249</v>
      </c>
      <c r="B1001" s="8"/>
      <c r="C1001" s="9"/>
      <c r="D1001" s="10"/>
      <c r="E1001" s="21"/>
      <c r="F1001" s="22"/>
      <c r="G1001" s="6"/>
    </row>
    <row r="1002" spans="1:7" x14ac:dyDescent="0.35">
      <c r="A1002" s="13" t="s">
        <v>250</v>
      </c>
      <c r="B1002" s="8"/>
      <c r="C1002" s="9"/>
      <c r="D1002" s="10"/>
      <c r="E1002" s="21"/>
      <c r="F1002" s="22"/>
      <c r="G1002" s="6"/>
    </row>
    <row r="1003" spans="1:7" x14ac:dyDescent="0.35">
      <c r="A1003" s="13" t="s">
        <v>251</v>
      </c>
      <c r="B1003" s="8"/>
      <c r="C1003" s="9"/>
      <c r="D1003" s="10"/>
      <c r="E1003" s="21"/>
      <c r="F1003" s="22"/>
      <c r="G1003" s="6"/>
    </row>
    <row r="1004" spans="1:7" x14ac:dyDescent="0.35">
      <c r="A1004" s="13" t="s">
        <v>252</v>
      </c>
      <c r="B1004" s="8"/>
      <c r="C1004" s="9"/>
      <c r="D1004" s="10"/>
      <c r="E1004" s="21"/>
      <c r="F1004" s="22"/>
      <c r="G1004" s="6"/>
    </row>
    <row r="1005" spans="1:7" x14ac:dyDescent="0.35">
      <c r="A1005" s="13" t="s">
        <v>253</v>
      </c>
      <c r="B1005" s="8"/>
      <c r="C1005" s="9"/>
      <c r="D1005" s="10"/>
      <c r="E1005" s="21"/>
      <c r="F1005" s="22"/>
      <c r="G1005" s="6"/>
    </row>
    <row r="1006" spans="1:7" x14ac:dyDescent="0.35">
      <c r="A1006" s="13" t="s">
        <v>254</v>
      </c>
      <c r="B1006" s="8"/>
      <c r="C1006" s="9"/>
      <c r="D1006" s="10"/>
      <c r="E1006" s="21"/>
      <c r="F1006" s="22"/>
      <c r="G1006" s="6"/>
    </row>
    <row r="1007" spans="1:7" x14ac:dyDescent="0.35">
      <c r="A1007" s="13" t="s">
        <v>255</v>
      </c>
      <c r="B1007" s="8"/>
      <c r="C1007" s="9"/>
      <c r="D1007" s="10"/>
      <c r="E1007" s="21"/>
      <c r="F1007" s="22"/>
      <c r="G1007" s="6"/>
    </row>
    <row r="1008" spans="1:7" x14ac:dyDescent="0.35">
      <c r="A1008" s="13" t="s">
        <v>256</v>
      </c>
      <c r="B1008" s="8"/>
      <c r="C1008" s="9"/>
      <c r="D1008" s="10"/>
      <c r="E1008" s="21"/>
      <c r="F1008" s="22"/>
      <c r="G1008" s="6"/>
    </row>
    <row r="1009" spans="1:7" x14ac:dyDescent="0.35">
      <c r="A1009" s="13" t="s">
        <v>257</v>
      </c>
      <c r="B1009" s="8"/>
      <c r="C1009" s="9"/>
      <c r="D1009" s="10"/>
      <c r="E1009" s="21"/>
      <c r="F1009" s="22"/>
      <c r="G1009" s="6"/>
    </row>
    <row r="1010" spans="1:7" x14ac:dyDescent="0.35">
      <c r="A1010" s="13" t="s">
        <v>258</v>
      </c>
      <c r="B1010" s="8"/>
      <c r="C1010" s="9"/>
      <c r="D1010" s="10"/>
      <c r="E1010" s="21"/>
      <c r="F1010" s="22"/>
      <c r="G1010" s="6"/>
    </row>
    <row r="1011" spans="1:7" x14ac:dyDescent="0.35">
      <c r="A1011" s="13" t="s">
        <v>259</v>
      </c>
      <c r="B1011" s="8"/>
      <c r="C1011" s="9"/>
      <c r="D1011" s="10"/>
      <c r="E1011" s="21"/>
      <c r="F1011" s="22"/>
      <c r="G1011" s="6"/>
    </row>
    <row r="1012" spans="1:7" x14ac:dyDescent="0.35">
      <c r="A1012" s="13" t="s">
        <v>260</v>
      </c>
      <c r="B1012" s="8"/>
      <c r="C1012" s="9"/>
      <c r="D1012" s="10"/>
      <c r="E1012" s="21"/>
      <c r="F1012" s="22"/>
      <c r="G1012" s="6"/>
    </row>
    <row r="1013" spans="1:7" x14ac:dyDescent="0.35">
      <c r="A1013" s="13" t="s">
        <v>261</v>
      </c>
      <c r="B1013" s="8"/>
      <c r="C1013" s="9"/>
      <c r="D1013" s="10"/>
      <c r="E1013" s="21"/>
      <c r="F1013" s="22"/>
      <c r="G1013" s="6"/>
    </row>
    <row r="1014" spans="1:7" x14ac:dyDescent="0.35">
      <c r="A1014" s="13" t="s">
        <v>262</v>
      </c>
      <c r="B1014" s="8"/>
      <c r="C1014" s="9"/>
      <c r="D1014" s="10"/>
      <c r="E1014" s="21"/>
      <c r="F1014" s="22"/>
      <c r="G1014" s="6"/>
    </row>
    <row r="1015" spans="1:7" x14ac:dyDescent="0.35">
      <c r="A1015" s="13" t="s">
        <v>263</v>
      </c>
      <c r="B1015" s="8"/>
      <c r="C1015" s="9"/>
      <c r="D1015" s="10"/>
      <c r="E1015" s="21"/>
      <c r="F1015" s="22"/>
      <c r="G1015" s="6"/>
    </row>
    <row r="1016" spans="1:7" x14ac:dyDescent="0.35">
      <c r="A1016" s="13" t="s">
        <v>264</v>
      </c>
      <c r="B1016" s="8"/>
      <c r="C1016" s="9"/>
      <c r="D1016" s="10"/>
      <c r="E1016" s="21"/>
      <c r="F1016" s="22"/>
      <c r="G1016" s="6"/>
    </row>
    <row r="1017" spans="1:7" x14ac:dyDescent="0.35">
      <c r="A1017" s="13" t="s">
        <v>265</v>
      </c>
      <c r="B1017" s="8"/>
      <c r="C1017" s="9"/>
      <c r="D1017" s="10"/>
      <c r="E1017" s="21"/>
      <c r="F1017" s="22"/>
      <c r="G1017" s="6"/>
    </row>
    <row r="1018" spans="1:7" x14ac:dyDescent="0.35">
      <c r="A1018" s="13" t="s">
        <v>266</v>
      </c>
      <c r="B1018" s="8"/>
      <c r="C1018" s="9"/>
      <c r="D1018" s="10"/>
      <c r="E1018" s="21"/>
      <c r="F1018" s="22"/>
      <c r="G1018" s="6"/>
    </row>
    <row r="1019" spans="1:7" x14ac:dyDescent="0.35">
      <c r="A1019" s="13" t="s">
        <v>267</v>
      </c>
      <c r="B1019" s="8"/>
      <c r="C1019" s="9"/>
      <c r="D1019" s="10"/>
      <c r="E1019" s="21"/>
      <c r="F1019" s="22"/>
      <c r="G1019" s="6"/>
    </row>
    <row r="1020" spans="1:7" x14ac:dyDescent="0.35">
      <c r="A1020" s="13" t="s">
        <v>268</v>
      </c>
      <c r="B1020" s="8"/>
      <c r="C1020" s="9"/>
      <c r="D1020" s="10"/>
      <c r="E1020" s="21"/>
      <c r="F1020" s="22"/>
      <c r="G1020" s="6"/>
    </row>
    <row r="1021" spans="1:7" x14ac:dyDescent="0.35">
      <c r="A1021" s="13" t="s">
        <v>269</v>
      </c>
      <c r="B1021" s="8"/>
      <c r="C1021" s="9"/>
      <c r="D1021" s="10"/>
      <c r="E1021" s="21"/>
      <c r="F1021" s="22"/>
      <c r="G1021" s="6"/>
    </row>
    <row r="1022" spans="1:7" x14ac:dyDescent="0.35">
      <c r="A1022" s="13" t="s">
        <v>270</v>
      </c>
      <c r="B1022" s="8"/>
      <c r="C1022" s="9"/>
      <c r="D1022" s="10"/>
      <c r="E1022" s="21"/>
      <c r="F1022" s="22"/>
      <c r="G1022" s="6"/>
    </row>
    <row r="1023" spans="1:7" x14ac:dyDescent="0.35">
      <c r="A1023" s="13" t="s">
        <v>271</v>
      </c>
      <c r="B1023" s="8"/>
      <c r="C1023" s="9"/>
      <c r="D1023" s="10"/>
      <c r="E1023" s="21"/>
      <c r="F1023" s="22"/>
      <c r="G1023" s="6"/>
    </row>
    <row r="1024" spans="1:7" x14ac:dyDescent="0.35">
      <c r="A1024" s="2"/>
      <c r="B1024" s="2"/>
      <c r="C1024" s="2"/>
      <c r="D1024" s="2"/>
      <c r="E1024" s="2"/>
      <c r="F1024" s="2"/>
      <c r="G1024" s="2"/>
    </row>
    <row r="1025" spans="1:7" x14ac:dyDescent="0.35">
      <c r="A1025" s="13" t="s">
        <v>38</v>
      </c>
      <c r="B1025" s="15" t="s">
        <v>0</v>
      </c>
      <c r="C1025" s="16" t="s">
        <v>1</v>
      </c>
      <c r="D1025" s="17" t="s">
        <v>2</v>
      </c>
      <c r="E1025" s="24" t="s">
        <v>3</v>
      </c>
      <c r="F1025" s="23" t="s">
        <v>4</v>
      </c>
      <c r="G1025" s="18" t="s">
        <v>5</v>
      </c>
    </row>
    <row r="1026" spans="1:7" x14ac:dyDescent="0.35">
      <c r="A1026" s="13" t="s">
        <v>242</v>
      </c>
      <c r="B1026" s="8"/>
      <c r="C1026" s="9"/>
      <c r="D1026" s="10"/>
      <c r="E1026" s="21"/>
      <c r="F1026" s="22"/>
      <c r="G1026" s="6"/>
    </row>
    <row r="1027" spans="1:7" x14ac:dyDescent="0.35">
      <c r="A1027" s="13" t="s">
        <v>243</v>
      </c>
      <c r="B1027" s="8"/>
      <c r="C1027" s="9"/>
      <c r="D1027" s="10"/>
      <c r="E1027" s="21"/>
      <c r="F1027" s="22"/>
      <c r="G1027" s="6"/>
    </row>
    <row r="1028" spans="1:7" x14ac:dyDescent="0.35">
      <c r="A1028" s="13" t="s">
        <v>244</v>
      </c>
      <c r="B1028" s="8"/>
      <c r="C1028" s="9"/>
      <c r="D1028" s="10"/>
      <c r="E1028" s="21"/>
      <c r="F1028" s="22"/>
      <c r="G1028" s="6"/>
    </row>
    <row r="1029" spans="1:7" x14ac:dyDescent="0.35">
      <c r="A1029" s="13" t="s">
        <v>245</v>
      </c>
      <c r="B1029" s="8"/>
      <c r="C1029" s="9"/>
      <c r="D1029" s="10"/>
      <c r="E1029" s="21"/>
      <c r="F1029" s="22"/>
      <c r="G1029" s="6"/>
    </row>
    <row r="1030" spans="1:7" x14ac:dyDescent="0.35">
      <c r="A1030" s="13" t="s">
        <v>246</v>
      </c>
      <c r="B1030" s="8"/>
      <c r="C1030" s="9"/>
      <c r="D1030" s="10"/>
      <c r="E1030" s="21"/>
      <c r="F1030" s="22"/>
      <c r="G1030" s="6"/>
    </row>
    <row r="1031" spans="1:7" x14ac:dyDescent="0.35">
      <c r="A1031" s="13" t="s">
        <v>247</v>
      </c>
      <c r="B1031" s="8"/>
      <c r="C1031" s="9"/>
      <c r="D1031" s="10"/>
      <c r="E1031" s="21"/>
      <c r="F1031" s="22"/>
      <c r="G1031" s="6"/>
    </row>
    <row r="1032" spans="1:7" x14ac:dyDescent="0.35">
      <c r="A1032" s="13" t="s">
        <v>248</v>
      </c>
      <c r="B1032" s="8"/>
      <c r="C1032" s="9"/>
      <c r="D1032" s="10"/>
      <c r="E1032" s="21"/>
      <c r="F1032" s="22"/>
      <c r="G1032" s="6"/>
    </row>
    <row r="1033" spans="1:7" x14ac:dyDescent="0.35">
      <c r="A1033" s="13" t="s">
        <v>249</v>
      </c>
      <c r="B1033" s="8"/>
      <c r="C1033" s="9"/>
      <c r="D1033" s="10"/>
      <c r="E1033" s="21"/>
      <c r="F1033" s="22"/>
      <c r="G1033" s="6"/>
    </row>
    <row r="1034" spans="1:7" x14ac:dyDescent="0.35">
      <c r="A1034" s="13" t="s">
        <v>250</v>
      </c>
      <c r="B1034" s="8"/>
      <c r="C1034" s="9"/>
      <c r="D1034" s="10"/>
      <c r="E1034" s="21"/>
      <c r="F1034" s="22"/>
      <c r="G1034" s="6"/>
    </row>
    <row r="1035" spans="1:7" x14ac:dyDescent="0.35">
      <c r="A1035" s="13" t="s">
        <v>251</v>
      </c>
      <c r="B1035" s="8"/>
      <c r="C1035" s="9"/>
      <c r="D1035" s="10"/>
      <c r="E1035" s="21"/>
      <c r="F1035" s="22"/>
      <c r="G1035" s="6"/>
    </row>
    <row r="1036" spans="1:7" x14ac:dyDescent="0.35">
      <c r="A1036" s="13" t="s">
        <v>252</v>
      </c>
      <c r="B1036" s="8"/>
      <c r="C1036" s="9"/>
      <c r="D1036" s="10"/>
      <c r="E1036" s="21"/>
      <c r="F1036" s="22"/>
      <c r="G1036" s="6"/>
    </row>
    <row r="1037" spans="1:7" x14ac:dyDescent="0.35">
      <c r="A1037" s="13" t="s">
        <v>253</v>
      </c>
      <c r="B1037" s="8"/>
      <c r="C1037" s="9"/>
      <c r="D1037" s="10"/>
      <c r="E1037" s="21"/>
      <c r="F1037" s="22"/>
      <c r="G1037" s="6"/>
    </row>
    <row r="1038" spans="1:7" x14ac:dyDescent="0.35">
      <c r="A1038" s="13" t="s">
        <v>254</v>
      </c>
      <c r="B1038" s="8"/>
      <c r="C1038" s="9"/>
      <c r="D1038" s="10"/>
      <c r="E1038" s="21"/>
      <c r="F1038" s="22"/>
      <c r="G1038" s="6"/>
    </row>
    <row r="1039" spans="1:7" x14ac:dyDescent="0.35">
      <c r="A1039" s="13" t="s">
        <v>255</v>
      </c>
      <c r="B1039" s="8"/>
      <c r="C1039" s="9"/>
      <c r="D1039" s="10"/>
      <c r="E1039" s="21"/>
      <c r="F1039" s="22"/>
      <c r="G1039" s="6"/>
    </row>
    <row r="1040" spans="1:7" x14ac:dyDescent="0.35">
      <c r="A1040" s="13" t="s">
        <v>256</v>
      </c>
      <c r="B1040" s="8"/>
      <c r="C1040" s="9"/>
      <c r="D1040" s="10"/>
      <c r="E1040" s="21"/>
      <c r="F1040" s="22"/>
      <c r="G1040" s="6"/>
    </row>
    <row r="1041" spans="1:7" x14ac:dyDescent="0.35">
      <c r="A1041" s="13" t="s">
        <v>257</v>
      </c>
      <c r="B1041" s="8"/>
      <c r="C1041" s="9"/>
      <c r="D1041" s="10"/>
      <c r="E1041" s="21"/>
      <c r="F1041" s="22"/>
      <c r="G1041" s="6"/>
    </row>
    <row r="1042" spans="1:7" x14ac:dyDescent="0.35">
      <c r="A1042" s="13" t="s">
        <v>258</v>
      </c>
      <c r="B1042" s="8"/>
      <c r="C1042" s="9"/>
      <c r="D1042" s="10"/>
      <c r="E1042" s="21"/>
      <c r="F1042" s="22"/>
      <c r="G1042" s="6"/>
    </row>
    <row r="1043" spans="1:7" x14ac:dyDescent="0.35">
      <c r="A1043" s="13" t="s">
        <v>259</v>
      </c>
      <c r="B1043" s="8"/>
      <c r="C1043" s="9"/>
      <c r="D1043" s="10"/>
      <c r="E1043" s="21"/>
      <c r="F1043" s="22"/>
      <c r="G1043" s="6"/>
    </row>
    <row r="1044" spans="1:7" x14ac:dyDescent="0.35">
      <c r="A1044" s="13" t="s">
        <v>260</v>
      </c>
      <c r="B1044" s="8"/>
      <c r="C1044" s="9"/>
      <c r="D1044" s="10"/>
      <c r="E1044" s="21"/>
      <c r="F1044" s="22"/>
      <c r="G1044" s="6"/>
    </row>
    <row r="1045" spans="1:7" x14ac:dyDescent="0.35">
      <c r="A1045" s="13" t="s">
        <v>261</v>
      </c>
      <c r="B1045" s="8"/>
      <c r="C1045" s="9"/>
      <c r="D1045" s="10"/>
      <c r="E1045" s="21"/>
      <c r="F1045" s="22"/>
      <c r="G1045" s="6"/>
    </row>
    <row r="1046" spans="1:7" x14ac:dyDescent="0.35">
      <c r="A1046" s="13" t="s">
        <v>262</v>
      </c>
      <c r="B1046" s="8"/>
      <c r="C1046" s="9"/>
      <c r="D1046" s="10"/>
      <c r="E1046" s="21"/>
      <c r="F1046" s="22"/>
      <c r="G1046" s="6"/>
    </row>
    <row r="1047" spans="1:7" x14ac:dyDescent="0.35">
      <c r="A1047" s="13" t="s">
        <v>263</v>
      </c>
      <c r="B1047" s="8"/>
      <c r="C1047" s="9"/>
      <c r="D1047" s="10"/>
      <c r="E1047" s="21"/>
      <c r="F1047" s="22"/>
      <c r="G1047" s="6"/>
    </row>
    <row r="1048" spans="1:7" x14ac:dyDescent="0.35">
      <c r="A1048" s="13" t="s">
        <v>264</v>
      </c>
      <c r="B1048" s="8"/>
      <c r="C1048" s="9"/>
      <c r="D1048" s="10"/>
      <c r="E1048" s="21"/>
      <c r="F1048" s="22"/>
      <c r="G1048" s="6"/>
    </row>
    <row r="1049" spans="1:7" x14ac:dyDescent="0.35">
      <c r="A1049" s="13" t="s">
        <v>265</v>
      </c>
      <c r="B1049" s="8"/>
      <c r="C1049" s="9"/>
      <c r="D1049" s="10"/>
      <c r="E1049" s="21"/>
      <c r="F1049" s="22"/>
      <c r="G1049" s="6"/>
    </row>
    <row r="1050" spans="1:7" x14ac:dyDescent="0.35">
      <c r="A1050" s="13" t="s">
        <v>266</v>
      </c>
      <c r="B1050" s="8"/>
      <c r="C1050" s="9"/>
      <c r="D1050" s="10"/>
      <c r="E1050" s="21"/>
      <c r="F1050" s="22"/>
      <c r="G1050" s="6"/>
    </row>
    <row r="1051" spans="1:7" x14ac:dyDescent="0.35">
      <c r="A1051" s="13" t="s">
        <v>267</v>
      </c>
      <c r="B1051" s="8"/>
      <c r="C1051" s="9"/>
      <c r="D1051" s="10"/>
      <c r="E1051" s="21"/>
      <c r="F1051" s="22"/>
      <c r="G1051" s="6"/>
    </row>
    <row r="1052" spans="1:7" x14ac:dyDescent="0.35">
      <c r="A1052" s="13" t="s">
        <v>268</v>
      </c>
      <c r="B1052" s="8"/>
      <c r="C1052" s="9"/>
      <c r="D1052" s="10"/>
      <c r="E1052" s="21"/>
      <c r="F1052" s="22"/>
      <c r="G1052" s="6"/>
    </row>
    <row r="1053" spans="1:7" x14ac:dyDescent="0.35">
      <c r="A1053" s="13" t="s">
        <v>269</v>
      </c>
      <c r="B1053" s="8"/>
      <c r="C1053" s="9"/>
      <c r="D1053" s="10"/>
      <c r="E1053" s="21"/>
      <c r="F1053" s="22"/>
      <c r="G1053" s="6"/>
    </row>
    <row r="1054" spans="1:7" x14ac:dyDescent="0.35">
      <c r="A1054" s="13" t="s">
        <v>270</v>
      </c>
      <c r="B1054" s="8"/>
      <c r="C1054" s="9"/>
      <c r="D1054" s="10"/>
      <c r="E1054" s="21"/>
      <c r="F1054" s="22"/>
      <c r="G1054" s="6"/>
    </row>
    <row r="1055" spans="1:7" x14ac:dyDescent="0.35">
      <c r="A1055" s="13" t="s">
        <v>271</v>
      </c>
      <c r="B1055" s="8"/>
      <c r="C1055" s="9"/>
      <c r="D1055" s="10"/>
      <c r="E1055" s="21"/>
      <c r="F1055" s="22"/>
      <c r="G1055" s="6"/>
    </row>
    <row r="1056" spans="1:7" x14ac:dyDescent="0.35">
      <c r="A1056" s="2"/>
      <c r="B1056" s="2"/>
      <c r="C1056" s="2"/>
      <c r="D1056" s="2"/>
      <c r="E1056" s="2"/>
      <c r="F1056" s="2"/>
      <c r="G1056" s="2"/>
    </row>
    <row r="1057" spans="1:7" x14ac:dyDescent="0.35">
      <c r="A1057" s="13" t="s">
        <v>39</v>
      </c>
      <c r="B1057" s="15" t="s">
        <v>0</v>
      </c>
      <c r="C1057" s="16" t="s">
        <v>1</v>
      </c>
      <c r="D1057" s="17" t="s">
        <v>2</v>
      </c>
      <c r="E1057" s="24" t="s">
        <v>3</v>
      </c>
      <c r="F1057" s="23" t="s">
        <v>4</v>
      </c>
      <c r="G1057" s="18" t="s">
        <v>5</v>
      </c>
    </row>
    <row r="1058" spans="1:7" x14ac:dyDescent="0.35">
      <c r="A1058" s="13" t="s">
        <v>242</v>
      </c>
      <c r="B1058" s="8"/>
      <c r="C1058" s="9"/>
      <c r="D1058" s="10"/>
      <c r="E1058" s="21"/>
      <c r="F1058" s="22"/>
      <c r="G1058" s="6"/>
    </row>
    <row r="1059" spans="1:7" x14ac:dyDescent="0.35">
      <c r="A1059" s="13" t="s">
        <v>243</v>
      </c>
      <c r="B1059" s="8"/>
      <c r="C1059" s="9"/>
      <c r="D1059" s="10"/>
      <c r="E1059" s="21"/>
      <c r="F1059" s="22"/>
      <c r="G1059" s="6"/>
    </row>
    <row r="1060" spans="1:7" x14ac:dyDescent="0.35">
      <c r="A1060" s="13" t="s">
        <v>244</v>
      </c>
      <c r="B1060" s="8"/>
      <c r="C1060" s="9"/>
      <c r="D1060" s="10"/>
      <c r="E1060" s="21"/>
      <c r="F1060" s="22"/>
      <c r="G1060" s="6"/>
    </row>
    <row r="1061" spans="1:7" x14ac:dyDescent="0.35">
      <c r="A1061" s="13" t="s">
        <v>245</v>
      </c>
      <c r="B1061" s="8"/>
      <c r="C1061" s="9"/>
      <c r="D1061" s="10"/>
      <c r="E1061" s="21"/>
      <c r="F1061" s="22"/>
      <c r="G1061" s="6"/>
    </row>
    <row r="1062" spans="1:7" x14ac:dyDescent="0.35">
      <c r="A1062" s="13" t="s">
        <v>246</v>
      </c>
      <c r="B1062" s="8"/>
      <c r="C1062" s="9"/>
      <c r="D1062" s="10"/>
      <c r="E1062" s="21"/>
      <c r="F1062" s="22"/>
      <c r="G1062" s="6"/>
    </row>
    <row r="1063" spans="1:7" x14ac:dyDescent="0.35">
      <c r="A1063" s="13" t="s">
        <v>247</v>
      </c>
      <c r="B1063" s="8"/>
      <c r="C1063" s="9"/>
      <c r="D1063" s="10"/>
      <c r="E1063" s="21"/>
      <c r="F1063" s="22"/>
      <c r="G1063" s="6"/>
    </row>
    <row r="1064" spans="1:7" x14ac:dyDescent="0.35">
      <c r="A1064" s="13" t="s">
        <v>248</v>
      </c>
      <c r="B1064" s="8"/>
      <c r="C1064" s="9"/>
      <c r="D1064" s="10"/>
      <c r="E1064" s="21"/>
      <c r="F1064" s="22"/>
      <c r="G1064" s="6"/>
    </row>
    <row r="1065" spans="1:7" x14ac:dyDescent="0.35">
      <c r="A1065" s="13" t="s">
        <v>249</v>
      </c>
      <c r="B1065" s="8"/>
      <c r="C1065" s="9"/>
      <c r="D1065" s="10"/>
      <c r="E1065" s="21"/>
      <c r="F1065" s="22"/>
      <c r="G1065" s="6"/>
    </row>
    <row r="1066" spans="1:7" x14ac:dyDescent="0.35">
      <c r="A1066" s="13" t="s">
        <v>250</v>
      </c>
      <c r="B1066" s="8"/>
      <c r="C1066" s="9"/>
      <c r="D1066" s="10"/>
      <c r="E1066" s="21"/>
      <c r="F1066" s="22"/>
      <c r="G1066" s="6"/>
    </row>
    <row r="1067" spans="1:7" x14ac:dyDescent="0.35">
      <c r="A1067" s="13" t="s">
        <v>251</v>
      </c>
      <c r="B1067" s="8"/>
      <c r="C1067" s="9"/>
      <c r="D1067" s="10"/>
      <c r="E1067" s="21"/>
      <c r="F1067" s="22"/>
      <c r="G1067" s="6"/>
    </row>
    <row r="1068" spans="1:7" x14ac:dyDescent="0.35">
      <c r="A1068" s="13" t="s">
        <v>252</v>
      </c>
      <c r="B1068" s="8"/>
      <c r="C1068" s="9"/>
      <c r="D1068" s="10"/>
      <c r="E1068" s="21"/>
      <c r="F1068" s="22"/>
      <c r="G1068" s="6"/>
    </row>
    <row r="1069" spans="1:7" x14ac:dyDescent="0.35">
      <c r="A1069" s="13" t="s">
        <v>253</v>
      </c>
      <c r="B1069" s="8"/>
      <c r="C1069" s="9"/>
      <c r="D1069" s="10"/>
      <c r="E1069" s="21"/>
      <c r="F1069" s="22"/>
      <c r="G1069" s="6"/>
    </row>
    <row r="1070" spans="1:7" x14ac:dyDescent="0.35">
      <c r="A1070" s="13" t="s">
        <v>254</v>
      </c>
      <c r="B1070" s="8"/>
      <c r="C1070" s="9"/>
      <c r="D1070" s="10"/>
      <c r="E1070" s="21"/>
      <c r="F1070" s="22"/>
      <c r="G1070" s="6"/>
    </row>
    <row r="1071" spans="1:7" x14ac:dyDescent="0.35">
      <c r="A1071" s="13" t="s">
        <v>255</v>
      </c>
      <c r="B1071" s="8"/>
      <c r="C1071" s="9"/>
      <c r="D1071" s="10"/>
      <c r="E1071" s="21"/>
      <c r="F1071" s="22"/>
      <c r="G1071" s="6"/>
    </row>
    <row r="1072" spans="1:7" x14ac:dyDescent="0.35">
      <c r="A1072" s="13" t="s">
        <v>256</v>
      </c>
      <c r="B1072" s="8"/>
      <c r="C1072" s="9"/>
      <c r="D1072" s="10"/>
      <c r="E1072" s="21"/>
      <c r="F1072" s="22"/>
      <c r="G1072" s="6"/>
    </row>
    <row r="1073" spans="1:7" x14ac:dyDescent="0.35">
      <c r="A1073" s="13" t="s">
        <v>257</v>
      </c>
      <c r="B1073" s="8"/>
      <c r="C1073" s="9"/>
      <c r="D1073" s="10"/>
      <c r="E1073" s="21"/>
      <c r="F1073" s="22"/>
      <c r="G1073" s="6"/>
    </row>
    <row r="1074" spans="1:7" x14ac:dyDescent="0.35">
      <c r="A1074" s="13" t="s">
        <v>258</v>
      </c>
      <c r="B1074" s="8"/>
      <c r="C1074" s="9"/>
      <c r="D1074" s="10"/>
      <c r="E1074" s="21"/>
      <c r="F1074" s="22"/>
      <c r="G1074" s="6"/>
    </row>
    <row r="1075" spans="1:7" x14ac:dyDescent="0.35">
      <c r="A1075" s="13" t="s">
        <v>259</v>
      </c>
      <c r="B1075" s="8"/>
      <c r="C1075" s="9"/>
      <c r="D1075" s="10"/>
      <c r="E1075" s="21"/>
      <c r="F1075" s="22"/>
      <c r="G1075" s="6"/>
    </row>
    <row r="1076" spans="1:7" x14ac:dyDescent="0.35">
      <c r="A1076" s="13" t="s">
        <v>260</v>
      </c>
      <c r="B1076" s="8"/>
      <c r="C1076" s="9"/>
      <c r="D1076" s="10"/>
      <c r="E1076" s="21"/>
      <c r="F1076" s="22"/>
      <c r="G1076" s="6"/>
    </row>
    <row r="1077" spans="1:7" x14ac:dyDescent="0.35">
      <c r="A1077" s="13" t="s">
        <v>261</v>
      </c>
      <c r="B1077" s="8"/>
      <c r="C1077" s="9"/>
      <c r="D1077" s="10"/>
      <c r="E1077" s="21"/>
      <c r="F1077" s="22"/>
      <c r="G1077" s="6"/>
    </row>
    <row r="1078" spans="1:7" x14ac:dyDescent="0.35">
      <c r="A1078" s="13" t="s">
        <v>262</v>
      </c>
      <c r="B1078" s="8"/>
      <c r="C1078" s="9"/>
      <c r="D1078" s="10"/>
      <c r="E1078" s="21"/>
      <c r="F1078" s="22"/>
      <c r="G1078" s="6"/>
    </row>
    <row r="1079" spans="1:7" x14ac:dyDescent="0.35">
      <c r="A1079" s="13" t="s">
        <v>263</v>
      </c>
      <c r="B1079" s="8"/>
      <c r="C1079" s="9"/>
      <c r="D1079" s="10"/>
      <c r="E1079" s="21"/>
      <c r="F1079" s="22"/>
      <c r="G1079" s="6"/>
    </row>
    <row r="1080" spans="1:7" x14ac:dyDescent="0.35">
      <c r="A1080" s="13" t="s">
        <v>264</v>
      </c>
      <c r="B1080" s="8"/>
      <c r="C1080" s="9"/>
      <c r="D1080" s="10"/>
      <c r="E1080" s="21"/>
      <c r="F1080" s="22"/>
      <c r="G1080" s="6"/>
    </row>
    <row r="1081" spans="1:7" x14ac:dyDescent="0.35">
      <c r="A1081" s="13" t="s">
        <v>265</v>
      </c>
      <c r="B1081" s="8"/>
      <c r="C1081" s="9"/>
      <c r="D1081" s="10"/>
      <c r="E1081" s="21"/>
      <c r="F1081" s="22"/>
      <c r="G1081" s="6"/>
    </row>
    <row r="1082" spans="1:7" x14ac:dyDescent="0.35">
      <c r="A1082" s="13" t="s">
        <v>266</v>
      </c>
      <c r="B1082" s="8"/>
      <c r="C1082" s="9"/>
      <c r="D1082" s="10"/>
      <c r="E1082" s="21"/>
      <c r="F1082" s="22"/>
      <c r="G1082" s="6"/>
    </row>
    <row r="1083" spans="1:7" x14ac:dyDescent="0.35">
      <c r="A1083" s="13" t="s">
        <v>267</v>
      </c>
      <c r="B1083" s="8"/>
      <c r="C1083" s="9"/>
      <c r="D1083" s="10"/>
      <c r="E1083" s="21"/>
      <c r="F1083" s="22"/>
      <c r="G1083" s="6"/>
    </row>
    <row r="1084" spans="1:7" x14ac:dyDescent="0.35">
      <c r="A1084" s="13" t="s">
        <v>268</v>
      </c>
      <c r="B1084" s="8"/>
      <c r="C1084" s="9"/>
      <c r="D1084" s="10"/>
      <c r="E1084" s="21"/>
      <c r="F1084" s="22"/>
      <c r="G1084" s="6"/>
    </row>
    <row r="1085" spans="1:7" x14ac:dyDescent="0.35">
      <c r="A1085" s="13" t="s">
        <v>269</v>
      </c>
      <c r="B1085" s="8"/>
      <c r="C1085" s="9"/>
      <c r="D1085" s="10"/>
      <c r="E1085" s="21"/>
      <c r="F1085" s="22"/>
      <c r="G1085" s="6"/>
    </row>
    <row r="1086" spans="1:7" x14ac:dyDescent="0.35">
      <c r="A1086" s="13" t="s">
        <v>270</v>
      </c>
      <c r="B1086" s="8"/>
      <c r="C1086" s="9"/>
      <c r="D1086" s="10"/>
      <c r="E1086" s="21"/>
      <c r="F1086" s="22"/>
      <c r="G1086" s="6"/>
    </row>
    <row r="1087" spans="1:7" x14ac:dyDescent="0.35">
      <c r="A1087" s="13" t="s">
        <v>271</v>
      </c>
      <c r="B1087" s="8"/>
      <c r="C1087" s="9"/>
      <c r="D1087" s="10"/>
      <c r="E1087" s="21"/>
      <c r="F1087" s="22"/>
      <c r="G1087" s="6"/>
    </row>
    <row r="1088" spans="1:7" x14ac:dyDescent="0.35">
      <c r="A1088" s="2"/>
      <c r="B1088" s="2"/>
      <c r="C1088" s="2"/>
      <c r="D1088" s="2"/>
      <c r="E1088" s="2"/>
      <c r="F1088" s="2"/>
      <c r="G1088" s="2"/>
    </row>
    <row r="1089" spans="1:7" x14ac:dyDescent="0.35">
      <c r="A1089" s="13" t="s">
        <v>40</v>
      </c>
      <c r="B1089" s="15" t="s">
        <v>0</v>
      </c>
      <c r="C1089" s="16" t="s">
        <v>1</v>
      </c>
      <c r="D1089" s="17" t="s">
        <v>2</v>
      </c>
      <c r="E1089" s="24" t="s">
        <v>3</v>
      </c>
      <c r="F1089" s="23" t="s">
        <v>4</v>
      </c>
      <c r="G1089" s="18" t="s">
        <v>5</v>
      </c>
    </row>
    <row r="1090" spans="1:7" x14ac:dyDescent="0.35">
      <c r="A1090" s="13" t="s">
        <v>242</v>
      </c>
      <c r="B1090" s="8"/>
      <c r="C1090" s="9"/>
      <c r="D1090" s="10"/>
      <c r="E1090" s="21"/>
      <c r="F1090" s="22"/>
      <c r="G1090" s="6"/>
    </row>
    <row r="1091" spans="1:7" x14ac:dyDescent="0.35">
      <c r="A1091" s="13" t="s">
        <v>243</v>
      </c>
      <c r="B1091" s="8"/>
      <c r="C1091" s="9"/>
      <c r="D1091" s="10"/>
      <c r="E1091" s="21"/>
      <c r="F1091" s="22"/>
      <c r="G1091" s="6"/>
    </row>
    <row r="1092" spans="1:7" x14ac:dyDescent="0.35">
      <c r="A1092" s="13" t="s">
        <v>244</v>
      </c>
      <c r="B1092" s="8"/>
      <c r="C1092" s="9"/>
      <c r="D1092" s="10"/>
      <c r="E1092" s="21"/>
      <c r="F1092" s="22"/>
      <c r="G1092" s="6"/>
    </row>
    <row r="1093" spans="1:7" x14ac:dyDescent="0.35">
      <c r="A1093" s="13" t="s">
        <v>245</v>
      </c>
      <c r="B1093" s="8"/>
      <c r="C1093" s="9"/>
      <c r="D1093" s="10"/>
      <c r="E1093" s="21"/>
      <c r="F1093" s="22"/>
      <c r="G1093" s="6"/>
    </row>
    <row r="1094" spans="1:7" x14ac:dyDescent="0.35">
      <c r="A1094" s="13" t="s">
        <v>246</v>
      </c>
      <c r="B1094" s="8"/>
      <c r="C1094" s="9"/>
      <c r="D1094" s="10"/>
      <c r="E1094" s="21"/>
      <c r="F1094" s="22"/>
      <c r="G1094" s="6"/>
    </row>
    <row r="1095" spans="1:7" x14ac:dyDescent="0.35">
      <c r="A1095" s="13" t="s">
        <v>247</v>
      </c>
      <c r="B1095" s="8"/>
      <c r="C1095" s="9"/>
      <c r="D1095" s="10"/>
      <c r="E1095" s="21"/>
      <c r="F1095" s="22"/>
      <c r="G1095" s="6"/>
    </row>
    <row r="1096" spans="1:7" x14ac:dyDescent="0.35">
      <c r="A1096" s="13" t="s">
        <v>248</v>
      </c>
      <c r="B1096" s="8"/>
      <c r="C1096" s="9"/>
      <c r="D1096" s="10"/>
      <c r="E1096" s="21"/>
      <c r="F1096" s="22"/>
      <c r="G1096" s="6"/>
    </row>
    <row r="1097" spans="1:7" x14ac:dyDescent="0.35">
      <c r="A1097" s="13" t="s">
        <v>249</v>
      </c>
      <c r="B1097" s="8"/>
      <c r="C1097" s="9"/>
      <c r="D1097" s="10"/>
      <c r="E1097" s="21"/>
      <c r="F1097" s="22"/>
      <c r="G1097" s="6"/>
    </row>
    <row r="1098" spans="1:7" x14ac:dyDescent="0.35">
      <c r="A1098" s="13" t="s">
        <v>250</v>
      </c>
      <c r="B1098" s="8"/>
      <c r="C1098" s="9"/>
      <c r="D1098" s="10"/>
      <c r="E1098" s="21"/>
      <c r="F1098" s="22"/>
      <c r="G1098" s="6"/>
    </row>
    <row r="1099" spans="1:7" x14ac:dyDescent="0.35">
      <c r="A1099" s="13" t="s">
        <v>251</v>
      </c>
      <c r="B1099" s="8"/>
      <c r="C1099" s="9"/>
      <c r="D1099" s="10"/>
      <c r="E1099" s="21"/>
      <c r="F1099" s="22"/>
      <c r="G1099" s="6"/>
    </row>
    <row r="1100" spans="1:7" x14ac:dyDescent="0.35">
      <c r="A1100" s="13" t="s">
        <v>252</v>
      </c>
      <c r="B1100" s="8"/>
      <c r="C1100" s="9"/>
      <c r="D1100" s="10"/>
      <c r="E1100" s="21"/>
      <c r="F1100" s="22"/>
      <c r="G1100" s="6"/>
    </row>
    <row r="1101" spans="1:7" x14ac:dyDescent="0.35">
      <c r="A1101" s="13" t="s">
        <v>253</v>
      </c>
      <c r="B1101" s="8"/>
      <c r="C1101" s="9"/>
      <c r="D1101" s="10"/>
      <c r="E1101" s="21"/>
      <c r="F1101" s="22"/>
      <c r="G1101" s="6"/>
    </row>
    <row r="1102" spans="1:7" x14ac:dyDescent="0.35">
      <c r="A1102" s="13" t="s">
        <v>254</v>
      </c>
      <c r="B1102" s="8"/>
      <c r="C1102" s="9"/>
      <c r="D1102" s="10"/>
      <c r="E1102" s="21"/>
      <c r="F1102" s="22"/>
      <c r="G1102" s="6"/>
    </row>
    <row r="1103" spans="1:7" x14ac:dyDescent="0.35">
      <c r="A1103" s="13" t="s">
        <v>255</v>
      </c>
      <c r="B1103" s="8"/>
      <c r="C1103" s="9"/>
      <c r="D1103" s="10"/>
      <c r="E1103" s="21"/>
      <c r="F1103" s="22"/>
      <c r="G1103" s="6"/>
    </row>
    <row r="1104" spans="1:7" x14ac:dyDescent="0.35">
      <c r="A1104" s="13" t="s">
        <v>256</v>
      </c>
      <c r="B1104" s="8"/>
      <c r="C1104" s="9"/>
      <c r="D1104" s="10"/>
      <c r="E1104" s="21"/>
      <c r="F1104" s="22"/>
      <c r="G1104" s="6"/>
    </row>
    <row r="1105" spans="1:7" x14ac:dyDescent="0.35">
      <c r="A1105" s="13" t="s">
        <v>257</v>
      </c>
      <c r="B1105" s="8"/>
      <c r="C1105" s="9"/>
      <c r="D1105" s="10"/>
      <c r="E1105" s="21"/>
      <c r="F1105" s="22"/>
      <c r="G1105" s="6"/>
    </row>
    <row r="1106" spans="1:7" x14ac:dyDescent="0.35">
      <c r="A1106" s="13" t="s">
        <v>258</v>
      </c>
      <c r="B1106" s="8"/>
      <c r="C1106" s="9"/>
      <c r="D1106" s="10"/>
      <c r="E1106" s="21"/>
      <c r="F1106" s="22"/>
      <c r="G1106" s="6"/>
    </row>
    <row r="1107" spans="1:7" x14ac:dyDescent="0.35">
      <c r="A1107" s="13" t="s">
        <v>259</v>
      </c>
      <c r="B1107" s="8"/>
      <c r="C1107" s="9"/>
      <c r="D1107" s="10"/>
      <c r="E1107" s="21"/>
      <c r="F1107" s="22"/>
      <c r="G1107" s="6"/>
    </row>
    <row r="1108" spans="1:7" x14ac:dyDescent="0.35">
      <c r="A1108" s="13" t="s">
        <v>260</v>
      </c>
      <c r="B1108" s="8"/>
      <c r="C1108" s="9"/>
      <c r="D1108" s="10"/>
      <c r="E1108" s="21"/>
      <c r="F1108" s="22"/>
      <c r="G1108" s="6"/>
    </row>
    <row r="1109" spans="1:7" x14ac:dyDescent="0.35">
      <c r="A1109" s="13" t="s">
        <v>261</v>
      </c>
      <c r="B1109" s="8"/>
      <c r="C1109" s="9"/>
      <c r="D1109" s="10"/>
      <c r="E1109" s="21"/>
      <c r="F1109" s="22"/>
      <c r="G1109" s="6"/>
    </row>
    <row r="1110" spans="1:7" x14ac:dyDescent="0.35">
      <c r="A1110" s="13" t="s">
        <v>262</v>
      </c>
      <c r="B1110" s="8"/>
      <c r="C1110" s="9"/>
      <c r="D1110" s="10"/>
      <c r="E1110" s="21"/>
      <c r="F1110" s="22"/>
      <c r="G1110" s="6"/>
    </row>
    <row r="1111" spans="1:7" x14ac:dyDescent="0.35">
      <c r="A1111" s="13" t="s">
        <v>263</v>
      </c>
      <c r="B1111" s="8"/>
      <c r="C1111" s="9"/>
      <c r="D1111" s="10"/>
      <c r="E1111" s="21"/>
      <c r="F1111" s="22"/>
      <c r="G1111" s="6"/>
    </row>
    <row r="1112" spans="1:7" x14ac:dyDescent="0.35">
      <c r="A1112" s="13" t="s">
        <v>264</v>
      </c>
      <c r="B1112" s="8"/>
      <c r="C1112" s="9"/>
      <c r="D1112" s="10"/>
      <c r="E1112" s="21"/>
      <c r="F1112" s="22"/>
      <c r="G1112" s="6"/>
    </row>
    <row r="1113" spans="1:7" x14ac:dyDescent="0.35">
      <c r="A1113" s="13" t="s">
        <v>265</v>
      </c>
      <c r="B1113" s="8"/>
      <c r="C1113" s="9"/>
      <c r="D1113" s="10"/>
      <c r="E1113" s="21"/>
      <c r="F1113" s="22"/>
      <c r="G1113" s="6"/>
    </row>
    <row r="1114" spans="1:7" x14ac:dyDescent="0.35">
      <c r="A1114" s="13" t="s">
        <v>266</v>
      </c>
      <c r="B1114" s="8"/>
      <c r="C1114" s="9"/>
      <c r="D1114" s="10"/>
      <c r="E1114" s="21"/>
      <c r="F1114" s="22"/>
      <c r="G1114" s="6"/>
    </row>
    <row r="1115" spans="1:7" x14ac:dyDescent="0.35">
      <c r="A1115" s="13" t="s">
        <v>267</v>
      </c>
      <c r="B1115" s="8"/>
      <c r="C1115" s="9"/>
      <c r="D1115" s="10"/>
      <c r="E1115" s="21"/>
      <c r="F1115" s="22"/>
      <c r="G1115" s="6"/>
    </row>
    <row r="1116" spans="1:7" x14ac:dyDescent="0.35">
      <c r="A1116" s="13" t="s">
        <v>268</v>
      </c>
      <c r="B1116" s="8"/>
      <c r="C1116" s="9"/>
      <c r="D1116" s="10"/>
      <c r="E1116" s="21"/>
      <c r="F1116" s="22"/>
      <c r="G1116" s="6"/>
    </row>
    <row r="1117" spans="1:7" x14ac:dyDescent="0.35">
      <c r="A1117" s="13" t="s">
        <v>269</v>
      </c>
      <c r="B1117" s="8"/>
      <c r="C1117" s="9"/>
      <c r="D1117" s="10"/>
      <c r="E1117" s="21"/>
      <c r="F1117" s="22"/>
      <c r="G1117" s="6"/>
    </row>
    <row r="1118" spans="1:7" x14ac:dyDescent="0.35">
      <c r="A1118" s="13" t="s">
        <v>270</v>
      </c>
      <c r="B1118" s="8"/>
      <c r="C1118" s="9"/>
      <c r="D1118" s="10"/>
      <c r="E1118" s="21"/>
      <c r="F1118" s="22"/>
      <c r="G1118" s="6"/>
    </row>
    <row r="1119" spans="1:7" x14ac:dyDescent="0.35">
      <c r="A1119" s="13" t="s">
        <v>271</v>
      </c>
      <c r="B1119" s="8"/>
      <c r="C1119" s="9"/>
      <c r="D1119" s="10"/>
      <c r="E1119" s="21"/>
      <c r="F1119" s="22"/>
      <c r="G1119" s="6"/>
    </row>
    <row r="1120" spans="1:7" x14ac:dyDescent="0.35">
      <c r="A1120" s="2"/>
      <c r="B1120" s="2"/>
      <c r="C1120" s="2"/>
      <c r="D1120" s="2"/>
      <c r="E1120" s="2"/>
      <c r="F1120" s="2"/>
      <c r="G1120" s="2"/>
    </row>
    <row r="1121" spans="1:7" x14ac:dyDescent="0.35">
      <c r="A1121" s="13" t="s">
        <v>41</v>
      </c>
      <c r="B1121" s="15" t="s">
        <v>0</v>
      </c>
      <c r="C1121" s="16" t="s">
        <v>1</v>
      </c>
      <c r="D1121" s="17" t="s">
        <v>2</v>
      </c>
      <c r="E1121" s="24" t="s">
        <v>3</v>
      </c>
      <c r="F1121" s="23" t="s">
        <v>4</v>
      </c>
      <c r="G1121" s="18" t="s">
        <v>5</v>
      </c>
    </row>
    <row r="1122" spans="1:7" x14ac:dyDescent="0.35">
      <c r="A1122" s="13" t="s">
        <v>242</v>
      </c>
      <c r="B1122" s="8"/>
      <c r="C1122" s="9"/>
      <c r="D1122" s="10"/>
      <c r="E1122" s="21"/>
      <c r="F1122" s="22"/>
      <c r="G1122" s="6"/>
    </row>
    <row r="1123" spans="1:7" x14ac:dyDescent="0.35">
      <c r="A1123" s="13" t="s">
        <v>243</v>
      </c>
      <c r="B1123" s="8"/>
      <c r="C1123" s="9"/>
      <c r="D1123" s="10"/>
      <c r="E1123" s="21"/>
      <c r="F1123" s="22"/>
      <c r="G1123" s="6"/>
    </row>
    <row r="1124" spans="1:7" x14ac:dyDescent="0.35">
      <c r="A1124" s="13" t="s">
        <v>244</v>
      </c>
      <c r="B1124" s="8"/>
      <c r="C1124" s="9"/>
      <c r="D1124" s="10"/>
      <c r="E1124" s="21"/>
      <c r="F1124" s="22"/>
      <c r="G1124" s="6"/>
    </row>
    <row r="1125" spans="1:7" x14ac:dyDescent="0.35">
      <c r="A1125" s="13" t="s">
        <v>245</v>
      </c>
      <c r="B1125" s="8"/>
      <c r="C1125" s="9"/>
      <c r="D1125" s="10"/>
      <c r="E1125" s="21"/>
      <c r="F1125" s="22"/>
      <c r="G1125" s="6"/>
    </row>
    <row r="1126" spans="1:7" x14ac:dyDescent="0.35">
      <c r="A1126" s="13" t="s">
        <v>246</v>
      </c>
      <c r="B1126" s="8"/>
      <c r="C1126" s="9"/>
      <c r="D1126" s="10"/>
      <c r="E1126" s="21"/>
      <c r="F1126" s="22"/>
      <c r="G1126" s="6"/>
    </row>
    <row r="1127" spans="1:7" x14ac:dyDescent="0.35">
      <c r="A1127" s="13" t="s">
        <v>247</v>
      </c>
      <c r="B1127" s="8"/>
      <c r="C1127" s="9"/>
      <c r="D1127" s="10"/>
      <c r="E1127" s="21"/>
      <c r="F1127" s="22"/>
      <c r="G1127" s="6"/>
    </row>
    <row r="1128" spans="1:7" x14ac:dyDescent="0.35">
      <c r="A1128" s="13" t="s">
        <v>248</v>
      </c>
      <c r="B1128" s="8"/>
      <c r="C1128" s="9"/>
      <c r="D1128" s="10"/>
      <c r="E1128" s="21"/>
      <c r="F1128" s="22"/>
      <c r="G1128" s="6"/>
    </row>
    <row r="1129" spans="1:7" x14ac:dyDescent="0.35">
      <c r="A1129" s="13" t="s">
        <v>249</v>
      </c>
      <c r="B1129" s="8"/>
      <c r="C1129" s="9"/>
      <c r="D1129" s="10"/>
      <c r="E1129" s="21"/>
      <c r="F1129" s="22"/>
      <c r="G1129" s="6"/>
    </row>
    <row r="1130" spans="1:7" x14ac:dyDescent="0.35">
      <c r="A1130" s="13" t="s">
        <v>250</v>
      </c>
      <c r="B1130" s="8"/>
      <c r="C1130" s="9"/>
      <c r="D1130" s="10"/>
      <c r="E1130" s="21"/>
      <c r="F1130" s="22"/>
      <c r="G1130" s="6"/>
    </row>
    <row r="1131" spans="1:7" x14ac:dyDescent="0.35">
      <c r="A1131" s="13" t="s">
        <v>251</v>
      </c>
      <c r="B1131" s="8"/>
      <c r="C1131" s="9"/>
      <c r="D1131" s="10"/>
      <c r="E1131" s="21"/>
      <c r="F1131" s="22"/>
      <c r="G1131" s="6"/>
    </row>
    <row r="1132" spans="1:7" x14ac:dyDescent="0.35">
      <c r="A1132" s="13" t="s">
        <v>252</v>
      </c>
      <c r="B1132" s="8"/>
      <c r="C1132" s="9"/>
      <c r="D1132" s="10"/>
      <c r="E1132" s="21"/>
      <c r="F1132" s="22"/>
      <c r="G1132" s="6"/>
    </row>
    <row r="1133" spans="1:7" x14ac:dyDescent="0.35">
      <c r="A1133" s="13" t="s">
        <v>253</v>
      </c>
      <c r="B1133" s="8"/>
      <c r="C1133" s="9"/>
      <c r="D1133" s="10"/>
      <c r="E1133" s="21"/>
      <c r="F1133" s="22"/>
      <c r="G1133" s="6"/>
    </row>
    <row r="1134" spans="1:7" x14ac:dyDescent="0.35">
      <c r="A1134" s="13" t="s">
        <v>254</v>
      </c>
      <c r="B1134" s="8"/>
      <c r="C1134" s="9"/>
      <c r="D1134" s="10"/>
      <c r="E1134" s="21"/>
      <c r="F1134" s="22"/>
      <c r="G1134" s="6"/>
    </row>
    <row r="1135" spans="1:7" x14ac:dyDescent="0.35">
      <c r="A1135" s="13" t="s">
        <v>255</v>
      </c>
      <c r="B1135" s="8"/>
      <c r="C1135" s="9"/>
      <c r="D1135" s="10"/>
      <c r="E1135" s="21"/>
      <c r="F1135" s="22"/>
      <c r="G1135" s="6"/>
    </row>
    <row r="1136" spans="1:7" x14ac:dyDescent="0.35">
      <c r="A1136" s="13" t="s">
        <v>256</v>
      </c>
      <c r="B1136" s="8"/>
      <c r="C1136" s="9"/>
      <c r="D1136" s="10"/>
      <c r="E1136" s="21"/>
      <c r="F1136" s="22"/>
      <c r="G1136" s="6"/>
    </row>
    <row r="1137" spans="1:7" x14ac:dyDescent="0.35">
      <c r="A1137" s="13" t="s">
        <v>257</v>
      </c>
      <c r="B1137" s="8"/>
      <c r="C1137" s="9"/>
      <c r="D1137" s="10"/>
      <c r="E1137" s="21"/>
      <c r="F1137" s="22"/>
      <c r="G1137" s="6"/>
    </row>
    <row r="1138" spans="1:7" x14ac:dyDescent="0.35">
      <c r="A1138" s="13" t="s">
        <v>258</v>
      </c>
      <c r="B1138" s="8"/>
      <c r="C1138" s="9"/>
      <c r="D1138" s="10"/>
      <c r="E1138" s="21"/>
      <c r="F1138" s="22"/>
      <c r="G1138" s="6"/>
    </row>
    <row r="1139" spans="1:7" x14ac:dyDescent="0.35">
      <c r="A1139" s="13" t="s">
        <v>259</v>
      </c>
      <c r="B1139" s="8"/>
      <c r="C1139" s="9"/>
      <c r="D1139" s="10"/>
      <c r="E1139" s="21"/>
      <c r="F1139" s="22"/>
      <c r="G1139" s="6"/>
    </row>
    <row r="1140" spans="1:7" x14ac:dyDescent="0.35">
      <c r="A1140" s="13" t="s">
        <v>260</v>
      </c>
      <c r="B1140" s="8"/>
      <c r="C1140" s="9"/>
      <c r="D1140" s="10"/>
      <c r="E1140" s="21"/>
      <c r="F1140" s="22"/>
      <c r="G1140" s="6"/>
    </row>
    <row r="1141" spans="1:7" x14ac:dyDescent="0.35">
      <c r="A1141" s="13" t="s">
        <v>261</v>
      </c>
      <c r="B1141" s="8"/>
      <c r="C1141" s="9"/>
      <c r="D1141" s="10"/>
      <c r="E1141" s="21"/>
      <c r="F1141" s="22"/>
      <c r="G1141" s="6"/>
    </row>
    <row r="1142" spans="1:7" x14ac:dyDescent="0.35">
      <c r="A1142" s="13" t="s">
        <v>262</v>
      </c>
      <c r="B1142" s="8"/>
      <c r="C1142" s="9"/>
      <c r="D1142" s="10"/>
      <c r="E1142" s="21"/>
      <c r="F1142" s="22"/>
      <c r="G1142" s="6"/>
    </row>
    <row r="1143" spans="1:7" x14ac:dyDescent="0.35">
      <c r="A1143" s="13" t="s">
        <v>263</v>
      </c>
      <c r="B1143" s="8"/>
      <c r="C1143" s="9"/>
      <c r="D1143" s="10"/>
      <c r="E1143" s="21"/>
      <c r="F1143" s="22"/>
      <c r="G1143" s="6"/>
    </row>
    <row r="1144" spans="1:7" x14ac:dyDescent="0.35">
      <c r="A1144" s="13" t="s">
        <v>264</v>
      </c>
      <c r="B1144" s="8"/>
      <c r="C1144" s="9"/>
      <c r="D1144" s="10"/>
      <c r="E1144" s="21"/>
      <c r="F1144" s="22"/>
      <c r="G1144" s="6"/>
    </row>
    <row r="1145" spans="1:7" x14ac:dyDescent="0.35">
      <c r="A1145" s="13" t="s">
        <v>265</v>
      </c>
      <c r="B1145" s="8"/>
      <c r="C1145" s="9"/>
      <c r="D1145" s="10"/>
      <c r="E1145" s="21"/>
      <c r="F1145" s="22"/>
      <c r="G1145" s="6"/>
    </row>
    <row r="1146" spans="1:7" x14ac:dyDescent="0.35">
      <c r="A1146" s="13" t="s">
        <v>266</v>
      </c>
      <c r="B1146" s="8"/>
      <c r="C1146" s="9"/>
      <c r="D1146" s="10"/>
      <c r="E1146" s="21"/>
      <c r="F1146" s="22"/>
      <c r="G1146" s="6"/>
    </row>
    <row r="1147" spans="1:7" x14ac:dyDescent="0.35">
      <c r="A1147" s="13" t="s">
        <v>267</v>
      </c>
      <c r="B1147" s="8"/>
      <c r="C1147" s="9"/>
      <c r="D1147" s="10"/>
      <c r="E1147" s="21"/>
      <c r="F1147" s="22"/>
      <c r="G1147" s="6"/>
    </row>
    <row r="1148" spans="1:7" x14ac:dyDescent="0.35">
      <c r="A1148" s="13" t="s">
        <v>268</v>
      </c>
      <c r="B1148" s="8"/>
      <c r="C1148" s="9"/>
      <c r="D1148" s="10"/>
      <c r="E1148" s="21"/>
      <c r="F1148" s="22"/>
      <c r="G1148" s="6"/>
    </row>
    <row r="1149" spans="1:7" x14ac:dyDescent="0.35">
      <c r="A1149" s="13" t="s">
        <v>269</v>
      </c>
      <c r="B1149" s="8"/>
      <c r="C1149" s="9"/>
      <c r="D1149" s="10"/>
      <c r="E1149" s="21"/>
      <c r="F1149" s="22"/>
      <c r="G1149" s="6"/>
    </row>
    <row r="1150" spans="1:7" x14ac:dyDescent="0.35">
      <c r="A1150" s="13" t="s">
        <v>270</v>
      </c>
      <c r="B1150" s="8"/>
      <c r="C1150" s="9"/>
      <c r="D1150" s="10"/>
      <c r="E1150" s="21"/>
      <c r="F1150" s="22"/>
      <c r="G1150" s="6"/>
    </row>
    <row r="1151" spans="1:7" x14ac:dyDescent="0.35">
      <c r="A1151" s="13" t="s">
        <v>271</v>
      </c>
      <c r="B1151" s="8"/>
      <c r="C1151" s="9"/>
      <c r="D1151" s="10"/>
      <c r="E1151" s="21"/>
      <c r="F1151" s="22"/>
      <c r="G1151" s="6"/>
    </row>
  </sheetData>
  <pageMargins left="0.7" right="0.7" top="0.75" bottom="0.75" header="0.3" footer="0.3"/>
  <pageSetup orientation="portrait" r:id="rId1"/>
  <headerFooter>
    <oddHeader>&amp;L&amp;"Aptos"&amp;12&amp;K03C03C Public&amp;1#_x000D_</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A4E4F-7E76-4C69-B581-0A8955B23493}">
  <dimension ref="A1:F37"/>
  <sheetViews>
    <sheetView workbookViewId="0">
      <pane ySplit="1" topLeftCell="A2" activePane="bottomLeft" state="frozen"/>
      <selection pane="bottomLeft" activeCell="D2" sqref="D2"/>
    </sheetView>
  </sheetViews>
  <sheetFormatPr defaultRowHeight="14.5" x14ac:dyDescent="0.35"/>
  <cols>
    <col min="1" max="1" width="10.453125" customWidth="1"/>
    <col min="2" max="6" width="10.7265625" customWidth="1"/>
  </cols>
  <sheetData>
    <row r="1" spans="1:6" x14ac:dyDescent="0.35">
      <c r="A1" s="1"/>
      <c r="B1" s="15" t="s">
        <v>0</v>
      </c>
      <c r="C1" s="16" t="s">
        <v>1</v>
      </c>
      <c r="D1" s="17" t="s">
        <v>2</v>
      </c>
      <c r="E1" s="24" t="s">
        <v>3</v>
      </c>
      <c r="F1" s="23" t="s">
        <v>4</v>
      </c>
    </row>
    <row r="2" spans="1:6" x14ac:dyDescent="0.35">
      <c r="A2" s="5" t="s">
        <v>6</v>
      </c>
      <c r="B2" s="90"/>
      <c r="C2" s="91"/>
      <c r="D2" s="92"/>
      <c r="E2" s="93"/>
      <c r="F2" s="94"/>
    </row>
    <row r="3" spans="1:6" x14ac:dyDescent="0.35">
      <c r="A3" s="5" t="s">
        <v>7</v>
      </c>
      <c r="B3" s="90"/>
      <c r="C3" s="91"/>
      <c r="D3" s="92"/>
      <c r="E3" s="93"/>
      <c r="F3" s="94"/>
    </row>
    <row r="4" spans="1:6" x14ac:dyDescent="0.35">
      <c r="A4" s="5" t="s">
        <v>8</v>
      </c>
      <c r="B4" s="90"/>
      <c r="C4" s="91"/>
      <c r="D4" s="92"/>
      <c r="E4" s="93"/>
      <c r="F4" s="94"/>
    </row>
    <row r="5" spans="1:6" x14ac:dyDescent="0.35">
      <c r="A5" s="5" t="s">
        <v>9</v>
      </c>
      <c r="B5" s="90"/>
      <c r="C5" s="91"/>
      <c r="D5" s="92"/>
      <c r="E5" s="93"/>
      <c r="F5" s="94"/>
    </row>
    <row r="6" spans="1:6" x14ac:dyDescent="0.35">
      <c r="A6" s="5" t="s">
        <v>10</v>
      </c>
      <c r="B6" s="90"/>
      <c r="C6" s="91"/>
      <c r="D6" s="92"/>
      <c r="E6" s="93"/>
      <c r="F6" s="94"/>
    </row>
    <row r="7" spans="1:6" x14ac:dyDescent="0.35">
      <c r="A7" s="5" t="s">
        <v>11</v>
      </c>
      <c r="B7" s="90"/>
      <c r="C7" s="91"/>
      <c r="D7" s="92"/>
      <c r="E7" s="93"/>
      <c r="F7" s="94"/>
    </row>
    <row r="8" spans="1:6" x14ac:dyDescent="0.35">
      <c r="A8" s="5" t="s">
        <v>12</v>
      </c>
      <c r="B8" s="90"/>
      <c r="C8" s="91"/>
      <c r="D8" s="92"/>
      <c r="E8" s="93"/>
      <c r="F8" s="94"/>
    </row>
    <row r="9" spans="1:6" x14ac:dyDescent="0.35">
      <c r="A9" s="5" t="s">
        <v>13</v>
      </c>
      <c r="B9" s="90"/>
      <c r="C9" s="91"/>
      <c r="D9" s="92"/>
      <c r="E9" s="93"/>
      <c r="F9" s="94"/>
    </row>
    <row r="10" spans="1:6" x14ac:dyDescent="0.35">
      <c r="A10" s="5" t="s">
        <v>14</v>
      </c>
      <c r="B10" s="90"/>
      <c r="C10" s="91"/>
      <c r="D10" s="92"/>
      <c r="E10" s="93"/>
      <c r="F10" s="94"/>
    </row>
    <row r="11" spans="1:6" x14ac:dyDescent="0.35">
      <c r="A11" s="5" t="s">
        <v>15</v>
      </c>
      <c r="B11" s="90"/>
      <c r="C11" s="91"/>
      <c r="D11" s="92"/>
      <c r="E11" s="93"/>
      <c r="F11" s="94"/>
    </row>
    <row r="12" spans="1:6" x14ac:dyDescent="0.35">
      <c r="A12" s="5" t="s">
        <v>16</v>
      </c>
      <c r="B12" s="90"/>
      <c r="C12" s="91"/>
      <c r="D12" s="92"/>
      <c r="E12" s="93"/>
      <c r="F12" s="94"/>
    </row>
    <row r="13" spans="1:6" x14ac:dyDescent="0.35">
      <c r="A13" s="5" t="s">
        <v>17</v>
      </c>
      <c r="B13" s="90"/>
      <c r="C13" s="91"/>
      <c r="D13" s="92"/>
      <c r="E13" s="93"/>
      <c r="F13" s="94"/>
    </row>
    <row r="14" spans="1:6" x14ac:dyDescent="0.35">
      <c r="A14" s="5" t="s">
        <v>18</v>
      </c>
      <c r="B14" s="90"/>
      <c r="C14" s="91"/>
      <c r="D14" s="92"/>
      <c r="E14" s="93"/>
      <c r="F14" s="94"/>
    </row>
    <row r="15" spans="1:6" x14ac:dyDescent="0.35">
      <c r="A15" s="5" t="s">
        <v>19</v>
      </c>
      <c r="B15" s="90"/>
      <c r="C15" s="91"/>
      <c r="D15" s="92"/>
      <c r="E15" s="93"/>
      <c r="F15" s="94"/>
    </row>
    <row r="16" spans="1:6" x14ac:dyDescent="0.35">
      <c r="A16" s="5" t="s">
        <v>20</v>
      </c>
      <c r="B16" s="90"/>
      <c r="C16" s="91"/>
      <c r="D16" s="92"/>
      <c r="E16" s="93"/>
      <c r="F16" s="94"/>
    </row>
    <row r="17" spans="1:6" x14ac:dyDescent="0.35">
      <c r="A17" s="5" t="s">
        <v>21</v>
      </c>
      <c r="B17" s="90"/>
      <c r="C17" s="91"/>
      <c r="D17" s="92"/>
      <c r="E17" s="93"/>
      <c r="F17" s="94"/>
    </row>
    <row r="18" spans="1:6" x14ac:dyDescent="0.35">
      <c r="A18" s="5" t="s">
        <v>22</v>
      </c>
      <c r="B18" s="90"/>
      <c r="C18" s="91"/>
      <c r="D18" s="92"/>
      <c r="E18" s="93"/>
      <c r="F18" s="94"/>
    </row>
    <row r="19" spans="1:6" x14ac:dyDescent="0.35">
      <c r="A19" s="5" t="s">
        <v>23</v>
      </c>
      <c r="B19" s="90"/>
      <c r="C19" s="91"/>
      <c r="D19" s="92"/>
      <c r="E19" s="93"/>
      <c r="F19" s="94"/>
    </row>
    <row r="20" spans="1:6" x14ac:dyDescent="0.35">
      <c r="A20" s="5" t="s">
        <v>24</v>
      </c>
      <c r="B20" s="90"/>
      <c r="C20" s="91"/>
      <c r="D20" s="92"/>
      <c r="E20" s="93"/>
      <c r="F20" s="94"/>
    </row>
    <row r="21" spans="1:6" x14ac:dyDescent="0.35">
      <c r="A21" s="5" t="s">
        <v>25</v>
      </c>
      <c r="B21" s="90"/>
      <c r="C21" s="91"/>
      <c r="D21" s="92"/>
      <c r="E21" s="93"/>
      <c r="F21" s="94"/>
    </row>
    <row r="22" spans="1:6" x14ac:dyDescent="0.35">
      <c r="A22" s="5" t="s">
        <v>26</v>
      </c>
      <c r="B22" s="90"/>
      <c r="C22" s="91"/>
      <c r="D22" s="92"/>
      <c r="E22" s="93"/>
      <c r="F22" s="94"/>
    </row>
    <row r="23" spans="1:6" x14ac:dyDescent="0.35">
      <c r="A23" s="5" t="s">
        <v>27</v>
      </c>
      <c r="B23" s="90"/>
      <c r="C23" s="91"/>
      <c r="D23" s="92"/>
      <c r="E23" s="93"/>
      <c r="F23" s="94"/>
    </row>
    <row r="24" spans="1:6" x14ac:dyDescent="0.35">
      <c r="A24" s="5" t="s">
        <v>28</v>
      </c>
      <c r="B24" s="90"/>
      <c r="C24" s="91"/>
      <c r="D24" s="92"/>
      <c r="E24" s="93"/>
      <c r="F24" s="94"/>
    </row>
    <row r="25" spans="1:6" x14ac:dyDescent="0.35">
      <c r="A25" s="5" t="s">
        <v>29</v>
      </c>
      <c r="B25" s="90"/>
      <c r="C25" s="91"/>
      <c r="D25" s="92"/>
      <c r="E25" s="93"/>
      <c r="F25" s="94"/>
    </row>
    <row r="26" spans="1:6" x14ac:dyDescent="0.35">
      <c r="A26" s="5" t="s">
        <v>30</v>
      </c>
      <c r="B26" s="90"/>
      <c r="C26" s="91"/>
      <c r="D26" s="92"/>
      <c r="E26" s="93"/>
      <c r="F26" s="94"/>
    </row>
    <row r="27" spans="1:6" x14ac:dyDescent="0.35">
      <c r="A27" s="5" t="s">
        <v>31</v>
      </c>
      <c r="B27" s="90"/>
      <c r="C27" s="91"/>
      <c r="D27" s="92"/>
      <c r="E27" s="93"/>
      <c r="F27" s="94"/>
    </row>
    <row r="28" spans="1:6" x14ac:dyDescent="0.35">
      <c r="A28" s="5" t="s">
        <v>32</v>
      </c>
      <c r="B28" s="90"/>
      <c r="C28" s="91"/>
      <c r="D28" s="92"/>
      <c r="E28" s="93"/>
      <c r="F28" s="94"/>
    </row>
    <row r="29" spans="1:6" x14ac:dyDescent="0.35">
      <c r="A29" s="5" t="s">
        <v>33</v>
      </c>
      <c r="B29" s="90"/>
      <c r="C29" s="91"/>
      <c r="D29" s="92"/>
      <c r="E29" s="93"/>
      <c r="F29" s="94"/>
    </row>
    <row r="30" spans="1:6" x14ac:dyDescent="0.35">
      <c r="A30" s="5" t="s">
        <v>34</v>
      </c>
      <c r="B30" s="90"/>
      <c r="C30" s="91"/>
      <c r="D30" s="92"/>
      <c r="E30" s="93"/>
      <c r="F30" s="94"/>
    </row>
    <row r="31" spans="1:6" x14ac:dyDescent="0.35">
      <c r="A31" s="5" t="s">
        <v>35</v>
      </c>
      <c r="B31" s="90"/>
      <c r="C31" s="91"/>
      <c r="D31" s="92"/>
      <c r="E31" s="93"/>
      <c r="F31" s="94"/>
    </row>
    <row r="32" spans="1:6" x14ac:dyDescent="0.35">
      <c r="A32" s="5" t="s">
        <v>36</v>
      </c>
      <c r="B32" s="90"/>
      <c r="C32" s="91"/>
      <c r="D32" s="92"/>
      <c r="E32" s="93"/>
      <c r="F32" s="94"/>
    </row>
    <row r="33" spans="1:6" x14ac:dyDescent="0.35">
      <c r="A33" s="5" t="s">
        <v>37</v>
      </c>
      <c r="B33" s="90"/>
      <c r="C33" s="91"/>
      <c r="D33" s="92"/>
      <c r="E33" s="93"/>
      <c r="F33" s="94"/>
    </row>
    <row r="34" spans="1:6" x14ac:dyDescent="0.35">
      <c r="A34" s="5" t="s">
        <v>38</v>
      </c>
      <c r="B34" s="90"/>
      <c r="C34" s="91"/>
      <c r="D34" s="92"/>
      <c r="E34" s="93"/>
      <c r="F34" s="94"/>
    </row>
    <row r="35" spans="1:6" x14ac:dyDescent="0.35">
      <c r="A35" s="5" t="s">
        <v>39</v>
      </c>
      <c r="B35" s="90"/>
      <c r="C35" s="91"/>
      <c r="D35" s="92"/>
      <c r="E35" s="93"/>
      <c r="F35" s="94"/>
    </row>
    <row r="36" spans="1:6" x14ac:dyDescent="0.35">
      <c r="A36" s="5" t="s">
        <v>40</v>
      </c>
      <c r="B36" s="90"/>
      <c r="C36" s="91"/>
      <c r="D36" s="92"/>
      <c r="E36" s="93"/>
      <c r="F36" s="94"/>
    </row>
    <row r="37" spans="1:6" x14ac:dyDescent="0.35">
      <c r="A37" s="5" t="s">
        <v>41</v>
      </c>
      <c r="B37" s="90"/>
      <c r="C37" s="91"/>
      <c r="D37" s="92"/>
      <c r="E37" s="93"/>
      <c r="F37" s="94"/>
    </row>
  </sheetData>
  <pageMargins left="0.7" right="0.7" top="0.75" bottom="0.75" header="0.3" footer="0.3"/>
  <headerFooter>
    <oddHeader>&amp;L&amp;"Aptos"&amp;12&amp;K03C03C Public&amp;1#_x000D_</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1AA43-2E43-4707-8922-A21B35ADE436}">
  <dimension ref="A1:L109"/>
  <sheetViews>
    <sheetView workbookViewId="0">
      <pane ySplit="1" topLeftCell="A2" activePane="bottomLeft" state="frozen"/>
      <selection pane="bottomLeft" activeCell="O10" sqref="O10"/>
    </sheetView>
  </sheetViews>
  <sheetFormatPr defaultRowHeight="14.5" x14ac:dyDescent="0.35"/>
  <cols>
    <col min="1" max="1" width="16.81640625" customWidth="1"/>
    <col min="4" max="4" width="8.81640625" bestFit="1" customWidth="1"/>
    <col min="6" max="6" width="12.26953125" bestFit="1" customWidth="1"/>
    <col min="7" max="7" width="12.54296875" bestFit="1" customWidth="1"/>
    <col min="8" max="8" width="15.81640625" bestFit="1" customWidth="1"/>
    <col min="9" max="9" width="14.54296875" bestFit="1" customWidth="1"/>
    <col min="12" max="12" width="12" bestFit="1" customWidth="1"/>
  </cols>
  <sheetData>
    <row r="1" spans="1:12" x14ac:dyDescent="0.35">
      <c r="A1" s="37" t="s">
        <v>192</v>
      </c>
      <c r="B1" s="37" t="s">
        <v>193</v>
      </c>
      <c r="C1" s="37" t="s">
        <v>194</v>
      </c>
      <c r="D1" s="37" t="s">
        <v>166</v>
      </c>
      <c r="E1" s="37" t="s">
        <v>195</v>
      </c>
      <c r="F1" s="37" t="s">
        <v>196</v>
      </c>
      <c r="G1" s="37" t="s">
        <v>197</v>
      </c>
      <c r="H1" s="37" t="s">
        <v>198</v>
      </c>
      <c r="I1" s="37" t="s">
        <v>199</v>
      </c>
      <c r="L1" s="37" t="s">
        <v>200</v>
      </c>
    </row>
    <row r="2" spans="1:12" x14ac:dyDescent="0.35">
      <c r="A2" s="13" t="s">
        <v>49</v>
      </c>
      <c r="B2" s="2"/>
      <c r="C2" s="2"/>
      <c r="D2" s="2"/>
      <c r="E2" s="2"/>
      <c r="F2" s="2"/>
      <c r="G2" s="2"/>
      <c r="H2" s="2"/>
      <c r="I2" s="2"/>
      <c r="L2" s="121">
        <v>1</v>
      </c>
    </row>
    <row r="3" spans="1:12" x14ac:dyDescent="0.35">
      <c r="A3" s="13" t="s">
        <v>50</v>
      </c>
      <c r="B3" s="2"/>
      <c r="C3" s="2"/>
      <c r="D3" s="2"/>
      <c r="E3" s="2"/>
      <c r="F3" s="2"/>
      <c r="G3" s="2"/>
      <c r="H3" s="2"/>
      <c r="I3" s="2"/>
    </row>
    <row r="4" spans="1:12" x14ac:dyDescent="0.35">
      <c r="A4" s="13" t="s">
        <v>51</v>
      </c>
      <c r="B4" s="2"/>
      <c r="C4" s="2"/>
      <c r="D4" s="2"/>
      <c r="E4" s="2"/>
      <c r="F4" s="2"/>
      <c r="G4" s="2"/>
      <c r="H4" s="2"/>
      <c r="I4" s="2"/>
    </row>
    <row r="5" spans="1:12" x14ac:dyDescent="0.35">
      <c r="A5" s="13" t="s">
        <v>52</v>
      </c>
      <c r="B5" s="2"/>
      <c r="C5" s="2"/>
      <c r="D5" s="2"/>
      <c r="E5" s="2"/>
      <c r="F5" s="2"/>
      <c r="G5" s="2"/>
      <c r="H5" s="2"/>
      <c r="I5" s="2"/>
    </row>
    <row r="6" spans="1:12" x14ac:dyDescent="0.35">
      <c r="A6" s="13" t="s">
        <v>53</v>
      </c>
      <c r="B6" s="2"/>
      <c r="C6" s="2"/>
      <c r="D6" s="2"/>
      <c r="E6" s="2"/>
      <c r="F6" s="2"/>
      <c r="G6" s="2"/>
      <c r="H6" s="2"/>
      <c r="I6" s="2"/>
    </row>
    <row r="7" spans="1:12" x14ac:dyDescent="0.35">
      <c r="A7" s="13" t="s">
        <v>54</v>
      </c>
      <c r="B7" s="2"/>
      <c r="C7" s="2"/>
      <c r="D7" s="2"/>
      <c r="E7" s="2"/>
      <c r="F7" s="2"/>
      <c r="G7" s="2"/>
      <c r="H7" s="2"/>
      <c r="I7" s="2"/>
    </row>
    <row r="8" spans="1:12" x14ac:dyDescent="0.35">
      <c r="A8" s="13" t="s">
        <v>55</v>
      </c>
      <c r="B8">
        <v>184</v>
      </c>
      <c r="C8">
        <v>0</v>
      </c>
      <c r="D8">
        <v>172</v>
      </c>
      <c r="E8">
        <v>0</v>
      </c>
      <c r="F8">
        <v>24</v>
      </c>
      <c r="G8">
        <v>164</v>
      </c>
      <c r="H8">
        <f>B8+E8</f>
        <v>184</v>
      </c>
      <c r="I8">
        <f>D8+F8</f>
        <v>196</v>
      </c>
    </row>
    <row r="9" spans="1:12" x14ac:dyDescent="0.35">
      <c r="A9" s="13" t="s">
        <v>56</v>
      </c>
      <c r="B9">
        <v>209</v>
      </c>
      <c r="C9">
        <v>1</v>
      </c>
      <c r="D9">
        <v>165</v>
      </c>
      <c r="E9">
        <v>0</v>
      </c>
      <c r="F9">
        <v>24</v>
      </c>
      <c r="G9">
        <v>164</v>
      </c>
      <c r="H9">
        <f t="shared" ref="H9:H10" si="0">B9+E9</f>
        <v>209</v>
      </c>
      <c r="I9">
        <f t="shared" ref="I9:I10" si="1">D9+F9</f>
        <v>189</v>
      </c>
    </row>
    <row r="10" spans="1:12" x14ac:dyDescent="0.35">
      <c r="A10" s="13" t="s">
        <v>57</v>
      </c>
      <c r="B10">
        <v>184</v>
      </c>
      <c r="C10">
        <v>0</v>
      </c>
      <c r="D10">
        <v>177</v>
      </c>
      <c r="E10">
        <v>0</v>
      </c>
      <c r="F10">
        <v>24</v>
      </c>
      <c r="G10">
        <v>164</v>
      </c>
      <c r="H10">
        <f t="shared" si="0"/>
        <v>184</v>
      </c>
      <c r="I10">
        <f t="shared" si="1"/>
        <v>201</v>
      </c>
    </row>
    <row r="11" spans="1:12" x14ac:dyDescent="0.35">
      <c r="A11" s="13" t="s">
        <v>58</v>
      </c>
    </row>
    <row r="12" spans="1:12" x14ac:dyDescent="0.35">
      <c r="A12" s="13" t="s">
        <v>59</v>
      </c>
    </row>
    <row r="13" spans="1:12" x14ac:dyDescent="0.35">
      <c r="A13" s="13" t="s">
        <v>60</v>
      </c>
    </row>
    <row r="14" spans="1:12" x14ac:dyDescent="0.35">
      <c r="A14" s="13" t="s">
        <v>61</v>
      </c>
    </row>
    <row r="15" spans="1:12" x14ac:dyDescent="0.35">
      <c r="A15" s="13" t="s">
        <v>62</v>
      </c>
    </row>
    <row r="16" spans="1:12" x14ac:dyDescent="0.35">
      <c r="A16" s="13" t="s">
        <v>63</v>
      </c>
    </row>
    <row r="17" spans="1:2" x14ac:dyDescent="0.35">
      <c r="A17" s="13" t="s">
        <v>64</v>
      </c>
    </row>
    <row r="18" spans="1:2" x14ac:dyDescent="0.35">
      <c r="A18" s="13" t="s">
        <v>67</v>
      </c>
    </row>
    <row r="19" spans="1:2" x14ac:dyDescent="0.35">
      <c r="A19" s="13" t="s">
        <v>66</v>
      </c>
    </row>
    <row r="20" spans="1:2" x14ac:dyDescent="0.35">
      <c r="A20" s="13" t="s">
        <v>68</v>
      </c>
    </row>
    <row r="21" spans="1:2" x14ac:dyDescent="0.35">
      <c r="A21" s="13" t="s">
        <v>65</v>
      </c>
    </row>
    <row r="22" spans="1:2" x14ac:dyDescent="0.35">
      <c r="A22" s="13" t="s">
        <v>69</v>
      </c>
    </row>
    <row r="23" spans="1:2" x14ac:dyDescent="0.35">
      <c r="A23" s="13" t="s">
        <v>70</v>
      </c>
    </row>
    <row r="24" spans="1:2" x14ac:dyDescent="0.35">
      <c r="A24" s="13" t="s">
        <v>71</v>
      </c>
    </row>
    <row r="25" spans="1:2" x14ac:dyDescent="0.35">
      <c r="A25" s="13" t="s">
        <v>72</v>
      </c>
    </row>
    <row r="26" spans="1:2" x14ac:dyDescent="0.35">
      <c r="A26" s="13" t="s">
        <v>73</v>
      </c>
    </row>
    <row r="27" spans="1:2" x14ac:dyDescent="0.35">
      <c r="A27" s="13" t="s">
        <v>74</v>
      </c>
    </row>
    <row r="28" spans="1:2" x14ac:dyDescent="0.35">
      <c r="A28" s="13" t="s">
        <v>75</v>
      </c>
    </row>
    <row r="29" spans="1:2" x14ac:dyDescent="0.35">
      <c r="A29" s="13" t="s">
        <v>76</v>
      </c>
    </row>
    <row r="30" spans="1:2" x14ac:dyDescent="0.35">
      <c r="A30" s="13" t="s">
        <v>77</v>
      </c>
    </row>
    <row r="31" spans="1:2" x14ac:dyDescent="0.35">
      <c r="A31" s="13" t="s">
        <v>78</v>
      </c>
    </row>
    <row r="32" spans="1:2" x14ac:dyDescent="0.35">
      <c r="A32" s="13" t="s">
        <v>79</v>
      </c>
      <c r="B32" s="37"/>
    </row>
    <row r="33" spans="1:2" x14ac:dyDescent="0.35">
      <c r="A33" s="13" t="s">
        <v>80</v>
      </c>
      <c r="B33" s="37"/>
    </row>
    <row r="34" spans="1:2" x14ac:dyDescent="0.35">
      <c r="A34" s="13" t="s">
        <v>81</v>
      </c>
      <c r="B34" s="37"/>
    </row>
    <row r="35" spans="1:2" x14ac:dyDescent="0.35">
      <c r="A35" s="13" t="s">
        <v>82</v>
      </c>
      <c r="B35" s="37"/>
    </row>
    <row r="36" spans="1:2" x14ac:dyDescent="0.35">
      <c r="A36" s="13" t="s">
        <v>83</v>
      </c>
      <c r="B36" s="37"/>
    </row>
    <row r="37" spans="1:2" x14ac:dyDescent="0.35">
      <c r="A37" s="13" t="s">
        <v>84</v>
      </c>
      <c r="B37" s="37"/>
    </row>
    <row r="38" spans="1:2" x14ac:dyDescent="0.35">
      <c r="A38" s="13" t="s">
        <v>85</v>
      </c>
      <c r="B38" s="37"/>
    </row>
    <row r="39" spans="1:2" x14ac:dyDescent="0.35">
      <c r="A39" s="13" t="s">
        <v>86</v>
      </c>
      <c r="B39" s="37"/>
    </row>
    <row r="40" spans="1:2" x14ac:dyDescent="0.35">
      <c r="A40" s="13" t="s">
        <v>87</v>
      </c>
      <c r="B40" s="37"/>
    </row>
    <row r="41" spans="1:2" x14ac:dyDescent="0.35">
      <c r="A41" s="13" t="s">
        <v>88</v>
      </c>
      <c r="B41" s="37"/>
    </row>
    <row r="42" spans="1:2" x14ac:dyDescent="0.35">
      <c r="A42" s="13" t="s">
        <v>89</v>
      </c>
      <c r="B42" s="37"/>
    </row>
    <row r="43" spans="1:2" x14ac:dyDescent="0.35">
      <c r="A43" s="13" t="s">
        <v>90</v>
      </c>
      <c r="B43" s="37"/>
    </row>
    <row r="44" spans="1:2" x14ac:dyDescent="0.35">
      <c r="A44" s="13" t="s">
        <v>91</v>
      </c>
      <c r="B44" s="37"/>
    </row>
    <row r="45" spans="1:2" x14ac:dyDescent="0.35">
      <c r="A45" s="13" t="s">
        <v>92</v>
      </c>
      <c r="B45" s="37"/>
    </row>
    <row r="46" spans="1:2" x14ac:dyDescent="0.35">
      <c r="A46" s="13" t="s">
        <v>93</v>
      </c>
      <c r="B46" s="37"/>
    </row>
    <row r="47" spans="1:2" x14ac:dyDescent="0.35">
      <c r="A47" s="13" t="s">
        <v>94</v>
      </c>
      <c r="B47" s="37"/>
    </row>
    <row r="48" spans="1:2" x14ac:dyDescent="0.35">
      <c r="A48" s="13" t="s">
        <v>95</v>
      </c>
      <c r="B48" s="37"/>
    </row>
    <row r="49" spans="1:2" x14ac:dyDescent="0.35">
      <c r="A49" s="13" t="s">
        <v>96</v>
      </c>
      <c r="B49" s="37"/>
    </row>
    <row r="50" spans="1:2" x14ac:dyDescent="0.35">
      <c r="A50" s="13" t="s">
        <v>97</v>
      </c>
      <c r="B50" s="37"/>
    </row>
    <row r="51" spans="1:2" x14ac:dyDescent="0.35">
      <c r="A51" s="13" t="s">
        <v>98</v>
      </c>
      <c r="B51" s="37"/>
    </row>
    <row r="52" spans="1:2" x14ac:dyDescent="0.35">
      <c r="A52" s="13" t="s">
        <v>99</v>
      </c>
      <c r="B52" s="37"/>
    </row>
    <row r="53" spans="1:2" x14ac:dyDescent="0.35">
      <c r="A53" s="13" t="s">
        <v>100</v>
      </c>
      <c r="B53" s="37"/>
    </row>
    <row r="54" spans="1:2" x14ac:dyDescent="0.35">
      <c r="A54" s="13" t="s">
        <v>101</v>
      </c>
      <c r="B54" s="37"/>
    </row>
    <row r="55" spans="1:2" x14ac:dyDescent="0.35">
      <c r="A55" s="13" t="s">
        <v>102</v>
      </c>
      <c r="B55" s="37"/>
    </row>
    <row r="56" spans="1:2" x14ac:dyDescent="0.35">
      <c r="A56" s="13" t="s">
        <v>103</v>
      </c>
      <c r="B56" s="37"/>
    </row>
    <row r="57" spans="1:2" x14ac:dyDescent="0.35">
      <c r="A57" s="13" t="s">
        <v>104</v>
      </c>
      <c r="B57" s="37"/>
    </row>
    <row r="58" spans="1:2" x14ac:dyDescent="0.35">
      <c r="A58" s="13" t="s">
        <v>105</v>
      </c>
      <c r="B58" s="37"/>
    </row>
    <row r="59" spans="1:2" x14ac:dyDescent="0.35">
      <c r="A59" s="13" t="s">
        <v>106</v>
      </c>
      <c r="B59" s="37"/>
    </row>
    <row r="60" spans="1:2" x14ac:dyDescent="0.35">
      <c r="A60" s="13" t="s">
        <v>107</v>
      </c>
      <c r="B60" s="37"/>
    </row>
    <row r="61" spans="1:2" x14ac:dyDescent="0.35">
      <c r="A61" s="13" t="s">
        <v>108</v>
      </c>
      <c r="B61" s="37"/>
    </row>
    <row r="62" spans="1:2" x14ac:dyDescent="0.35">
      <c r="A62" s="13" t="s">
        <v>109</v>
      </c>
      <c r="B62" s="37"/>
    </row>
    <row r="63" spans="1:2" x14ac:dyDescent="0.35">
      <c r="A63" s="13" t="s">
        <v>110</v>
      </c>
      <c r="B63" s="37"/>
    </row>
    <row r="64" spans="1:2" x14ac:dyDescent="0.35">
      <c r="A64" s="13" t="s">
        <v>111</v>
      </c>
      <c r="B64" s="37"/>
    </row>
    <row r="65" spans="1:2" x14ac:dyDescent="0.35">
      <c r="A65" s="13" t="s">
        <v>112</v>
      </c>
      <c r="B65" s="37"/>
    </row>
    <row r="66" spans="1:2" x14ac:dyDescent="0.35">
      <c r="A66" s="13" t="s">
        <v>113</v>
      </c>
      <c r="B66" s="37"/>
    </row>
    <row r="67" spans="1:2" x14ac:dyDescent="0.35">
      <c r="A67" s="13" t="s">
        <v>114</v>
      </c>
      <c r="B67" s="37"/>
    </row>
    <row r="68" spans="1:2" x14ac:dyDescent="0.35">
      <c r="A68" s="13" t="s">
        <v>115</v>
      </c>
      <c r="B68" s="37"/>
    </row>
    <row r="69" spans="1:2" x14ac:dyDescent="0.35">
      <c r="A69" s="13" t="s">
        <v>116</v>
      </c>
      <c r="B69" s="37"/>
    </row>
    <row r="70" spans="1:2" x14ac:dyDescent="0.35">
      <c r="A70" s="13" t="s">
        <v>117</v>
      </c>
      <c r="B70" s="37"/>
    </row>
    <row r="71" spans="1:2" x14ac:dyDescent="0.35">
      <c r="A71" s="13" t="s">
        <v>118</v>
      </c>
      <c r="B71" s="37"/>
    </row>
    <row r="72" spans="1:2" x14ac:dyDescent="0.35">
      <c r="A72" s="13" t="s">
        <v>119</v>
      </c>
      <c r="B72" s="37"/>
    </row>
    <row r="73" spans="1:2" x14ac:dyDescent="0.35">
      <c r="A73" s="13" t="s">
        <v>120</v>
      </c>
      <c r="B73" s="37"/>
    </row>
    <row r="74" spans="1:2" x14ac:dyDescent="0.35">
      <c r="A74" s="13" t="s">
        <v>121</v>
      </c>
      <c r="B74" s="37"/>
    </row>
    <row r="75" spans="1:2" x14ac:dyDescent="0.35">
      <c r="A75" s="13" t="s">
        <v>122</v>
      </c>
      <c r="B75" s="37"/>
    </row>
    <row r="76" spans="1:2" x14ac:dyDescent="0.35">
      <c r="A76" s="13" t="s">
        <v>123</v>
      </c>
      <c r="B76" s="37"/>
    </row>
    <row r="77" spans="1:2" x14ac:dyDescent="0.35">
      <c r="A77" s="13" t="s">
        <v>124</v>
      </c>
      <c r="B77" s="37"/>
    </row>
    <row r="78" spans="1:2" x14ac:dyDescent="0.35">
      <c r="A78" s="13" t="s">
        <v>125</v>
      </c>
      <c r="B78" s="37"/>
    </row>
    <row r="79" spans="1:2" x14ac:dyDescent="0.35">
      <c r="A79" s="13" t="s">
        <v>126</v>
      </c>
      <c r="B79" s="37"/>
    </row>
    <row r="80" spans="1:2" x14ac:dyDescent="0.35">
      <c r="A80" s="13" t="s">
        <v>127</v>
      </c>
      <c r="B80" s="37"/>
    </row>
    <row r="81" spans="1:2" x14ac:dyDescent="0.35">
      <c r="A81" s="13" t="s">
        <v>128</v>
      </c>
      <c r="B81" s="37"/>
    </row>
    <row r="82" spans="1:2" x14ac:dyDescent="0.35">
      <c r="A82" s="13" t="s">
        <v>129</v>
      </c>
      <c r="B82" s="37"/>
    </row>
    <row r="83" spans="1:2" x14ac:dyDescent="0.35">
      <c r="A83" s="13" t="s">
        <v>130</v>
      </c>
      <c r="B83" s="37"/>
    </row>
    <row r="84" spans="1:2" x14ac:dyDescent="0.35">
      <c r="A84" s="13" t="s">
        <v>131</v>
      </c>
      <c r="B84" s="37"/>
    </row>
    <row r="85" spans="1:2" x14ac:dyDescent="0.35">
      <c r="A85" s="13" t="s">
        <v>132</v>
      </c>
      <c r="B85" s="37"/>
    </row>
    <row r="86" spans="1:2" x14ac:dyDescent="0.35">
      <c r="A86" s="13" t="s">
        <v>133</v>
      </c>
      <c r="B86" s="37"/>
    </row>
    <row r="87" spans="1:2" x14ac:dyDescent="0.35">
      <c r="A87" s="13" t="s">
        <v>134</v>
      </c>
      <c r="B87" s="37"/>
    </row>
    <row r="88" spans="1:2" x14ac:dyDescent="0.35">
      <c r="A88" s="13" t="s">
        <v>135</v>
      </c>
      <c r="B88" s="37"/>
    </row>
    <row r="89" spans="1:2" x14ac:dyDescent="0.35">
      <c r="A89" s="13" t="s">
        <v>136</v>
      </c>
      <c r="B89" s="37"/>
    </row>
    <row r="90" spans="1:2" x14ac:dyDescent="0.35">
      <c r="A90" s="13" t="s">
        <v>137</v>
      </c>
      <c r="B90" s="37"/>
    </row>
    <row r="91" spans="1:2" x14ac:dyDescent="0.35">
      <c r="A91" s="13" t="s">
        <v>138</v>
      </c>
      <c r="B91" s="37"/>
    </row>
    <row r="92" spans="1:2" x14ac:dyDescent="0.35">
      <c r="A92" s="13" t="s">
        <v>139</v>
      </c>
      <c r="B92" s="37"/>
    </row>
    <row r="93" spans="1:2" x14ac:dyDescent="0.35">
      <c r="A93" s="13" t="s">
        <v>141</v>
      </c>
      <c r="B93" s="37"/>
    </row>
    <row r="94" spans="1:2" x14ac:dyDescent="0.35">
      <c r="A94" s="13" t="s">
        <v>142</v>
      </c>
      <c r="B94" s="37"/>
    </row>
    <row r="95" spans="1:2" x14ac:dyDescent="0.35">
      <c r="A95" s="13" t="s">
        <v>140</v>
      </c>
      <c r="B95" s="37"/>
    </row>
    <row r="96" spans="1:2" x14ac:dyDescent="0.35">
      <c r="A96" s="13" t="s">
        <v>143</v>
      </c>
      <c r="B96" s="37"/>
    </row>
    <row r="97" spans="1:2" x14ac:dyDescent="0.35">
      <c r="A97" s="13" t="s">
        <v>144</v>
      </c>
      <c r="B97" s="37"/>
    </row>
    <row r="98" spans="1:2" x14ac:dyDescent="0.35">
      <c r="A98" s="13" t="s">
        <v>145</v>
      </c>
      <c r="B98" s="37"/>
    </row>
    <row r="99" spans="1:2" x14ac:dyDescent="0.35">
      <c r="A99" s="13" t="s">
        <v>148</v>
      </c>
      <c r="B99" s="37"/>
    </row>
    <row r="100" spans="1:2" x14ac:dyDescent="0.35">
      <c r="A100" s="13" t="s">
        <v>149</v>
      </c>
      <c r="B100" s="37"/>
    </row>
    <row r="101" spans="1:2" x14ac:dyDescent="0.35">
      <c r="A101" s="13" t="s">
        <v>146</v>
      </c>
      <c r="B101" s="37"/>
    </row>
    <row r="102" spans="1:2" x14ac:dyDescent="0.35">
      <c r="A102" s="13" t="s">
        <v>150</v>
      </c>
      <c r="B102" s="37"/>
    </row>
    <row r="103" spans="1:2" x14ac:dyDescent="0.35">
      <c r="A103" s="13" t="s">
        <v>151</v>
      </c>
      <c r="B103" s="37"/>
    </row>
    <row r="104" spans="1:2" x14ac:dyDescent="0.35">
      <c r="A104" s="13" t="s">
        <v>147</v>
      </c>
      <c r="B104" s="37"/>
    </row>
    <row r="105" spans="1:2" x14ac:dyDescent="0.35">
      <c r="A105" s="13" t="s">
        <v>152</v>
      </c>
      <c r="B105" s="37"/>
    </row>
    <row r="106" spans="1:2" x14ac:dyDescent="0.35">
      <c r="A106" s="13" t="s">
        <v>153</v>
      </c>
      <c r="B106" s="37"/>
    </row>
    <row r="107" spans="1:2" x14ac:dyDescent="0.35">
      <c r="A107" s="13" t="s">
        <v>154</v>
      </c>
      <c r="B107" s="37"/>
    </row>
    <row r="108" spans="1:2" x14ac:dyDescent="0.35">
      <c r="A108" s="13" t="s">
        <v>155</v>
      </c>
      <c r="B108" s="37"/>
    </row>
    <row r="109" spans="1:2" x14ac:dyDescent="0.35">
      <c r="A109" s="13" t="s">
        <v>156</v>
      </c>
      <c r="B109" s="37"/>
    </row>
  </sheetData>
  <pageMargins left="0.7" right="0.7" top="0.75" bottom="0.75" header="0.3" footer="0.3"/>
  <headerFooter>
    <oddHeader>&amp;L&amp;"Aptos"&amp;12&amp;K03C03C Public&amp;1#_x000D_</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8FDC5-A1C2-4DC8-81DB-66878394ED93}">
  <dimension ref="A1:B38"/>
  <sheetViews>
    <sheetView workbookViewId="0">
      <selection activeCell="B5" sqref="B5"/>
    </sheetView>
  </sheetViews>
  <sheetFormatPr defaultRowHeight="14.5" x14ac:dyDescent="0.35"/>
  <cols>
    <col min="1" max="1" width="10.7265625" bestFit="1" customWidth="1"/>
    <col min="2" max="2" width="8.7265625" style="37"/>
  </cols>
  <sheetData>
    <row r="1" spans="1:2" x14ac:dyDescent="0.35">
      <c r="A1" s="37" t="s">
        <v>202</v>
      </c>
      <c r="B1" s="37" t="s">
        <v>194</v>
      </c>
    </row>
    <row r="2" spans="1:2" x14ac:dyDescent="0.35">
      <c r="A2" s="122" t="s">
        <v>233</v>
      </c>
      <c r="B2" s="37">
        <v>17</v>
      </c>
    </row>
    <row r="3" spans="1:2" x14ac:dyDescent="0.35">
      <c r="A3" s="122" t="s">
        <v>221</v>
      </c>
      <c r="B3" s="37">
        <v>9</v>
      </c>
    </row>
    <row r="4" spans="1:2" x14ac:dyDescent="0.35">
      <c r="A4" s="122" t="s">
        <v>222</v>
      </c>
      <c r="B4" s="37">
        <v>16</v>
      </c>
    </row>
    <row r="5" spans="1:2" x14ac:dyDescent="0.35">
      <c r="A5" s="122" t="s">
        <v>223</v>
      </c>
    </row>
    <row r="6" spans="1:2" x14ac:dyDescent="0.35">
      <c r="A6" s="122" t="s">
        <v>224</v>
      </c>
    </row>
    <row r="7" spans="1:2" x14ac:dyDescent="0.35">
      <c r="A7" s="122" t="s">
        <v>225</v>
      </c>
    </row>
    <row r="8" spans="1:2" x14ac:dyDescent="0.35">
      <c r="A8" s="122" t="s">
        <v>226</v>
      </c>
    </row>
    <row r="9" spans="1:2" x14ac:dyDescent="0.35">
      <c r="A9" s="122" t="s">
        <v>227</v>
      </c>
    </row>
    <row r="10" spans="1:2" x14ac:dyDescent="0.35">
      <c r="A10" s="122" t="s">
        <v>228</v>
      </c>
    </row>
    <row r="11" spans="1:2" x14ac:dyDescent="0.35">
      <c r="A11" s="122" t="s">
        <v>229</v>
      </c>
    </row>
    <row r="12" spans="1:2" x14ac:dyDescent="0.35">
      <c r="A12" s="122" t="s">
        <v>230</v>
      </c>
    </row>
    <row r="13" spans="1:2" x14ac:dyDescent="0.35">
      <c r="A13" s="122" t="s">
        <v>231</v>
      </c>
    </row>
    <row r="14" spans="1:2" x14ac:dyDescent="0.35">
      <c r="A14" s="122" t="s">
        <v>232</v>
      </c>
    </row>
    <row r="15" spans="1:2" x14ac:dyDescent="0.35">
      <c r="A15" s="122" t="s">
        <v>234</v>
      </c>
    </row>
    <row r="16" spans="1:2" x14ac:dyDescent="0.35">
      <c r="A16" s="37">
        <v>15</v>
      </c>
    </row>
    <row r="17" spans="1:1" x14ac:dyDescent="0.35">
      <c r="A17" s="37">
        <v>16</v>
      </c>
    </row>
    <row r="18" spans="1:1" x14ac:dyDescent="0.35">
      <c r="A18" s="37">
        <v>17</v>
      </c>
    </row>
    <row r="19" spans="1:1" x14ac:dyDescent="0.35">
      <c r="A19" s="37">
        <v>18</v>
      </c>
    </row>
    <row r="20" spans="1:1" x14ac:dyDescent="0.35">
      <c r="A20" s="37">
        <v>19</v>
      </c>
    </row>
    <row r="21" spans="1:1" x14ac:dyDescent="0.35">
      <c r="A21" s="37">
        <v>20</v>
      </c>
    </row>
    <row r="22" spans="1:1" x14ac:dyDescent="0.35">
      <c r="A22" s="37">
        <v>21</v>
      </c>
    </row>
    <row r="23" spans="1:1" x14ac:dyDescent="0.35">
      <c r="A23" s="37">
        <v>22</v>
      </c>
    </row>
    <row r="24" spans="1:1" x14ac:dyDescent="0.35">
      <c r="A24" s="37">
        <v>23</v>
      </c>
    </row>
    <row r="25" spans="1:1" x14ac:dyDescent="0.35">
      <c r="A25" s="37">
        <v>24</v>
      </c>
    </row>
    <row r="26" spans="1:1" x14ac:dyDescent="0.35">
      <c r="A26" s="37">
        <v>25</v>
      </c>
    </row>
    <row r="27" spans="1:1" x14ac:dyDescent="0.35">
      <c r="A27" s="37">
        <v>26</v>
      </c>
    </row>
    <row r="28" spans="1:1" x14ac:dyDescent="0.35">
      <c r="A28" s="37">
        <v>27</v>
      </c>
    </row>
    <row r="29" spans="1:1" x14ac:dyDescent="0.35">
      <c r="A29" s="37">
        <v>28</v>
      </c>
    </row>
    <row r="30" spans="1:1" x14ac:dyDescent="0.35">
      <c r="A30" s="37">
        <v>29</v>
      </c>
    </row>
    <row r="31" spans="1:1" x14ac:dyDescent="0.35">
      <c r="A31" s="37">
        <v>30</v>
      </c>
    </row>
    <row r="32" spans="1:1" x14ac:dyDescent="0.35">
      <c r="A32" s="37">
        <v>31</v>
      </c>
    </row>
    <row r="33" spans="1:2" x14ac:dyDescent="0.35">
      <c r="A33" s="37">
        <v>32</v>
      </c>
    </row>
    <row r="34" spans="1:2" x14ac:dyDescent="0.35">
      <c r="A34" s="37">
        <v>33</v>
      </c>
    </row>
    <row r="35" spans="1:2" x14ac:dyDescent="0.35">
      <c r="A35" s="37">
        <v>34</v>
      </c>
    </row>
    <row r="36" spans="1:2" x14ac:dyDescent="0.35">
      <c r="A36" s="37">
        <v>35</v>
      </c>
    </row>
    <row r="37" spans="1:2" x14ac:dyDescent="0.35">
      <c r="A37" s="37">
        <v>36</v>
      </c>
    </row>
    <row r="38" spans="1:2" x14ac:dyDescent="0.35">
      <c r="A38" s="37" t="s">
        <v>203</v>
      </c>
      <c r="B38" s="37">
        <f>SUM(B2:B37)</f>
        <v>42</v>
      </c>
    </row>
  </sheetData>
  <pageMargins left="0.7" right="0.7" top="0.75" bottom="0.75" header="0.3" footer="0.3"/>
  <headerFooter>
    <oddHeader>&amp;L&amp;"Aptos"&amp;12&amp;K03C03C Public&amp;1#_x000D_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13</vt:i4>
      </vt:variant>
    </vt:vector>
  </HeadingPairs>
  <TitlesOfParts>
    <vt:vector size="37" baseType="lpstr">
      <vt:lpstr>2026-2027 Season</vt:lpstr>
      <vt:lpstr>Week by Week Scores</vt:lpstr>
      <vt:lpstr>Opponent Week by Week Scores</vt:lpstr>
      <vt:lpstr>Game by Game Scores</vt:lpstr>
      <vt:lpstr>Opponent Game by Game Scores</vt:lpstr>
      <vt:lpstr>Handicap</vt:lpstr>
      <vt:lpstr>Opponents Average</vt:lpstr>
      <vt:lpstr>Eric Stat</vt:lpstr>
      <vt:lpstr>Misc</vt:lpstr>
      <vt:lpstr>Strikes</vt:lpstr>
      <vt:lpstr>Spares</vt:lpstr>
      <vt:lpstr>Splits</vt:lpstr>
      <vt:lpstr>10,7 Pins %</vt:lpstr>
      <vt:lpstr>Team Totals</vt:lpstr>
      <vt:lpstr>Points</vt:lpstr>
      <vt:lpstr>Over Average Percent</vt:lpstr>
      <vt:lpstr>Card Game</vt:lpstr>
      <vt:lpstr>FramebyFrame</vt:lpstr>
      <vt:lpstr>FramebyFrame Totals</vt:lpstr>
      <vt:lpstr>LEFT RIGHT Stats</vt:lpstr>
      <vt:lpstr>Lane Stats</vt:lpstr>
      <vt:lpstr>WeeklyDues</vt:lpstr>
      <vt:lpstr>Ron</vt:lpstr>
      <vt:lpstr>Winnings</vt:lpstr>
      <vt:lpstr>Database_MISC</vt:lpstr>
      <vt:lpstr>Database_Opponent_Games</vt:lpstr>
      <vt:lpstr>Database_Opponent_Games_Handicap</vt:lpstr>
      <vt:lpstr>Database_Q1</vt:lpstr>
      <vt:lpstr>Database_Q2</vt:lpstr>
      <vt:lpstr>Database_Q3</vt:lpstr>
      <vt:lpstr>Database_Q4</vt:lpstr>
      <vt:lpstr>'Eric Stat'!Database_Team_Games</vt:lpstr>
      <vt:lpstr>Database_Team_Games</vt:lpstr>
      <vt:lpstr>Database_Team_Games_Handicap</vt:lpstr>
      <vt:lpstr>'Eric Stat'!Team_Games</vt:lpstr>
      <vt:lpstr>Team_Games</vt:lpstr>
      <vt:lpstr>Team_Games_Handicap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Jereb, Michael</dc:creator>
  <cp:lastModifiedBy>Jereb, Michael</cp:lastModifiedBy>
  <dcterms:created xsi:type="dcterms:W3CDTF">2025-09-09T11:44:09Z</dcterms:created>
  <dcterms:modified xsi:type="dcterms:W3CDTF">2026-10-05T16:23:59Z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94a5f65-4bbe-4bbe-bb66-e23e35795661_Enabled">
    <vt:lpwstr>true</vt:lpwstr>
  </property>
  <property fmtid="{D5CDD505-2E9C-101B-9397-08002B2CF9AE}" pid="3" name="MSIP_Label_794a5f65-4bbe-4bbe-bb66-e23e35795661_SetDate">
    <vt:lpwstr>2026-10-05T16:23:57Z</vt:lpwstr>
  </property>
  <property fmtid="{D5CDD505-2E9C-101B-9397-08002B2CF9AE}" pid="4" name="MSIP_Label_794a5f65-4bbe-4bbe-bb66-e23e35795661_Method">
    <vt:lpwstr>Privileged</vt:lpwstr>
  </property>
  <property fmtid="{D5CDD505-2E9C-101B-9397-08002B2CF9AE}" pid="5" name="MSIP_Label_794a5f65-4bbe-4bbe-bb66-e23e35795661_Name">
    <vt:lpwstr>794a5f65-4bbe-4bbe-bb66-e23e35795661</vt:lpwstr>
  </property>
  <property fmtid="{D5CDD505-2E9C-101B-9397-08002B2CF9AE}" pid="6" name="MSIP_Label_794a5f65-4bbe-4bbe-bb66-e23e35795661_SiteId">
    <vt:lpwstr>a00de4ec-48a8-43a6-be74-e31274e2060d</vt:lpwstr>
  </property>
  <property fmtid="{D5CDD505-2E9C-101B-9397-08002B2CF9AE}" pid="7" name="MSIP_Label_794a5f65-4bbe-4bbe-bb66-e23e35795661_ActionId">
    <vt:lpwstr>eadf9bdf-0496-44f6-b015-9e1f980f72de</vt:lpwstr>
  </property>
  <property fmtid="{D5CDD505-2E9C-101B-9397-08002B2CF9AE}" pid="8" name="MSIP_Label_794a5f65-4bbe-4bbe-bb66-e23e35795661_ContentBits">
    <vt:lpwstr>1</vt:lpwstr>
  </property>
  <property fmtid="{D5CDD505-2E9C-101B-9397-08002B2CF9AE}" pid="9" name="MSIP_Label_794a5f65-4bbe-4bbe-bb66-e23e35795661_Tag">
    <vt:lpwstr>10, 0, 1, 1</vt:lpwstr>
  </property>
</Properties>
</file>